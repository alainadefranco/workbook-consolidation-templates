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1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ppriver3651001394-my.sharepoint.com/personal/alaina_defranco_us_q-cells_com/Documents/Desktop/"/>
    </mc:Choice>
  </mc:AlternateContent>
  <xr:revisionPtr revIDLastSave="0" documentId="8_{822C69D4-3AED-4BFF-95F5-EFE667A5656E}" xr6:coauthVersionLast="47" xr6:coauthVersionMax="47" xr10:uidLastSave="{00000000-0000-0000-0000-000000000000}"/>
  <bookViews>
    <workbookView xWindow="38295" yWindow="2805" windowWidth="15330" windowHeight="10770" activeTab="3" xr2:uid="{00000000-000D-0000-FFFF-FFFF00000000}"/>
  </bookViews>
  <sheets>
    <sheet name="Cover Sheet" sheetId="71" r:id="rId1"/>
    <sheet name="REV History" sheetId="76" r:id="rId2"/>
    <sheet name="APA Cover Sheet" sheetId="68" state="hidden" r:id="rId3"/>
    <sheet name="DRIVE REACTIONS Zone 1" sheetId="47" r:id="rId4"/>
    <sheet name="DRIVE REACTIONS Zone 1 DL" sheetId="81" state="hidden" r:id="rId5"/>
    <sheet name="IDLER REACTIONS Zone 1" sheetId="24" r:id="rId6"/>
    <sheet name="IDLER REACTIONS Zone 1 DL" sheetId="82" state="hidden" r:id="rId7"/>
    <sheet name="IDLER REACTIONS Zone 2" sheetId="48" r:id="rId8"/>
    <sheet name="IDLER REACTIONS Zone 2 DL" sheetId="83" state="hidden" r:id="rId9"/>
    <sheet name="IDLER REACTIONS Zone 3" sheetId="50" r:id="rId10"/>
    <sheet name="IDLER REACTIONS Zone 3 DL" sheetId="84" state="hidden" r:id="rId11"/>
    <sheet name="DRIVE REACTIONS Zone 4" sheetId="1" r:id="rId12"/>
    <sheet name="DRIVE REACTIONS Zone 4 DL" sheetId="85" state="hidden" r:id="rId13"/>
    <sheet name="IDLER REACTIONS Zone 5" sheetId="49" r:id="rId14"/>
    <sheet name="Vertical Rail - Canadian" sheetId="78" state="hidden" r:id="rId15"/>
    <sheet name="Vertical Rail 7-22" sheetId="79" state="hidden" r:id="rId16"/>
    <sheet name="Vertical Rail 7-16" sheetId="77" state="hidden" r:id="rId17"/>
    <sheet name="Purlin" sheetId="80" state="hidden" r:id="rId18"/>
    <sheet name="Post Reactions " sheetId="73" state="hidden" r:id="rId19"/>
    <sheet name="Collar" sheetId="72" state="hidden" r:id="rId20"/>
    <sheet name="Shapes" sheetId="75" state="hidden" r:id="rId21"/>
    <sheet name="List" sheetId="74" state="hidden" r:id="rId22"/>
    <sheet name="Load Combinations" sheetId="27" state="hidden" r:id="rId23"/>
    <sheet name="IDLER REACTIONS Zone 5 DL" sheetId="86" state="hidden" r:id="rId24"/>
    <sheet name="0 Degree Loads" sheetId="69" r:id="rId25"/>
    <sheet name="55 Degree Loads" sheetId="70" r:id="rId26"/>
  </sheets>
  <definedNames>
    <definedName name="_xlnm._FilterDatabase" localSheetId="19" hidden="1">Collar!$Z$114:$AD$135</definedName>
    <definedName name="_xleta.IF" hidden="1" xlm="1">#NAME?</definedName>
    <definedName name="A">#REF!</definedName>
    <definedName name="Ae">#REF!</definedName>
    <definedName name="aw">#REF!</definedName>
    <definedName name="be">#REF!</definedName>
    <definedName name="bf">#REF!</definedName>
    <definedName name="Cb">#REF!</definedName>
    <definedName name="Corr">'Cover Sheet'!$C$20</definedName>
    <definedName name="d">#REF!</definedName>
    <definedName name="D_Z1_M_0" localSheetId="14">'Vertical Rail - Canadian'!$E$53</definedName>
    <definedName name="D_Z1_M_0" localSheetId="15">'Vertical Rail 7-22'!$E$42</definedName>
    <definedName name="D_Z1_M_0">'Vertical Rail 7-16'!$F$60</definedName>
    <definedName name="D_Z1_M_55" localSheetId="14">'Vertical Rail - Canadian'!$E$5</definedName>
    <definedName name="D_Z1_M_55" localSheetId="15">'Vertical Rail 7-22'!$E$5</definedName>
    <definedName name="D_Z1_M_55">'Vertical Rail 7-16'!$F$5</definedName>
    <definedName name="D_Z1_S_0" localSheetId="14">'Vertical Rail - Canadian'!$B$53</definedName>
    <definedName name="D_Z1_S_0" localSheetId="15">'Vertical Rail 7-22'!$B$42</definedName>
    <definedName name="D_Z1_S_0">'Vertical Rail 7-16'!$C$60</definedName>
    <definedName name="D_Z1_S_55" localSheetId="14">'Vertical Rail - Canadian'!$B$5</definedName>
    <definedName name="D_Z1_S_55" localSheetId="15">'Vertical Rail 7-22'!$B$5</definedName>
    <definedName name="D_Z1_S_55">'Vertical Rail 7-16'!$C$5</definedName>
    <definedName name="D_Z2_M_0" localSheetId="14">'Vertical Rail - Canadian'!$E$54</definedName>
    <definedName name="D_Z2_M_0" localSheetId="15">'Vertical Rail 7-22'!$E$43</definedName>
    <definedName name="D_Z2_M_0">'Vertical Rail 7-16'!$F$61</definedName>
    <definedName name="D_Z2_M_55" localSheetId="14">'Vertical Rail - Canadian'!$E$6</definedName>
    <definedName name="D_Z2_M_55" localSheetId="15">'Vertical Rail 7-22'!$E$6</definedName>
    <definedName name="D_Z2_M_55">'Vertical Rail 7-16'!$F$6</definedName>
    <definedName name="D_Z2_S_0" localSheetId="14">'Vertical Rail - Canadian'!$B$54</definedName>
    <definedName name="D_Z2_S_0" localSheetId="15">'Vertical Rail 7-22'!$B$43</definedName>
    <definedName name="D_Z2_S_0">'Vertical Rail 7-16'!$C$61</definedName>
    <definedName name="D_Z2_S_55" localSheetId="14">'Vertical Rail - Canadian'!$B$6</definedName>
    <definedName name="D_Z2_S_55" localSheetId="15">'Vertical Rail 7-22'!$B$6</definedName>
    <definedName name="D_Z2_S_55">'Vertical Rail 7-16'!$C$6</definedName>
    <definedName name="D_Z3_M_0" localSheetId="14">'Vertical Rail - Canadian'!$E$55</definedName>
    <definedName name="D_Z3_M_0" localSheetId="15">'Vertical Rail 7-22'!$E$44</definedName>
    <definedName name="D_Z3_M_0">'Vertical Rail 7-16'!$F$62</definedName>
    <definedName name="D_Z3_M_55" localSheetId="14">'Vertical Rail - Canadian'!$E$7</definedName>
    <definedName name="D_Z3_M_55" localSheetId="15">'Vertical Rail 7-22'!$E$7</definedName>
    <definedName name="D_Z3_M_55">'Vertical Rail 7-16'!$F$7</definedName>
    <definedName name="D_Z3_S_0" localSheetId="14">'Vertical Rail - Canadian'!$B$55</definedName>
    <definedName name="D_Z3_S_0" localSheetId="15">'Vertical Rail 7-22'!$B$44</definedName>
    <definedName name="D_Z3_S_0">'Vertical Rail 7-16'!$C$62</definedName>
    <definedName name="D_Z3_S_55" localSheetId="14">'Vertical Rail - Canadian'!$B$7</definedName>
    <definedName name="D_Z3_S_55" localSheetId="15">'Vertical Rail 7-22'!$B$7</definedName>
    <definedName name="D_Z3_S_55">'Vertical Rail 7-16'!$C$7</definedName>
    <definedName name="D_Z4_M_0" localSheetId="14">'Vertical Rail - Canadian'!$E$56</definedName>
    <definedName name="D_Z4_M_0" localSheetId="15">'Vertical Rail 7-22'!$E$45</definedName>
    <definedName name="D_Z4_M_0">'Vertical Rail 7-16'!$F$63</definedName>
    <definedName name="D_Z4_M_55" localSheetId="14">'Vertical Rail - Canadian'!$E$8</definedName>
    <definedName name="D_Z4_M_55" localSheetId="15">'Vertical Rail 7-22'!$E$8</definedName>
    <definedName name="D_Z4_M_55">'Vertical Rail 7-16'!$F$8</definedName>
    <definedName name="D_Z4_S_0" localSheetId="14">'Vertical Rail - Canadian'!$B$56</definedName>
    <definedName name="D_Z4_S_0" localSheetId="15">'Vertical Rail 7-22'!$B$45</definedName>
    <definedName name="D_Z4_S_0">'Vertical Rail 7-16'!$C$63</definedName>
    <definedName name="D_Z4_S_55" localSheetId="14">'Vertical Rail - Canadian'!$B$8</definedName>
    <definedName name="D_Z4_S_55" localSheetId="15">'Vertical Rail 7-22'!$B$8</definedName>
    <definedName name="D_Z4_S_55">'Vertical Rail 7-16'!$C$8</definedName>
    <definedName name="D_Z5_M_0" localSheetId="14">'Vertical Rail - Canadian'!$E$57</definedName>
    <definedName name="D_Z5_M_0" localSheetId="15">'Vertical Rail 7-22'!$E$46</definedName>
    <definedName name="D_Z5_M_0">'Vertical Rail 7-16'!$F$64</definedName>
    <definedName name="D_Z5_M_55" localSheetId="14">'Vertical Rail - Canadian'!$E$9</definedName>
    <definedName name="D_Z5_M_55" localSheetId="15">'Vertical Rail 7-22'!$E$9</definedName>
    <definedName name="D_Z5_M_55">'Vertical Rail 7-16'!$F$9</definedName>
    <definedName name="D_Z5_S_0" localSheetId="14">'Vertical Rail - Canadian'!$B$57</definedName>
    <definedName name="D_Z5_S_0" localSheetId="15">'Vertical Rail 7-22'!$B$46</definedName>
    <definedName name="D_Z5_S_0">'Vertical Rail 7-16'!$C$64</definedName>
    <definedName name="D_Z5_S_55" localSheetId="14">'Vertical Rail - Canadian'!$B$9</definedName>
    <definedName name="D_Z5_S_55" localSheetId="15">'Vertical Rail 7-22'!$B$9</definedName>
    <definedName name="D_Z5_S_55">'Vertical Rail 7-16'!$C$9</definedName>
    <definedName name="de">#REF!</definedName>
    <definedName name="DL">'Cover Sheet'!$C$19</definedName>
    <definedName name="DLMoment_0" localSheetId="14">'Vertical Rail - Canadian'!$H$58</definedName>
    <definedName name="DLMoment_0" localSheetId="15">'Vertical Rail 7-22'!$H$47</definedName>
    <definedName name="DLMoment_0">'Vertical Rail 7-16'!$I$65</definedName>
    <definedName name="DLMoment_55" localSheetId="14">'Vertical Rail - Canadian'!$H$10</definedName>
    <definedName name="DLMoment_55" localSheetId="15">'Vertical Rail 7-22'!$H$10</definedName>
    <definedName name="DLMoment_55">'Vertical Rail 7-16'!$I$10</definedName>
    <definedName name="DLShear_0" localSheetId="14">'Vertical Rail - Canadian'!$H$57</definedName>
    <definedName name="DLShear_0" localSheetId="15">'Vertical Rail 7-22'!$H$46</definedName>
    <definedName name="DLShear_0">'Vertical Rail 7-16'!$I$64</definedName>
    <definedName name="DLShear_55" localSheetId="14">'Vertical Rail - Canadian'!$H$9</definedName>
    <definedName name="DLShear_55" localSheetId="15">'Vertical Rail 7-22'!$H$9</definedName>
    <definedName name="DLShear_55">'Vertical Rail 7-16'!$I$9</definedName>
    <definedName name="DN">'Cover Sheet'!$R$6</definedName>
    <definedName name="Drive_E">#REF!</definedName>
    <definedName name="Drive_I">#REF!</definedName>
    <definedName name="E">'Cover Sheet'!$R$3</definedName>
    <definedName name="Ecc">#REF!</definedName>
    <definedName name="EVS">#REF!</definedName>
    <definedName name="Fcr">#REF!</definedName>
    <definedName name="FcrM">#REF!</definedName>
    <definedName name="Fel">#REF!</definedName>
    <definedName name="Felb">#REF!</definedName>
    <definedName name="Fy">'Cover Sheet'!$R$4</definedName>
    <definedName name="GCR">#REF!</definedName>
    <definedName name="GL">#REF!</definedName>
    <definedName name="GR">#REF!</definedName>
    <definedName name="hc">#REF!</definedName>
    <definedName name="ho">#REF!</definedName>
    <definedName name="ICW">#REF!</definedName>
    <definedName name="Idler_QTY">#REF!</definedName>
    <definedName name="IVS">#REF!</definedName>
    <definedName name="Ix">#REF!</definedName>
    <definedName name="Iy">#REF!</definedName>
    <definedName name="J">#REF!</definedName>
    <definedName name="K">#REF!</definedName>
    <definedName name="Ke">#REF!</definedName>
    <definedName name="kv">#REF!</definedName>
    <definedName name="Lb">#REF!</definedName>
    <definedName name="Lp">#REF!</definedName>
    <definedName name="Lr">#REF!</definedName>
    <definedName name="LS">#REF!</definedName>
    <definedName name="LSE_1">#REF!</definedName>
    <definedName name="LSE_10">#REF!</definedName>
    <definedName name="LSE_2">#REF!</definedName>
    <definedName name="LSE_3">#REF!</definedName>
    <definedName name="LSE_4">#REF!</definedName>
    <definedName name="LSE_5">#REF!</definedName>
    <definedName name="LSE_6">#REF!</definedName>
    <definedName name="LSE_7">#REF!</definedName>
    <definedName name="LSE_8">#REF!</definedName>
    <definedName name="LSE_9">#REF!</definedName>
    <definedName name="LSI_1">#REF!</definedName>
    <definedName name="LSI_10">#REF!</definedName>
    <definedName name="LSI_2">#REF!</definedName>
    <definedName name="LSI_3">#REF!</definedName>
    <definedName name="LSI_4">#REF!</definedName>
    <definedName name="LSI_5">#REF!</definedName>
    <definedName name="LSI_6">#REF!</definedName>
    <definedName name="LSI_7">#REF!</definedName>
    <definedName name="LSI_8">#REF!</definedName>
    <definedName name="LSI_9">#REF!</definedName>
    <definedName name="LSR">#REF!</definedName>
    <definedName name="M1A">#REF!</definedName>
    <definedName name="M2A">#REF!</definedName>
    <definedName name="M3A">#REF!</definedName>
    <definedName name="M4A">#REF!</definedName>
    <definedName name="Metal_Loss">#REF!</definedName>
    <definedName name="mil">'Cover Sheet'!$R$5</definedName>
    <definedName name="ML">#REF!</definedName>
    <definedName name="Mp">#REF!</definedName>
    <definedName name="MSL">#REF!</definedName>
    <definedName name="MSW">#REF!</definedName>
    <definedName name="MT">#REF!</definedName>
    <definedName name="MW">#REF!</definedName>
    <definedName name="P_Left">#REF!</definedName>
    <definedName name="P_Right">#REF!</definedName>
    <definedName name="P_Weight">#REF!</definedName>
    <definedName name="PL">#REF!</definedName>
    <definedName name="Post_NE">#REF!</definedName>
    <definedName name="Post_NI">#REF!</definedName>
    <definedName name="POSTS" localSheetId="19">#REF!</definedName>
    <definedName name="POSTS" localSheetId="6">'IDLER REACTIONS Zone 1 DL'!#REF!</definedName>
    <definedName name="POSTS" localSheetId="7">'IDLER REACTIONS Zone 2'!#REF!</definedName>
    <definedName name="POSTS" localSheetId="8">'IDLER REACTIONS Zone 2 DL'!#REF!</definedName>
    <definedName name="POSTS" localSheetId="9">'IDLER REACTIONS Zone 3'!#REF!</definedName>
    <definedName name="POSTS" localSheetId="10">'IDLER REACTIONS Zone 3 DL'!#REF!</definedName>
    <definedName name="POSTS" localSheetId="13">'IDLER REACTIONS Zone 5'!#REF!</definedName>
    <definedName name="POSTS" localSheetId="23">'IDLER REACTIONS Zone 5 DL'!#REF!</definedName>
    <definedName name="POSTS" localSheetId="20">#REF!</definedName>
    <definedName name="POSTS">'IDLER REACTIONS Zone 1'!#REF!</definedName>
    <definedName name="_xlnm.Print_Area" localSheetId="2">'APA Cover Sheet'!$A$1:$N$60</definedName>
    <definedName name="_xlnm.Print_Area" localSheetId="19">Collar!$B$1:$O$136</definedName>
    <definedName name="_xlnm.Print_Area" localSheetId="0">'Cover Sheet'!$A$1:$N$52</definedName>
    <definedName name="_xlnm.Print_Area" localSheetId="3">'DRIVE REACTIONS Zone 1'!$A$87:$J$134,'DRIVE REACTIONS Zone 1'!$A$141:$J$188,'DRIVE REACTIONS Zone 1'!$A$191:$J$237,'DRIVE REACTIONS Zone 1'!$A$240:$J$286,'DRIVE REACTIONS Zone 1'!$A$1:$J$83</definedName>
    <definedName name="_xlnm.Print_Area" localSheetId="4">'DRIVE REACTIONS Zone 1 DL'!$A$87:$J$134,'DRIVE REACTIONS Zone 1 DL'!$A$141:$J$188,'DRIVE REACTIONS Zone 1 DL'!$A$191:$J$237,'DRIVE REACTIONS Zone 1 DL'!$A$240:$J$286,'DRIVE REACTIONS Zone 1 DL'!$A$1:$J$83</definedName>
    <definedName name="_xlnm.Print_Area" localSheetId="11">'DRIVE REACTIONS Zone 4'!$A$1:$J$83,'DRIVE REACTIONS Zone 4'!$A$87:$J$135,'DRIVE REACTIONS Zone 4'!$A$140:$J$188,'DRIVE REACTIONS Zone 4'!$A$190:$J$237,'DRIVE REACTIONS Zone 4'!$A$240:$J$286</definedName>
    <definedName name="_xlnm.Print_Area" localSheetId="12">'DRIVE REACTIONS Zone 4 DL'!$A$1:$J$83,'DRIVE REACTIONS Zone 4 DL'!$A$87:$J$135,'DRIVE REACTIONS Zone 4 DL'!$A$140:$J$188,'DRIVE REACTIONS Zone 4 DL'!$A$190:$J$237,'DRIVE REACTIONS Zone 4 DL'!$A$240:$J$286</definedName>
    <definedName name="_xlnm.Print_Area" localSheetId="5">'IDLER REACTIONS Zone 1'!$A$1:$J$83,'IDLER REACTIONS Zone 1'!$A$87:$J$135,'IDLER REACTIONS Zone 1'!$A$142:$J$189,'IDLER REACTIONS Zone 1'!$A$191:$J$238,'IDLER REACTIONS Zone 1'!$A$240:$J$290</definedName>
    <definedName name="_xlnm.Print_Area" localSheetId="6">'IDLER REACTIONS Zone 1 DL'!$A$1:$J$83,'IDLER REACTIONS Zone 1 DL'!$A$87:$J$135,'IDLER REACTIONS Zone 1 DL'!$A$142:$J$189,'IDLER REACTIONS Zone 1 DL'!$A$191:$J$238,'IDLER REACTIONS Zone 1 DL'!$A$240:$J$290</definedName>
    <definedName name="_xlnm.Print_Area" localSheetId="7">'IDLER REACTIONS Zone 2'!$A$1:$J$83,'IDLER REACTIONS Zone 2'!$A$87:$J$134,'IDLER REACTIONS Zone 2'!$A$141:$J$188,'IDLER REACTIONS Zone 2'!$A$191:$J$237,'IDLER REACTIONS Zone 2'!$A$240:$J$286</definedName>
    <definedName name="_xlnm.Print_Area" localSheetId="8">'IDLER REACTIONS Zone 2 DL'!$A$1:$J$83,'IDLER REACTIONS Zone 2 DL'!$A$87:$J$134,'IDLER REACTIONS Zone 2 DL'!$A$141:$J$188,'IDLER REACTIONS Zone 2 DL'!$A$191:$J$237,'IDLER REACTIONS Zone 2 DL'!$A$240:$J$286</definedName>
    <definedName name="_xlnm.Print_Area" localSheetId="9">'IDLER REACTIONS Zone 3'!$A$1:$J$83,'IDLER REACTIONS Zone 3'!$A$86:$J$135,'IDLER REACTIONS Zone 3'!$A$141:$J$189,'IDLER REACTIONS Zone 3'!$A$240:$J$286,'IDLER REACTIONS Zone 3'!$A$191:$J$237</definedName>
    <definedName name="_xlnm.Print_Area" localSheetId="10">'IDLER REACTIONS Zone 3 DL'!$A$1:$J$83,'IDLER REACTIONS Zone 3 DL'!$A$86:$J$135,'IDLER REACTIONS Zone 3 DL'!$A$141:$J$189,'IDLER REACTIONS Zone 3 DL'!$A$240:$J$286,'IDLER REACTIONS Zone 3 DL'!$A$191:$J$237</definedName>
    <definedName name="_xlnm.Print_Area" localSheetId="13">'IDLER REACTIONS Zone 5'!$A$1:$J$83,'IDLER REACTIONS Zone 5'!$A$86:$J$135,'IDLER REACTIONS Zone 5'!$A$140:$J$188,'IDLER REACTIONS Zone 5'!$A$239:$J$286,'IDLER REACTIONS Zone 5'!$A$191:$J$237</definedName>
    <definedName name="_xlnm.Print_Area" localSheetId="23">'IDLER REACTIONS Zone 5 DL'!$A$1:$J$83,'IDLER REACTIONS Zone 5 DL'!$A$86:$J$135,'IDLER REACTIONS Zone 5 DL'!$A$140:$J$188,'IDLER REACTIONS Zone 5 DL'!$A$239:$J$286,'IDLER REACTIONS Zone 5 DL'!$A$191:$J$237</definedName>
    <definedName name="Profile">#REF!</definedName>
    <definedName name="Profile_Zone_1_1" localSheetId="6">'IDLER REACTIONS Zone 1 DL'!$AE$4</definedName>
    <definedName name="Profile_Zone_1_1">'IDLER REACTIONS Zone 1'!$AE$4</definedName>
    <definedName name="Profile_Zone_1_1_D" localSheetId="4">'DRIVE REACTIONS Zone 1 DL'!$AE$4</definedName>
    <definedName name="Profile_Zone_1_1_D">'DRIVE REACTIONS Zone 1'!$AE$4</definedName>
    <definedName name="Profile_Zone_1_2" localSheetId="6">'IDLER REACTIONS Zone 1 DL'!$AO$4</definedName>
    <definedName name="Profile_Zone_1_2">'IDLER REACTIONS Zone 1'!$AO$4</definedName>
    <definedName name="Profile_Zone_1_2_D" localSheetId="4">'DRIVE REACTIONS Zone 1 DL'!$AO$4</definedName>
    <definedName name="Profile_Zone_1_2_D">'DRIVE REACTIONS Zone 1'!$AO$4</definedName>
    <definedName name="Profile_Zone_1_3" localSheetId="6">'IDLER REACTIONS Zone 1 DL'!$AY$4</definedName>
    <definedName name="Profile_Zone_1_3">'IDLER REACTIONS Zone 1'!$AY$4</definedName>
    <definedName name="Profile_Zone_1_3_D" localSheetId="4">'DRIVE REACTIONS Zone 1 DL'!$AY$4</definedName>
    <definedName name="Profile_Zone_1_3_D">'DRIVE REACTIONS Zone 1'!$AY$4</definedName>
    <definedName name="Profile_Zone_1_STD" localSheetId="6">'IDLER REACTIONS Zone 1 DL'!$T$4</definedName>
    <definedName name="Profile_Zone_1_STD" localSheetId="20">#REF!</definedName>
    <definedName name="Profile_Zone_1_STD">'IDLER REACTIONS Zone 1'!$T$4</definedName>
    <definedName name="Profile_Zone_1_STD_D" localSheetId="4">'DRIVE REACTIONS Zone 1 DL'!$T$4</definedName>
    <definedName name="Profile_Zone_1_STD_D">'DRIVE REACTIONS Zone 1'!$T$4</definedName>
    <definedName name="PROFILE_ZONE_2_1" localSheetId="8">'IDLER REACTIONS Zone 2 DL'!$AE$4</definedName>
    <definedName name="PROFILE_ZONE_2_1">'IDLER REACTIONS Zone 2'!$AE$4</definedName>
    <definedName name="PROFILE_ZONE_2_2" localSheetId="8">'IDLER REACTIONS Zone 2 DL'!$AO$4</definedName>
    <definedName name="PROFILE_ZONE_2_2">'IDLER REACTIONS Zone 2'!$AO$4</definedName>
    <definedName name="PROFILE_ZONE_2_3" localSheetId="8">'IDLER REACTIONS Zone 2 DL'!$AY$4</definedName>
    <definedName name="PROFILE_ZONE_2_3">'IDLER REACTIONS Zone 2'!$AY$4</definedName>
    <definedName name="PROFILE_ZONE_2_STD" localSheetId="8">'IDLER REACTIONS Zone 2 DL'!$T$4</definedName>
    <definedName name="PROFILE_ZONE_2_STD">'IDLER REACTIONS Zone 2'!$T$4</definedName>
    <definedName name="PROFILE_ZONE_3_1" localSheetId="10">'IDLER REACTIONS Zone 3 DL'!$AE$4</definedName>
    <definedName name="PROFILE_ZONE_3_1">'IDLER REACTIONS Zone 3'!$AE$4</definedName>
    <definedName name="PROFILE_ZONE_3_2" localSheetId="10">'IDLER REACTIONS Zone 3 DL'!$AO$4</definedName>
    <definedName name="PROFILE_ZONE_3_2">'IDLER REACTIONS Zone 3'!$AO$4</definedName>
    <definedName name="PROFILE_ZONE_3_3" localSheetId="10">'IDLER REACTIONS Zone 3 DL'!$AY$4</definedName>
    <definedName name="PROFILE_ZONE_3_3">'IDLER REACTIONS Zone 3'!$AY$4</definedName>
    <definedName name="PROFILE_ZONE_3_STD" localSheetId="10">'IDLER REACTIONS Zone 3 DL'!$T$4</definedName>
    <definedName name="PROFILE_ZONE_3_STD">'IDLER REACTIONS Zone 3'!$T$4</definedName>
    <definedName name="PROFILE_ZONE_4_1" localSheetId="12">'DRIVE REACTIONS Zone 4 DL'!$AE$4</definedName>
    <definedName name="PROFILE_ZONE_4_1">'DRIVE REACTIONS Zone 4'!$AE$4</definedName>
    <definedName name="PROFILE_ZONE_4_2" localSheetId="12">'DRIVE REACTIONS Zone 4 DL'!$AO$4</definedName>
    <definedName name="PROFILE_ZONE_4_2">'DRIVE REACTIONS Zone 4'!$AO$4</definedName>
    <definedName name="PROFILE_ZONE_4_3" localSheetId="12">'DRIVE REACTIONS Zone 4 DL'!$AY$4</definedName>
    <definedName name="PROFILE_ZONE_4_3">'DRIVE REACTIONS Zone 4'!$AY$4</definedName>
    <definedName name="PROFILE_ZONE_4_STD" localSheetId="12">'DRIVE REACTIONS Zone 4 DL'!$T$4</definedName>
    <definedName name="PROFILE_ZONE_4_STD">'DRIVE REACTIONS Zone 4'!$T$4</definedName>
    <definedName name="PROFILE_ZONE_5_1" localSheetId="23">'IDLER REACTIONS Zone 5 DL'!$AE$4</definedName>
    <definedName name="PROFILE_ZONE_5_1">'IDLER REACTIONS Zone 5'!$AE$4</definedName>
    <definedName name="PROFILE_ZONE_5_2" localSheetId="23">'IDLER REACTIONS Zone 5 DL'!$AO$4</definedName>
    <definedName name="PROFILE_ZONE_5_2">'IDLER REACTIONS Zone 5'!$AO$4</definedName>
    <definedName name="PROFILE_ZONE_5_3" localSheetId="23">'IDLER REACTIONS Zone 5 DL'!$AY$4</definedName>
    <definedName name="PROFILE_ZONE_5_3">'IDLER REACTIONS Zone 5'!$AY$4</definedName>
    <definedName name="PROFILE_ZONE_5_STD" localSheetId="23">'IDLER REACTIONS Zone 5 DL'!$T$4</definedName>
    <definedName name="PROFILE_ZONE_5_STD">'IDLER REACTIONS Zone 5'!$T$4</definedName>
    <definedName name="Pult">#REF!</definedName>
    <definedName name="Radians">#REF!</definedName>
    <definedName name="Rpg">#REF!</definedName>
    <definedName name="RS">#REF!</definedName>
    <definedName name="RSE_1">#REF!</definedName>
    <definedName name="RSE_10">#REF!</definedName>
    <definedName name="RSE_2">#REF!</definedName>
    <definedName name="RSE_3">#REF!</definedName>
    <definedName name="RSE_4">#REF!</definedName>
    <definedName name="RSE_5">#REF!</definedName>
    <definedName name="RSE_6">#REF!</definedName>
    <definedName name="RSE_7">#REF!</definedName>
    <definedName name="RSE_8">#REF!</definedName>
    <definedName name="RSE_9">#REF!</definedName>
    <definedName name="RSI_1">#REF!</definedName>
    <definedName name="RSI_10">#REF!</definedName>
    <definedName name="RSI_2">#REF!</definedName>
    <definedName name="RSI_3">#REF!</definedName>
    <definedName name="RSI_4">#REF!</definedName>
    <definedName name="RSI_5">#REF!</definedName>
    <definedName name="RSI_6">#REF!</definedName>
    <definedName name="RSI_7">#REF!</definedName>
    <definedName name="RSI_8">#REF!</definedName>
    <definedName name="RSI_9">#REF!</definedName>
    <definedName name="RSL">#REF!</definedName>
    <definedName name="RSR">#REF!</definedName>
    <definedName name="rts">#REF!</definedName>
    <definedName name="rx">#REF!</definedName>
    <definedName name="ry">#REF!</definedName>
    <definedName name="Scour">'Cover Sheet'!$R$7</definedName>
    <definedName name="SDW">#REF!</definedName>
    <definedName name="Service">'Cover Sheet'!$R$8</definedName>
    <definedName name="SLMoment_0" localSheetId="14">'Vertical Rail - Canadian'!$H$54</definedName>
    <definedName name="SLMoment_0" localSheetId="15">'Vertical Rail 7-22'!$H$43</definedName>
    <definedName name="SLMoment_0">'Vertical Rail 7-16'!$I$61</definedName>
    <definedName name="SLMoment_55" localSheetId="14">'Vertical Rail - Canadian'!$H$6</definedName>
    <definedName name="SLMoment_55" localSheetId="15">'Vertical Rail 7-22'!$H$6</definedName>
    <definedName name="SLMoment_55">'Vertical Rail 7-16'!$I$6</definedName>
    <definedName name="SLShear_0" localSheetId="14">'Vertical Rail - Canadian'!$H$53</definedName>
    <definedName name="SLShear_0" localSheetId="15">'Vertical Rail 7-22'!$H$42</definedName>
    <definedName name="SLShear_0">'Vertical Rail 7-16'!$I$60</definedName>
    <definedName name="SLShear_55" localSheetId="14">'Vertical Rail - Canadian'!$H$5</definedName>
    <definedName name="SLShear_55" localSheetId="15">'Vertical Rail 7-22'!$H$5</definedName>
    <definedName name="SLShear_55">'Vertical Rail 7-16'!$I$5</definedName>
    <definedName name="SMA">#REF!</definedName>
    <definedName name="Sx">#REF!</definedName>
    <definedName name="Sy">#REF!</definedName>
    <definedName name="tf">#REF!</definedName>
    <definedName name="TG">#REF!</definedName>
    <definedName name="Theta">#REF!</definedName>
    <definedName name="TotS">#REF!</definedName>
    <definedName name="TS">#REF!</definedName>
    <definedName name="tw">#REF!</definedName>
    <definedName name="Twidth">#REF!</definedName>
    <definedName name="U_Z1_M_0" localSheetId="14">'Vertical Rail - Canadian'!$E$60</definedName>
    <definedName name="U_Z1_M_0" localSheetId="15">'Vertical Rail 7-22'!$E$49</definedName>
    <definedName name="U_Z1_M_0">'Vertical Rail 7-16'!$F$67</definedName>
    <definedName name="U_Z1_M_55" localSheetId="14">'Vertical Rail - Canadian'!$E$12</definedName>
    <definedName name="U_Z1_M_55" localSheetId="15">'Vertical Rail 7-22'!$E$12</definedName>
    <definedName name="U_Z1_M_55">'Vertical Rail 7-16'!$F$12</definedName>
    <definedName name="U_Z1_S_0" localSheetId="14">'Vertical Rail - Canadian'!$B$60</definedName>
    <definedName name="U_Z1_S_0" localSheetId="15">'Vertical Rail 7-22'!$B$49</definedName>
    <definedName name="U_Z1_S_0">'Vertical Rail 7-16'!$C$67</definedName>
    <definedName name="U_Z1_S_55" localSheetId="14">'Vertical Rail - Canadian'!$B$12</definedName>
    <definedName name="U_Z1_S_55" localSheetId="15">'Vertical Rail 7-22'!$B$12</definedName>
    <definedName name="U_Z1_S_55">'Vertical Rail 7-16'!$C$12</definedName>
    <definedName name="U_Z2_M_0" localSheetId="14">'Vertical Rail - Canadian'!$E$61</definedName>
    <definedName name="U_Z2_M_0" localSheetId="15">'Vertical Rail 7-22'!$E$50</definedName>
    <definedName name="U_Z2_M_0">'Vertical Rail 7-16'!$F$68</definedName>
    <definedName name="U_Z2_M_55" localSheetId="14">'Vertical Rail - Canadian'!$E$13</definedName>
    <definedName name="U_Z2_M_55" localSheetId="15">'Vertical Rail 7-22'!$E$13</definedName>
    <definedName name="U_Z2_M_55">'Vertical Rail 7-16'!$F$13</definedName>
    <definedName name="U_Z2_S_0" localSheetId="14">'Vertical Rail - Canadian'!$B$61</definedName>
    <definedName name="U_Z2_S_0" localSheetId="15">'Vertical Rail 7-22'!$B$50</definedName>
    <definedName name="U_Z2_S_0">'Vertical Rail 7-16'!$C$68</definedName>
    <definedName name="U_Z2_S_55" localSheetId="14">'Vertical Rail - Canadian'!$B$13</definedName>
    <definedName name="U_Z2_S_55" localSheetId="15">'Vertical Rail 7-22'!$B$13</definedName>
    <definedName name="U_Z2_S_55">'Vertical Rail 7-16'!$C$13</definedName>
    <definedName name="U_Z3_M_0" localSheetId="14">'Vertical Rail - Canadian'!$E$62</definedName>
    <definedName name="U_Z3_M_0" localSheetId="15">'Vertical Rail 7-22'!$E$51</definedName>
    <definedName name="U_Z3_M_0">'Vertical Rail 7-16'!$F$69</definedName>
    <definedName name="U_Z3_M_55" localSheetId="14">'Vertical Rail - Canadian'!$E$14</definedName>
    <definedName name="U_Z3_M_55" localSheetId="15">'Vertical Rail 7-22'!$E$14</definedName>
    <definedName name="U_Z3_M_55">'Vertical Rail 7-16'!$F$14</definedName>
    <definedName name="U_Z3_S_0" localSheetId="14">'Vertical Rail - Canadian'!$B$62</definedName>
    <definedName name="U_Z3_S_0" localSheetId="15">'Vertical Rail 7-22'!$B$51</definedName>
    <definedName name="U_Z3_S_0">'Vertical Rail 7-16'!$C$69</definedName>
    <definedName name="U_Z3_S_55" localSheetId="14">'Vertical Rail - Canadian'!$B$14</definedName>
    <definedName name="U_Z3_S_55" localSheetId="15">'Vertical Rail 7-22'!$B$14</definedName>
    <definedName name="U_Z3_S_55">'Vertical Rail 7-16'!$C$14</definedName>
    <definedName name="U_Z4_M_0" localSheetId="14">'Vertical Rail - Canadian'!$E$63</definedName>
    <definedName name="U_Z4_M_0" localSheetId="15">'Vertical Rail 7-22'!$E$52</definedName>
    <definedName name="U_Z4_M_0">'Vertical Rail 7-16'!$F$70</definedName>
    <definedName name="U_Z4_M_55" localSheetId="14">'Vertical Rail - Canadian'!$E$15</definedName>
    <definedName name="U_Z4_M_55" localSheetId="15">'Vertical Rail 7-22'!$E$15</definedName>
    <definedName name="U_Z4_M_55">'Vertical Rail 7-16'!$F$15</definedName>
    <definedName name="U_Z4_S_0" localSheetId="14">'Vertical Rail - Canadian'!$B$63</definedName>
    <definedName name="U_Z4_S_0" localSheetId="15">'Vertical Rail 7-22'!$B$52</definedName>
    <definedName name="U_Z4_S_0">'Vertical Rail 7-16'!$C$70</definedName>
    <definedName name="U_Z4_S_55" localSheetId="14">'Vertical Rail - Canadian'!$B$15</definedName>
    <definedName name="U_Z4_S_55" localSheetId="15">'Vertical Rail 7-22'!$B$15</definedName>
    <definedName name="U_Z4_S_55">'Vertical Rail 7-16'!$C$15</definedName>
    <definedName name="U_Z5_M_0" localSheetId="14">'Vertical Rail - Canadian'!$E$64</definedName>
    <definedName name="U_Z5_M_0" localSheetId="15">'Vertical Rail 7-22'!$E$53</definedName>
    <definedName name="U_Z5_M_0">'Vertical Rail 7-16'!$F$71</definedName>
    <definedName name="U_Z5_M_55" localSheetId="14">'Vertical Rail - Canadian'!$E$16</definedName>
    <definedName name="U_Z5_M_55" localSheetId="15">'Vertical Rail 7-22'!$E$16</definedName>
    <definedName name="U_Z5_M_55">'Vertical Rail 7-16'!$F$16</definedName>
    <definedName name="U_Z5_S_0" localSheetId="14">'Vertical Rail - Canadian'!$B$64</definedName>
    <definedName name="U_Z5_S_0" localSheetId="15">'Vertical Rail 7-22'!$B$53</definedName>
    <definedName name="U_Z5_S_0">'Vertical Rail 7-16'!$C$71</definedName>
    <definedName name="U_Z5_S_55" localSheetId="14">'Vertical Rail - Canadian'!$B$16</definedName>
    <definedName name="U_Z5_S_55" localSheetId="15">'Vertical Rail 7-22'!$B$16</definedName>
    <definedName name="U_Z5_S_55">'Vertical Rail 7-16'!$C$16</definedName>
    <definedName name="V_Left">#REF!</definedName>
    <definedName name="V_Right">#REF!</definedName>
    <definedName name="VL">#REF!</definedName>
    <definedName name="VS">#REF!</definedName>
    <definedName name="Wh">#REF!</definedName>
    <definedName name="WL">#REF!</definedName>
    <definedName name="Zx">#REF!</definedName>
    <definedName name="Z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6" i="49" l="1"/>
  <c r="B237" i="49"/>
  <c r="B188" i="49"/>
  <c r="B134" i="49"/>
  <c r="B286" i="1"/>
  <c r="B237" i="1"/>
  <c r="B188" i="1"/>
  <c r="B134" i="1"/>
  <c r="B286" i="50"/>
  <c r="B237" i="50"/>
  <c r="B188" i="50"/>
  <c r="B134" i="50"/>
  <c r="B286" i="48"/>
  <c r="B237" i="48"/>
  <c r="B188" i="48"/>
  <c r="B134" i="48"/>
  <c r="B286" i="24"/>
  <c r="B237" i="24"/>
  <c r="B188" i="24"/>
  <c r="B134" i="24"/>
  <c r="B286" i="47"/>
  <c r="B237" i="47"/>
  <c r="B188" i="47"/>
  <c r="B134" i="47"/>
  <c r="AX150" i="86"/>
  <c r="AX142" i="86"/>
  <c r="AX125" i="86"/>
  <c r="AX116" i="86"/>
  <c r="AX77" i="86"/>
  <c r="AN150" i="86"/>
  <c r="AN142" i="86"/>
  <c r="AN125" i="86"/>
  <c r="AN116" i="86"/>
  <c r="AN77" i="86"/>
  <c r="AD150" i="86"/>
  <c r="AD142" i="86"/>
  <c r="AD125" i="86"/>
  <c r="AD116" i="86"/>
  <c r="AD77" i="86"/>
  <c r="S150" i="86"/>
  <c r="S142" i="86"/>
  <c r="S125" i="86"/>
  <c r="S116" i="86"/>
  <c r="S77" i="86"/>
  <c r="AX150" i="85"/>
  <c r="AX142" i="85"/>
  <c r="AX125" i="85"/>
  <c r="AX116" i="85"/>
  <c r="AX77" i="85"/>
  <c r="AN150" i="85"/>
  <c r="AN142" i="85"/>
  <c r="AN125" i="85"/>
  <c r="AN116" i="85"/>
  <c r="AN77" i="85"/>
  <c r="AD150" i="85"/>
  <c r="AD142" i="85"/>
  <c r="AD125" i="85"/>
  <c r="AD116" i="85"/>
  <c r="AD77" i="85"/>
  <c r="S150" i="85"/>
  <c r="S142" i="85"/>
  <c r="S125" i="85"/>
  <c r="S116" i="85"/>
  <c r="S77" i="85"/>
  <c r="AX150" i="84"/>
  <c r="AX142" i="84"/>
  <c r="AX125" i="84"/>
  <c r="AX116" i="84"/>
  <c r="AX77" i="84"/>
  <c r="AN116" i="84"/>
  <c r="AN125" i="84"/>
  <c r="AN150" i="84"/>
  <c r="AN142" i="84"/>
  <c r="AN77" i="84"/>
  <c r="AD150" i="84"/>
  <c r="AD142" i="84"/>
  <c r="AD125" i="84"/>
  <c r="AD116" i="84"/>
  <c r="AD77" i="84"/>
  <c r="S150" i="84"/>
  <c r="S142" i="84"/>
  <c r="S125" i="84"/>
  <c r="S116" i="84"/>
  <c r="S77" i="84"/>
  <c r="AX77" i="83"/>
  <c r="AX116" i="83"/>
  <c r="AX125" i="83"/>
  <c r="AX142" i="83"/>
  <c r="AX150" i="83"/>
  <c r="AN150" i="83"/>
  <c r="AN142" i="83"/>
  <c r="AN125" i="83"/>
  <c r="AN116" i="83"/>
  <c r="AN77" i="83"/>
  <c r="AD150" i="83"/>
  <c r="AD142" i="83"/>
  <c r="AD125" i="83"/>
  <c r="AD116" i="83"/>
  <c r="AD77" i="83"/>
  <c r="S150" i="83"/>
  <c r="S142" i="83"/>
  <c r="S125" i="83"/>
  <c r="S116" i="83"/>
  <c r="S77" i="83"/>
  <c r="AX150" i="82"/>
  <c r="AX142" i="82"/>
  <c r="AX125" i="82"/>
  <c r="AX116" i="82"/>
  <c r="AX77" i="82"/>
  <c r="AN150" i="82"/>
  <c r="AN142" i="82"/>
  <c r="AN125" i="82"/>
  <c r="AN116" i="82"/>
  <c r="AN77" i="82"/>
  <c r="AD150" i="82"/>
  <c r="AD142" i="82"/>
  <c r="AD125" i="82"/>
  <c r="AD116" i="82"/>
  <c r="AD77" i="82"/>
  <c r="S150" i="82"/>
  <c r="S142" i="82"/>
  <c r="S125" i="82"/>
  <c r="S116" i="82"/>
  <c r="S77" i="82"/>
  <c r="AD150" i="81"/>
  <c r="AD142" i="81"/>
  <c r="AD125" i="81"/>
  <c r="AD116" i="81"/>
  <c r="AD77" i="81"/>
  <c r="S150" i="81"/>
  <c r="S142" i="81"/>
  <c r="S125" i="81"/>
  <c r="S116" i="81"/>
  <c r="S77" i="81"/>
  <c r="AX150" i="81"/>
  <c r="AX142" i="81"/>
  <c r="AX125" i="81"/>
  <c r="AX116" i="81"/>
  <c r="AX77" i="81"/>
  <c r="AN150" i="81"/>
  <c r="AN142" i="81"/>
  <c r="AN22" i="47"/>
  <c r="S22" i="47"/>
  <c r="U25" i="47"/>
  <c r="C249" i="86" l="1"/>
  <c r="C200" i="86"/>
  <c r="C151" i="86"/>
  <c r="C97" i="86"/>
  <c r="C282" i="86"/>
  <c r="C267" i="86"/>
  <c r="C266" i="86"/>
  <c r="D261" i="86"/>
  <c r="B261" i="86"/>
  <c r="D260" i="86"/>
  <c r="B260" i="86"/>
  <c r="E259" i="86"/>
  <c r="D259" i="86"/>
  <c r="B259" i="86"/>
  <c r="H258" i="86"/>
  <c r="E258" i="86"/>
  <c r="D258" i="86"/>
  <c r="B258" i="86"/>
  <c r="H257" i="86"/>
  <c r="E257" i="86"/>
  <c r="D257" i="86"/>
  <c r="B257" i="86"/>
  <c r="E256" i="86"/>
  <c r="D256" i="86"/>
  <c r="B256" i="86"/>
  <c r="H255" i="86"/>
  <c r="E255" i="86"/>
  <c r="D255" i="86"/>
  <c r="B255" i="86"/>
  <c r="H254" i="86"/>
  <c r="E254" i="86"/>
  <c r="D254" i="86"/>
  <c r="B254" i="86"/>
  <c r="H253" i="86"/>
  <c r="E253" i="86"/>
  <c r="D253" i="86"/>
  <c r="B253" i="86"/>
  <c r="H252" i="86"/>
  <c r="E252" i="86"/>
  <c r="D252" i="86"/>
  <c r="B252" i="86"/>
  <c r="G249" i="86"/>
  <c r="C233" i="86"/>
  <c r="C218" i="86"/>
  <c r="C217" i="86"/>
  <c r="D212" i="86"/>
  <c r="B212" i="86"/>
  <c r="D211" i="86"/>
  <c r="B211" i="86"/>
  <c r="E210" i="86"/>
  <c r="D210" i="86"/>
  <c r="B210" i="86"/>
  <c r="H209" i="86"/>
  <c r="E209" i="86"/>
  <c r="D209" i="86"/>
  <c r="B209" i="86"/>
  <c r="H208" i="86"/>
  <c r="E208" i="86"/>
  <c r="D208" i="86"/>
  <c r="B208" i="86"/>
  <c r="E207" i="86"/>
  <c r="D207" i="86"/>
  <c r="B207" i="86"/>
  <c r="H206" i="86"/>
  <c r="E206" i="86"/>
  <c r="D206" i="86"/>
  <c r="B206" i="86"/>
  <c r="H205" i="86"/>
  <c r="G205" i="86"/>
  <c r="E205" i="86"/>
  <c r="D205" i="86"/>
  <c r="B205" i="86"/>
  <c r="H204" i="86"/>
  <c r="E204" i="86"/>
  <c r="D204" i="86"/>
  <c r="B204" i="86"/>
  <c r="H203" i="86"/>
  <c r="E203" i="86"/>
  <c r="D203" i="86"/>
  <c r="B203" i="86"/>
  <c r="G200" i="86"/>
  <c r="C184" i="86"/>
  <c r="AV181" i="86"/>
  <c r="AL181" i="86"/>
  <c r="AB181" i="86"/>
  <c r="Q181" i="86"/>
  <c r="C169" i="86"/>
  <c r="C168" i="86"/>
  <c r="D163" i="86"/>
  <c r="B163" i="86"/>
  <c r="D162" i="86"/>
  <c r="B162" i="86"/>
  <c r="E161" i="86"/>
  <c r="D161" i="86"/>
  <c r="B161" i="86"/>
  <c r="H160" i="86"/>
  <c r="E160" i="86"/>
  <c r="D160" i="86"/>
  <c r="B160" i="86"/>
  <c r="H159" i="86"/>
  <c r="E159" i="86"/>
  <c r="D159" i="86"/>
  <c r="B159" i="86"/>
  <c r="E158" i="86"/>
  <c r="D158" i="86"/>
  <c r="B158" i="86"/>
  <c r="H157" i="86"/>
  <c r="E157" i="86"/>
  <c r="D157" i="86"/>
  <c r="B157" i="86"/>
  <c r="H156" i="86"/>
  <c r="E156" i="86"/>
  <c r="D156" i="86"/>
  <c r="B156" i="86"/>
  <c r="AV155" i="86"/>
  <c r="AL155" i="86"/>
  <c r="AB155" i="86"/>
  <c r="Q155" i="86"/>
  <c r="H155" i="86"/>
  <c r="E155" i="86"/>
  <c r="D155" i="86"/>
  <c r="B155" i="86"/>
  <c r="H154" i="86"/>
  <c r="E154" i="86"/>
  <c r="D154" i="86"/>
  <c r="B154" i="86"/>
  <c r="G151" i="86"/>
  <c r="AX147" i="86"/>
  <c r="AN147" i="86"/>
  <c r="AD147" i="86"/>
  <c r="S147" i="86"/>
  <c r="AX146" i="86"/>
  <c r="AN146" i="86"/>
  <c r="AD146" i="86"/>
  <c r="S146" i="86"/>
  <c r="AX139" i="86"/>
  <c r="AN139" i="86"/>
  <c r="AD139" i="86"/>
  <c r="S139" i="86"/>
  <c r="AX137" i="86"/>
  <c r="AN137" i="86"/>
  <c r="AD137" i="86"/>
  <c r="S137" i="86"/>
  <c r="C130" i="86"/>
  <c r="C115" i="86"/>
  <c r="C114" i="86"/>
  <c r="D109" i="86"/>
  <c r="B109" i="86"/>
  <c r="D108" i="86"/>
  <c r="B108" i="86"/>
  <c r="E107" i="86"/>
  <c r="D107" i="86"/>
  <c r="B107" i="86"/>
  <c r="H106" i="86"/>
  <c r="E106" i="86"/>
  <c r="D106" i="86"/>
  <c r="B106" i="86"/>
  <c r="H105" i="86"/>
  <c r="E105" i="86"/>
  <c r="D105" i="86"/>
  <c r="B105" i="86"/>
  <c r="E104" i="86"/>
  <c r="D104" i="86"/>
  <c r="B104" i="86"/>
  <c r="H103" i="86"/>
  <c r="E103" i="86"/>
  <c r="D103" i="86"/>
  <c r="B103" i="86"/>
  <c r="H102" i="86"/>
  <c r="E102" i="86"/>
  <c r="D102" i="86"/>
  <c r="B102" i="86"/>
  <c r="H101" i="86"/>
  <c r="E101" i="86"/>
  <c r="D101" i="86"/>
  <c r="B101" i="86"/>
  <c r="H100" i="86"/>
  <c r="E100" i="86"/>
  <c r="D100" i="86"/>
  <c r="B100" i="86"/>
  <c r="G97" i="86"/>
  <c r="J76" i="86"/>
  <c r="I76" i="86"/>
  <c r="AX64" i="86"/>
  <c r="AN64" i="86"/>
  <c r="AD64" i="86"/>
  <c r="S64" i="86"/>
  <c r="I59" i="86"/>
  <c r="H59" i="86"/>
  <c r="G59" i="86"/>
  <c r="F59" i="86"/>
  <c r="E59" i="86"/>
  <c r="C59" i="86"/>
  <c r="I58" i="86"/>
  <c r="H58" i="86"/>
  <c r="G58" i="86"/>
  <c r="F58" i="86"/>
  <c r="E58" i="86"/>
  <c r="C58" i="86"/>
  <c r="I57" i="86"/>
  <c r="H57" i="86"/>
  <c r="G57" i="86"/>
  <c r="F57" i="86"/>
  <c r="E57" i="86"/>
  <c r="C57" i="86"/>
  <c r="I56" i="86"/>
  <c r="H56" i="86"/>
  <c r="G56" i="86"/>
  <c r="F56" i="86"/>
  <c r="E56" i="86"/>
  <c r="C56" i="86"/>
  <c r="I55" i="86"/>
  <c r="H55" i="86"/>
  <c r="G55" i="86"/>
  <c r="F55" i="86"/>
  <c r="E55" i="86"/>
  <c r="C55" i="86"/>
  <c r="AX54" i="86"/>
  <c r="AN54" i="86"/>
  <c r="AD54" i="86"/>
  <c r="S54" i="86"/>
  <c r="I54" i="86"/>
  <c r="H54" i="86"/>
  <c r="G54" i="86"/>
  <c r="F54" i="86"/>
  <c r="E54" i="86"/>
  <c r="C54" i="86"/>
  <c r="I53" i="86"/>
  <c r="H53" i="86"/>
  <c r="G53" i="86"/>
  <c r="F53" i="86"/>
  <c r="AP199" i="86" s="1"/>
  <c r="E53" i="86"/>
  <c r="C53" i="86"/>
  <c r="I52" i="86"/>
  <c r="H52" i="86"/>
  <c r="G52" i="86"/>
  <c r="F52" i="86"/>
  <c r="E52" i="86"/>
  <c r="C52" i="86"/>
  <c r="I51" i="86"/>
  <c r="H51" i="86"/>
  <c r="G51" i="86"/>
  <c r="F51" i="86"/>
  <c r="E51" i="86"/>
  <c r="C51" i="86"/>
  <c r="I50" i="86"/>
  <c r="H50" i="86"/>
  <c r="G50" i="86"/>
  <c r="F50" i="86"/>
  <c r="AP196" i="86" s="1"/>
  <c r="E50" i="86"/>
  <c r="C50" i="86"/>
  <c r="I49" i="86"/>
  <c r="H49" i="86"/>
  <c r="G49" i="86"/>
  <c r="F49" i="86"/>
  <c r="E49" i="86"/>
  <c r="C49" i="86"/>
  <c r="I48" i="86"/>
  <c r="H48" i="86"/>
  <c r="G48" i="86"/>
  <c r="F48" i="86"/>
  <c r="E48" i="86"/>
  <c r="C48" i="86"/>
  <c r="I47" i="86"/>
  <c r="H47" i="86"/>
  <c r="G47" i="86"/>
  <c r="F47" i="86"/>
  <c r="AP193" i="86" s="1"/>
  <c r="E47" i="86"/>
  <c r="C47" i="86"/>
  <c r="I46" i="86"/>
  <c r="H46" i="86"/>
  <c r="G46" i="86"/>
  <c r="F46" i="86"/>
  <c r="E46" i="86"/>
  <c r="C46" i="86"/>
  <c r="I45" i="86"/>
  <c r="H45" i="86"/>
  <c r="G45" i="86"/>
  <c r="F45" i="86"/>
  <c r="AP191" i="86" s="1"/>
  <c r="E45" i="86"/>
  <c r="C45" i="86"/>
  <c r="I44" i="86"/>
  <c r="H44" i="86"/>
  <c r="G44" i="86"/>
  <c r="F44" i="86"/>
  <c r="E44" i="86"/>
  <c r="C44" i="86"/>
  <c r="I43" i="86"/>
  <c r="H43" i="86"/>
  <c r="G43" i="86"/>
  <c r="F43" i="86"/>
  <c r="E43" i="86"/>
  <c r="C43" i="86"/>
  <c r="I42" i="86"/>
  <c r="H42" i="86"/>
  <c r="G42" i="86"/>
  <c r="F42" i="86"/>
  <c r="E42" i="86"/>
  <c r="C42" i="86"/>
  <c r="AX41" i="86"/>
  <c r="AN41" i="86"/>
  <c r="AD41" i="86"/>
  <c r="S41" i="86"/>
  <c r="I41" i="86"/>
  <c r="H41" i="86"/>
  <c r="G41" i="86"/>
  <c r="F41" i="86"/>
  <c r="E41" i="86"/>
  <c r="C41" i="86"/>
  <c r="AX40" i="86"/>
  <c r="AN40" i="86"/>
  <c r="AD40" i="86"/>
  <c r="S40" i="86"/>
  <c r="I40" i="86"/>
  <c r="H40" i="86"/>
  <c r="G40" i="86"/>
  <c r="F40" i="86"/>
  <c r="E40" i="86"/>
  <c r="C40" i="86"/>
  <c r="BC39" i="86"/>
  <c r="AS39" i="86"/>
  <c r="AI39" i="86"/>
  <c r="X39" i="86"/>
  <c r="I39" i="86"/>
  <c r="H39" i="86"/>
  <c r="G39" i="86"/>
  <c r="F39" i="86"/>
  <c r="E39" i="86"/>
  <c r="C39" i="86"/>
  <c r="AX38" i="86"/>
  <c r="AN38" i="86"/>
  <c r="AD38" i="86"/>
  <c r="S38" i="86"/>
  <c r="I38" i="86"/>
  <c r="H38" i="86"/>
  <c r="G38" i="86"/>
  <c r="F38" i="86"/>
  <c r="E38" i="86"/>
  <c r="AE184" i="86" s="1"/>
  <c r="C38" i="86"/>
  <c r="BC37" i="86"/>
  <c r="AX37" i="86"/>
  <c r="AS37" i="86"/>
  <c r="AN37" i="86"/>
  <c r="AI37" i="86"/>
  <c r="AD37" i="86"/>
  <c r="X37" i="86"/>
  <c r="S37" i="86"/>
  <c r="C37" i="86"/>
  <c r="BC36" i="86"/>
  <c r="AX33" i="86"/>
  <c r="AN33" i="86"/>
  <c r="AD33" i="86"/>
  <c r="S33" i="86"/>
  <c r="I33" i="86"/>
  <c r="H33" i="86"/>
  <c r="G33" i="86"/>
  <c r="AQ179" i="86" s="1"/>
  <c r="F33" i="86"/>
  <c r="E33" i="86"/>
  <c r="C33" i="86"/>
  <c r="BC32" i="86"/>
  <c r="AS32" i="86"/>
  <c r="AI32" i="86"/>
  <c r="AI36" i="86" s="1"/>
  <c r="X32" i="86"/>
  <c r="X36" i="86" s="1"/>
  <c r="I32" i="86"/>
  <c r="H32" i="86"/>
  <c r="G32" i="86"/>
  <c r="AQ178" i="86" s="1"/>
  <c r="F32" i="86"/>
  <c r="AP178" i="86" s="1"/>
  <c r="E32" i="86"/>
  <c r="C32" i="86"/>
  <c r="BC31" i="86"/>
  <c r="AS31" i="86"/>
  <c r="AI31" i="86"/>
  <c r="X31" i="86"/>
  <c r="I31" i="86"/>
  <c r="H31" i="86"/>
  <c r="G31" i="86"/>
  <c r="V177" i="86" s="1"/>
  <c r="F31" i="86"/>
  <c r="AF177" i="86" s="1"/>
  <c r="E31" i="86"/>
  <c r="AY177" i="86" s="1"/>
  <c r="C31" i="86"/>
  <c r="BC30" i="86"/>
  <c r="AX30" i="86"/>
  <c r="AS30" i="86"/>
  <c r="AN30" i="86"/>
  <c r="AI30" i="86"/>
  <c r="AD30" i="86"/>
  <c r="X30" i="86"/>
  <c r="S30" i="86"/>
  <c r="I30" i="86"/>
  <c r="H30" i="86"/>
  <c r="G30" i="86"/>
  <c r="F30" i="86"/>
  <c r="E30" i="86"/>
  <c r="C30" i="86"/>
  <c r="BC29" i="86"/>
  <c r="BC33" i="86" s="1"/>
  <c r="AS29" i="86"/>
  <c r="AI29" i="86"/>
  <c r="X29" i="86"/>
  <c r="I29" i="86"/>
  <c r="H29" i="86"/>
  <c r="G29" i="86"/>
  <c r="F29" i="86"/>
  <c r="AZ175" i="86" s="1"/>
  <c r="E29" i="86"/>
  <c r="C29" i="86"/>
  <c r="I28" i="86"/>
  <c r="H28" i="86"/>
  <c r="G28" i="86"/>
  <c r="F28" i="86"/>
  <c r="E28" i="86"/>
  <c r="AY174" i="86" s="1"/>
  <c r="C28" i="86"/>
  <c r="I27" i="86"/>
  <c r="H27" i="86"/>
  <c r="G27" i="86"/>
  <c r="F27" i="86"/>
  <c r="E27" i="86"/>
  <c r="C27" i="86"/>
  <c r="I26" i="86"/>
  <c r="H26" i="86"/>
  <c r="G26" i="86"/>
  <c r="F26" i="86"/>
  <c r="E26" i="86"/>
  <c r="C26" i="86"/>
  <c r="I25" i="86"/>
  <c r="H25" i="86"/>
  <c r="G25" i="86"/>
  <c r="F25" i="86"/>
  <c r="E25" i="86"/>
  <c r="C25" i="86"/>
  <c r="I24" i="86"/>
  <c r="H24" i="86"/>
  <c r="G24" i="86"/>
  <c r="AQ170" i="86" s="1"/>
  <c r="F24" i="86"/>
  <c r="AF170" i="86" s="1"/>
  <c r="E24" i="86"/>
  <c r="C24" i="86"/>
  <c r="AX23" i="86"/>
  <c r="AN23" i="86"/>
  <c r="AD23" i="86"/>
  <c r="S23" i="86"/>
  <c r="I23" i="86"/>
  <c r="H23" i="86"/>
  <c r="G23" i="86"/>
  <c r="AQ169" i="86" s="1"/>
  <c r="F23" i="86"/>
  <c r="AP169" i="86" s="1"/>
  <c r="E23" i="86"/>
  <c r="C23" i="86"/>
  <c r="S22" i="86"/>
  <c r="X25" i="86" s="1"/>
  <c r="I22" i="86"/>
  <c r="H22" i="86"/>
  <c r="G22" i="86"/>
  <c r="F22" i="86"/>
  <c r="E22" i="86"/>
  <c r="C22" i="86"/>
  <c r="I21" i="86"/>
  <c r="H21" i="86"/>
  <c r="G21" i="86"/>
  <c r="AG167" i="86" s="1"/>
  <c r="F21" i="86"/>
  <c r="AF167" i="86" s="1"/>
  <c r="E21" i="86"/>
  <c r="C21" i="86"/>
  <c r="I20" i="86"/>
  <c r="H20" i="86"/>
  <c r="G20" i="86"/>
  <c r="F20" i="86"/>
  <c r="E20" i="86"/>
  <c r="C20" i="86"/>
  <c r="I19" i="86"/>
  <c r="H19" i="86"/>
  <c r="G19" i="86"/>
  <c r="AG165" i="86" s="1"/>
  <c r="F19" i="86"/>
  <c r="AF165" i="86" s="1"/>
  <c r="E19" i="86"/>
  <c r="C19" i="86"/>
  <c r="I18" i="86"/>
  <c r="H18" i="86"/>
  <c r="G18" i="86"/>
  <c r="AG164" i="86" s="1"/>
  <c r="F18" i="86"/>
  <c r="U164" i="86" s="1"/>
  <c r="E18" i="86"/>
  <c r="AY164" i="86" s="1"/>
  <c r="C18" i="86"/>
  <c r="I17" i="86"/>
  <c r="H17" i="86"/>
  <c r="G17" i="86"/>
  <c r="BA163" i="86" s="1"/>
  <c r="F17" i="86"/>
  <c r="E17" i="86"/>
  <c r="AY163" i="86" s="1"/>
  <c r="C17" i="86"/>
  <c r="I16" i="86"/>
  <c r="H16" i="86"/>
  <c r="G16" i="86"/>
  <c r="F16" i="86"/>
  <c r="E16" i="86"/>
  <c r="C16" i="86"/>
  <c r="I15" i="86"/>
  <c r="H15" i="86"/>
  <c r="G15" i="86"/>
  <c r="AG161" i="86" s="1"/>
  <c r="F15" i="86"/>
  <c r="E15" i="86"/>
  <c r="C15" i="86"/>
  <c r="I14" i="86"/>
  <c r="H14" i="86"/>
  <c r="G14" i="86"/>
  <c r="AG160" i="86" s="1"/>
  <c r="F14" i="86"/>
  <c r="AF160" i="86" s="1"/>
  <c r="E14" i="86"/>
  <c r="C14" i="86"/>
  <c r="AT13" i="86"/>
  <c r="AN86" i="86" s="1"/>
  <c r="AJ13" i="86"/>
  <c r="G156" i="86" s="1"/>
  <c r="Y13" i="86"/>
  <c r="S86" i="86" s="1"/>
  <c r="I13" i="86"/>
  <c r="H13" i="86"/>
  <c r="G13" i="86"/>
  <c r="F13" i="86"/>
  <c r="U159" i="86" s="1"/>
  <c r="E13" i="86"/>
  <c r="C13" i="86"/>
  <c r="O12" i="86"/>
  <c r="I12" i="86"/>
  <c r="H12" i="86"/>
  <c r="G12" i="86"/>
  <c r="AQ158" i="86" s="1"/>
  <c r="F12" i="86"/>
  <c r="AP158" i="86" s="1"/>
  <c r="E12" i="86"/>
  <c r="C12" i="86"/>
  <c r="O11" i="86"/>
  <c r="C11" i="86"/>
  <c r="O10" i="86"/>
  <c r="O9" i="86"/>
  <c r="T8" i="86"/>
  <c r="AY7" i="86"/>
  <c r="AY8" i="86" s="1"/>
  <c r="AO7" i="86"/>
  <c r="AO8" i="86" s="1"/>
  <c r="AE7" i="86"/>
  <c r="AE8" i="86" s="1"/>
  <c r="T7" i="86"/>
  <c r="AY6" i="86"/>
  <c r="AO6" i="86"/>
  <c r="AE6" i="86"/>
  <c r="T6" i="86"/>
  <c r="AY5" i="86"/>
  <c r="AO5" i="86"/>
  <c r="AE5" i="86"/>
  <c r="AE9" i="86" s="1"/>
  <c r="T5" i="86"/>
  <c r="T9" i="86" s="1"/>
  <c r="AY4" i="86"/>
  <c r="AO4" i="86"/>
  <c r="AE4" i="86"/>
  <c r="T4" i="86"/>
  <c r="C249" i="85"/>
  <c r="C200" i="85"/>
  <c r="AO4" i="85" s="1"/>
  <c r="C151" i="85"/>
  <c r="C97" i="85"/>
  <c r="C282" i="85"/>
  <c r="C267" i="85"/>
  <c r="C266" i="85"/>
  <c r="D261" i="85"/>
  <c r="B261" i="85"/>
  <c r="D260" i="85"/>
  <c r="B260" i="85"/>
  <c r="E259" i="85"/>
  <c r="D259" i="85"/>
  <c r="B259" i="85"/>
  <c r="H258" i="85"/>
  <c r="E258" i="85"/>
  <c r="D258" i="85"/>
  <c r="B258" i="85"/>
  <c r="H257" i="85"/>
  <c r="E257" i="85"/>
  <c r="D257" i="85"/>
  <c r="B257" i="85"/>
  <c r="E256" i="85"/>
  <c r="D256" i="85"/>
  <c r="B256" i="85"/>
  <c r="H255" i="85"/>
  <c r="E255" i="85"/>
  <c r="D255" i="85"/>
  <c r="B255" i="85"/>
  <c r="H254" i="85"/>
  <c r="E254" i="85"/>
  <c r="D254" i="85"/>
  <c r="B254" i="85"/>
  <c r="H253" i="85"/>
  <c r="E253" i="85"/>
  <c r="D253" i="85"/>
  <c r="B253" i="85"/>
  <c r="H252" i="85"/>
  <c r="E252" i="85"/>
  <c r="D252" i="85"/>
  <c r="B252" i="85"/>
  <c r="G249" i="85"/>
  <c r="C233" i="85"/>
  <c r="C218" i="85"/>
  <c r="C217" i="85"/>
  <c r="D212" i="85"/>
  <c r="B212" i="85"/>
  <c r="D211" i="85"/>
  <c r="B211" i="85"/>
  <c r="E210" i="85"/>
  <c r="D210" i="85"/>
  <c r="B210" i="85"/>
  <c r="H209" i="85"/>
  <c r="E209" i="85"/>
  <c r="D209" i="85"/>
  <c r="B209" i="85"/>
  <c r="H208" i="85"/>
  <c r="E208" i="85"/>
  <c r="D208" i="85"/>
  <c r="B208" i="85"/>
  <c r="E207" i="85"/>
  <c r="D207" i="85"/>
  <c r="B207" i="85"/>
  <c r="H206" i="85"/>
  <c r="E206" i="85"/>
  <c r="D206" i="85"/>
  <c r="B206" i="85"/>
  <c r="H205" i="85"/>
  <c r="E205" i="85"/>
  <c r="D205" i="85"/>
  <c r="B205" i="85"/>
  <c r="H204" i="85"/>
  <c r="E204" i="85"/>
  <c r="D204" i="85"/>
  <c r="B204" i="85"/>
  <c r="H203" i="85"/>
  <c r="E203" i="85"/>
  <c r="D203" i="85"/>
  <c r="B203" i="85"/>
  <c r="G200" i="85"/>
  <c r="AO192" i="85"/>
  <c r="AF192" i="85"/>
  <c r="AO188" i="85"/>
  <c r="AF188" i="85"/>
  <c r="C184" i="85"/>
  <c r="AV181" i="85"/>
  <c r="AL181" i="85"/>
  <c r="AB181" i="85"/>
  <c r="Q181" i="85"/>
  <c r="U179" i="85"/>
  <c r="AE178" i="85"/>
  <c r="AO176" i="85"/>
  <c r="C169" i="85"/>
  <c r="C168" i="85"/>
  <c r="D163" i="85"/>
  <c r="B163" i="85"/>
  <c r="D162" i="85"/>
  <c r="B162" i="85"/>
  <c r="E161" i="85"/>
  <c r="D161" i="85"/>
  <c r="B161" i="85"/>
  <c r="H160" i="85"/>
  <c r="E160" i="85"/>
  <c r="D160" i="85"/>
  <c r="B160" i="85"/>
  <c r="H159" i="85"/>
  <c r="E159" i="85"/>
  <c r="D159" i="85"/>
  <c r="B159" i="85"/>
  <c r="E158" i="85"/>
  <c r="D158" i="85"/>
  <c r="B158" i="85"/>
  <c r="H157" i="85"/>
  <c r="E157" i="85"/>
  <c r="D157" i="85"/>
  <c r="B157" i="85"/>
  <c r="H156" i="85"/>
  <c r="E156" i="85"/>
  <c r="D156" i="85"/>
  <c r="B156" i="85"/>
  <c r="AV155" i="85"/>
  <c r="AL155" i="85"/>
  <c r="AB155" i="85"/>
  <c r="Q155" i="85"/>
  <c r="H155" i="85"/>
  <c r="E155" i="85"/>
  <c r="D155" i="85"/>
  <c r="B155" i="85"/>
  <c r="H154" i="85"/>
  <c r="E154" i="85"/>
  <c r="D154" i="85"/>
  <c r="B154" i="85"/>
  <c r="G151" i="85"/>
  <c r="AX147" i="85"/>
  <c r="AN147" i="85"/>
  <c r="AD147" i="85"/>
  <c r="S147" i="85"/>
  <c r="AX146" i="85"/>
  <c r="AN146" i="85"/>
  <c r="AD146" i="85"/>
  <c r="S146" i="85"/>
  <c r="AX139" i="85"/>
  <c r="AN139" i="85"/>
  <c r="AD139" i="85"/>
  <c r="S139" i="85"/>
  <c r="AX137" i="85"/>
  <c r="AN137" i="85"/>
  <c r="AD137" i="85"/>
  <c r="S137" i="85"/>
  <c r="C130" i="85"/>
  <c r="C115" i="85"/>
  <c r="C114" i="85"/>
  <c r="D109" i="85"/>
  <c r="B109" i="85"/>
  <c r="D108" i="85"/>
  <c r="B108" i="85"/>
  <c r="E107" i="85"/>
  <c r="D107" i="85"/>
  <c r="B107" i="85"/>
  <c r="H106" i="85"/>
  <c r="E106" i="85"/>
  <c r="D106" i="85"/>
  <c r="B106" i="85"/>
  <c r="H105" i="85"/>
  <c r="E105" i="85"/>
  <c r="D105" i="85"/>
  <c r="B105" i="85"/>
  <c r="E104" i="85"/>
  <c r="D104" i="85"/>
  <c r="B104" i="85"/>
  <c r="H103" i="85"/>
  <c r="E103" i="85"/>
  <c r="D103" i="85"/>
  <c r="B103" i="85"/>
  <c r="H102" i="85"/>
  <c r="E102" i="85"/>
  <c r="D102" i="85"/>
  <c r="B102" i="85"/>
  <c r="H101" i="85"/>
  <c r="E101" i="85"/>
  <c r="D101" i="85"/>
  <c r="B101" i="85"/>
  <c r="H100" i="85"/>
  <c r="E100" i="85"/>
  <c r="D100" i="85"/>
  <c r="B100" i="85"/>
  <c r="G97" i="85"/>
  <c r="J76" i="85"/>
  <c r="I76" i="85"/>
  <c r="AX64" i="85"/>
  <c r="AN64" i="85"/>
  <c r="AD64" i="85"/>
  <c r="S64" i="85"/>
  <c r="I59" i="85"/>
  <c r="H59" i="85"/>
  <c r="G59" i="85"/>
  <c r="F59" i="85"/>
  <c r="E59" i="85"/>
  <c r="C59" i="85"/>
  <c r="I58" i="85"/>
  <c r="H58" i="85"/>
  <c r="G58" i="85"/>
  <c r="F58" i="85"/>
  <c r="E58" i="85"/>
  <c r="AE204" i="85" s="1"/>
  <c r="C58" i="85"/>
  <c r="I57" i="85"/>
  <c r="H57" i="85"/>
  <c r="G57" i="85"/>
  <c r="F57" i="85"/>
  <c r="AF203" i="85" s="1"/>
  <c r="E57" i="85"/>
  <c r="C57" i="85"/>
  <c r="I56" i="85"/>
  <c r="H56" i="85"/>
  <c r="G56" i="85"/>
  <c r="F56" i="85"/>
  <c r="E56" i="85"/>
  <c r="AE202" i="85" s="1"/>
  <c r="C56" i="85"/>
  <c r="I55" i="85"/>
  <c r="H55" i="85"/>
  <c r="G55" i="85"/>
  <c r="F55" i="85"/>
  <c r="E55" i="85"/>
  <c r="C55" i="85"/>
  <c r="AX54" i="85"/>
  <c r="AN54" i="85"/>
  <c r="AD54" i="85"/>
  <c r="S54" i="85"/>
  <c r="I54" i="85"/>
  <c r="H54" i="85"/>
  <c r="G54" i="85"/>
  <c r="F54" i="85"/>
  <c r="E54" i="85"/>
  <c r="C54" i="85"/>
  <c r="I53" i="85"/>
  <c r="H53" i="85"/>
  <c r="G53" i="85"/>
  <c r="F53" i="85"/>
  <c r="AF199" i="85" s="1"/>
  <c r="E53" i="85"/>
  <c r="C53" i="85"/>
  <c r="I52" i="85"/>
  <c r="H52" i="85"/>
  <c r="G52" i="85"/>
  <c r="F52" i="85"/>
  <c r="AF198" i="85" s="1"/>
  <c r="E52" i="85"/>
  <c r="C52" i="85"/>
  <c r="I51" i="85"/>
  <c r="H51" i="85"/>
  <c r="G51" i="85"/>
  <c r="F51" i="85"/>
  <c r="E51" i="85"/>
  <c r="C51" i="85"/>
  <c r="I50" i="85"/>
  <c r="H50" i="85"/>
  <c r="G50" i="85"/>
  <c r="F50" i="85"/>
  <c r="E50" i="85"/>
  <c r="AO196" i="85" s="1"/>
  <c r="C50" i="85"/>
  <c r="I49" i="85"/>
  <c r="H49" i="85"/>
  <c r="G49" i="85"/>
  <c r="F49" i="85"/>
  <c r="E49" i="85"/>
  <c r="C49" i="85"/>
  <c r="I48" i="85"/>
  <c r="H48" i="85"/>
  <c r="G48" i="85"/>
  <c r="F48" i="85"/>
  <c r="E48" i="85"/>
  <c r="C48" i="85"/>
  <c r="I47" i="85"/>
  <c r="H47" i="85"/>
  <c r="G47" i="85"/>
  <c r="F47" i="85"/>
  <c r="U193" i="85" s="1"/>
  <c r="E47" i="85"/>
  <c r="C47" i="85"/>
  <c r="I46" i="85"/>
  <c r="H46" i="85"/>
  <c r="G46" i="85"/>
  <c r="F46" i="85"/>
  <c r="E46" i="85"/>
  <c r="C46" i="85"/>
  <c r="I45" i="85"/>
  <c r="H45" i="85"/>
  <c r="G45" i="85"/>
  <c r="F45" i="85"/>
  <c r="E45" i="85"/>
  <c r="C45" i="85"/>
  <c r="I44" i="85"/>
  <c r="H44" i="85"/>
  <c r="G44" i="85"/>
  <c r="F44" i="85"/>
  <c r="E44" i="85"/>
  <c r="C44" i="85"/>
  <c r="I43" i="85"/>
  <c r="H43" i="85"/>
  <c r="G43" i="85"/>
  <c r="F43" i="85"/>
  <c r="E43" i="85"/>
  <c r="C43" i="85"/>
  <c r="I42" i="85"/>
  <c r="H42" i="85"/>
  <c r="G42" i="85"/>
  <c r="F42" i="85"/>
  <c r="E42" i="85"/>
  <c r="C42" i="85"/>
  <c r="AX41" i="85"/>
  <c r="AN41" i="85"/>
  <c r="AD41" i="85"/>
  <c r="S41" i="85"/>
  <c r="I41" i="85"/>
  <c r="H41" i="85"/>
  <c r="G41" i="85"/>
  <c r="F41" i="85"/>
  <c r="U187" i="85" s="1"/>
  <c r="E41" i="85"/>
  <c r="AO187" i="85" s="1"/>
  <c r="C41" i="85"/>
  <c r="AX40" i="85"/>
  <c r="AN40" i="85"/>
  <c r="AD40" i="85"/>
  <c r="S40" i="85"/>
  <c r="I40" i="85"/>
  <c r="H40" i="85"/>
  <c r="G40" i="85"/>
  <c r="F40" i="85"/>
  <c r="E40" i="85"/>
  <c r="C40" i="85"/>
  <c r="BC39" i="85"/>
  <c r="AS39" i="85"/>
  <c r="AI39" i="85"/>
  <c r="AG205" i="85" s="1"/>
  <c r="X39" i="85"/>
  <c r="I39" i="85"/>
  <c r="H39" i="85"/>
  <c r="G39" i="85"/>
  <c r="F39" i="85"/>
  <c r="E39" i="85"/>
  <c r="C39" i="85"/>
  <c r="AX38" i="85"/>
  <c r="AN38" i="85"/>
  <c r="AD38" i="85"/>
  <c r="S38" i="85"/>
  <c r="I38" i="85"/>
  <c r="H38" i="85"/>
  <c r="G38" i="85"/>
  <c r="F38" i="85"/>
  <c r="E38" i="85"/>
  <c r="AY184" i="85" s="1"/>
  <c r="C38" i="85"/>
  <c r="BC37" i="85"/>
  <c r="AX37" i="85"/>
  <c r="AS37" i="85"/>
  <c r="AN37" i="85"/>
  <c r="AI37" i="85"/>
  <c r="AD37" i="85"/>
  <c r="X37" i="85"/>
  <c r="S37" i="85"/>
  <c r="AS36" i="85"/>
  <c r="AI36" i="85"/>
  <c r="AX33" i="85"/>
  <c r="AN33" i="85"/>
  <c r="AD33" i="85"/>
  <c r="S33" i="85"/>
  <c r="I33" i="85"/>
  <c r="H33" i="85"/>
  <c r="G33" i="85"/>
  <c r="V179" i="85" s="1"/>
  <c r="F33" i="85"/>
  <c r="E33" i="85"/>
  <c r="AE179" i="85" s="1"/>
  <c r="C33" i="85"/>
  <c r="BC32" i="85"/>
  <c r="BC36" i="85" s="1"/>
  <c r="AS32" i="85"/>
  <c r="AI32" i="85"/>
  <c r="X32" i="85"/>
  <c r="X36" i="85" s="1"/>
  <c r="T198" i="85" s="1"/>
  <c r="I32" i="85"/>
  <c r="H32" i="85"/>
  <c r="G32" i="85"/>
  <c r="F32" i="85"/>
  <c r="E32" i="85"/>
  <c r="C32" i="85"/>
  <c r="BC31" i="85"/>
  <c r="AS31" i="85"/>
  <c r="AI31" i="85"/>
  <c r="X31" i="85"/>
  <c r="I31" i="85"/>
  <c r="H31" i="85"/>
  <c r="G31" i="85"/>
  <c r="AG177" i="85" s="1"/>
  <c r="F31" i="85"/>
  <c r="AF177" i="85" s="1"/>
  <c r="E31" i="85"/>
  <c r="C31" i="85"/>
  <c r="BC30" i="85"/>
  <c r="AX30" i="85"/>
  <c r="AS30" i="85"/>
  <c r="AN30" i="85"/>
  <c r="AI30" i="85"/>
  <c r="AD30" i="85"/>
  <c r="X30" i="85"/>
  <c r="S30" i="85"/>
  <c r="I30" i="85"/>
  <c r="H30" i="85"/>
  <c r="G30" i="85"/>
  <c r="AG176" i="85" s="1"/>
  <c r="F30" i="85"/>
  <c r="E30" i="85"/>
  <c r="C30" i="85"/>
  <c r="BC29" i="85"/>
  <c r="AS29" i="85"/>
  <c r="AI29" i="85"/>
  <c r="AI33" i="85" s="1"/>
  <c r="X29" i="85"/>
  <c r="X33" i="85" s="1"/>
  <c r="I29" i="85"/>
  <c r="H29" i="85"/>
  <c r="G29" i="85"/>
  <c r="F29" i="85"/>
  <c r="U175" i="85" s="1"/>
  <c r="E29" i="85"/>
  <c r="C29" i="85"/>
  <c r="I28" i="85"/>
  <c r="H28" i="85"/>
  <c r="G28" i="85"/>
  <c r="F28" i="85"/>
  <c r="AP174" i="85" s="1"/>
  <c r="E28" i="85"/>
  <c r="C28" i="85"/>
  <c r="I27" i="85"/>
  <c r="H27" i="85"/>
  <c r="G27" i="85"/>
  <c r="F27" i="85"/>
  <c r="U173" i="85" s="1"/>
  <c r="E27" i="85"/>
  <c r="AO173" i="85" s="1"/>
  <c r="C27" i="85"/>
  <c r="I26" i="85"/>
  <c r="H26" i="85"/>
  <c r="G26" i="85"/>
  <c r="F26" i="85"/>
  <c r="E26" i="85"/>
  <c r="AY172" i="85" s="1"/>
  <c r="C26" i="85"/>
  <c r="I25" i="85"/>
  <c r="H25" i="85"/>
  <c r="G25" i="85"/>
  <c r="F25" i="85"/>
  <c r="E25" i="85"/>
  <c r="T171" i="85" s="1"/>
  <c r="C25" i="85"/>
  <c r="I24" i="85"/>
  <c r="H24" i="85"/>
  <c r="G24" i="85"/>
  <c r="F24" i="85"/>
  <c r="U170" i="85" s="1"/>
  <c r="E24" i="85"/>
  <c r="C24" i="85"/>
  <c r="AX23" i="85"/>
  <c r="AN23" i="85"/>
  <c r="AD23" i="85"/>
  <c r="S23" i="85"/>
  <c r="I23" i="85"/>
  <c r="H23" i="85"/>
  <c r="G23" i="85"/>
  <c r="F23" i="85"/>
  <c r="U169" i="85" s="1"/>
  <c r="E23" i="85"/>
  <c r="C23" i="85"/>
  <c r="S22" i="85"/>
  <c r="I22" i="85"/>
  <c r="H22" i="85"/>
  <c r="G22" i="85"/>
  <c r="BA168" i="85" s="1"/>
  <c r="F22" i="85"/>
  <c r="E22" i="85"/>
  <c r="AE168" i="85" s="1"/>
  <c r="C22" i="85"/>
  <c r="I21" i="85"/>
  <c r="H21" i="85"/>
  <c r="G21" i="85"/>
  <c r="AG167" i="85" s="1"/>
  <c r="F21" i="85"/>
  <c r="AF167" i="85" s="1"/>
  <c r="E21" i="85"/>
  <c r="AE167" i="85" s="1"/>
  <c r="C21" i="85"/>
  <c r="I20" i="85"/>
  <c r="H20" i="85"/>
  <c r="G20" i="85"/>
  <c r="F20" i="85"/>
  <c r="AP166" i="85" s="1"/>
  <c r="E20" i="85"/>
  <c r="C20" i="85"/>
  <c r="I19" i="85"/>
  <c r="H19" i="85"/>
  <c r="G19" i="85"/>
  <c r="BA165" i="85" s="1"/>
  <c r="F19" i="85"/>
  <c r="AF165" i="85" s="1"/>
  <c r="E19" i="85"/>
  <c r="C19" i="85"/>
  <c r="I18" i="85"/>
  <c r="H18" i="85"/>
  <c r="G18" i="85"/>
  <c r="BA164" i="85" s="1"/>
  <c r="F18" i="85"/>
  <c r="E18" i="85"/>
  <c r="AY164" i="85" s="1"/>
  <c r="C18" i="85"/>
  <c r="I17" i="85"/>
  <c r="H17" i="85"/>
  <c r="G17" i="85"/>
  <c r="F17" i="85"/>
  <c r="E17" i="85"/>
  <c r="C17" i="85"/>
  <c r="I16" i="85"/>
  <c r="H16" i="85"/>
  <c r="G16" i="85"/>
  <c r="BA162" i="85" s="1"/>
  <c r="F16" i="85"/>
  <c r="E16" i="85"/>
  <c r="AO162" i="85" s="1"/>
  <c r="C16" i="85"/>
  <c r="I15" i="85"/>
  <c r="H15" i="85"/>
  <c r="G15" i="85"/>
  <c r="BA161" i="85" s="1"/>
  <c r="F15" i="85"/>
  <c r="U161" i="85" s="1"/>
  <c r="E15" i="85"/>
  <c r="AO161" i="85" s="1"/>
  <c r="C15" i="85"/>
  <c r="I14" i="85"/>
  <c r="H14" i="85"/>
  <c r="G14" i="85"/>
  <c r="AG160" i="85" s="1"/>
  <c r="F14" i="85"/>
  <c r="AP160" i="85" s="1"/>
  <c r="E14" i="85"/>
  <c r="AE160" i="85" s="1"/>
  <c r="C14" i="85"/>
  <c r="I13" i="85"/>
  <c r="H13" i="85"/>
  <c r="G13" i="85"/>
  <c r="F13" i="85"/>
  <c r="E13" i="85"/>
  <c r="C13" i="85"/>
  <c r="O12" i="85"/>
  <c r="I12" i="85"/>
  <c r="H12" i="85"/>
  <c r="G12" i="85"/>
  <c r="F12" i="85"/>
  <c r="E12" i="85"/>
  <c r="AE158" i="85" s="1"/>
  <c r="C12" i="85"/>
  <c r="O11" i="85"/>
  <c r="C11" i="85"/>
  <c r="C37" i="85" s="1"/>
  <c r="O10" i="85"/>
  <c r="O9" i="85"/>
  <c r="AE8" i="85"/>
  <c r="AY7" i="85"/>
  <c r="AO7" i="85"/>
  <c r="AO8" i="85" s="1"/>
  <c r="AE7" i="85"/>
  <c r="T7" i="85"/>
  <c r="AY6" i="85"/>
  <c r="AY8" i="85" s="1"/>
  <c r="AO6" i="85"/>
  <c r="AE6" i="85"/>
  <c r="T6" i="85"/>
  <c r="AY5" i="85"/>
  <c r="AO5" i="85"/>
  <c r="AE5" i="85"/>
  <c r="T5" i="85"/>
  <c r="AY4" i="85"/>
  <c r="AE4" i="85"/>
  <c r="T4" i="85"/>
  <c r="C249" i="84"/>
  <c r="AY4" i="84" s="1"/>
  <c r="BD13" i="84" s="1"/>
  <c r="C200" i="84"/>
  <c r="C151" i="84"/>
  <c r="AE4" i="84" s="1"/>
  <c r="C97" i="84"/>
  <c r="T4" i="84" s="1"/>
  <c r="Y13" i="84" s="1"/>
  <c r="G102" i="84" s="1"/>
  <c r="C282" i="84"/>
  <c r="C267" i="84"/>
  <c r="C266" i="84"/>
  <c r="D261" i="84"/>
  <c r="B261" i="84"/>
  <c r="D260" i="84"/>
  <c r="B260" i="84"/>
  <c r="E259" i="84"/>
  <c r="D259" i="84"/>
  <c r="B259" i="84"/>
  <c r="H258" i="84"/>
  <c r="E258" i="84"/>
  <c r="D258" i="84"/>
  <c r="B258" i="84"/>
  <c r="H257" i="84"/>
  <c r="E257" i="84"/>
  <c r="D257" i="84"/>
  <c r="B257" i="84"/>
  <c r="E256" i="84"/>
  <c r="D256" i="84"/>
  <c r="B256" i="84"/>
  <c r="H255" i="84"/>
  <c r="E255" i="84"/>
  <c r="D255" i="84"/>
  <c r="B255" i="84"/>
  <c r="H254" i="84"/>
  <c r="E254" i="84"/>
  <c r="D254" i="84"/>
  <c r="B254" i="84"/>
  <c r="H253" i="84"/>
  <c r="E253" i="84"/>
  <c r="D253" i="84"/>
  <c r="B253" i="84"/>
  <c r="H252" i="84"/>
  <c r="E252" i="84"/>
  <c r="D252" i="84"/>
  <c r="B252" i="84"/>
  <c r="G249" i="84"/>
  <c r="C233" i="84"/>
  <c r="C218" i="84"/>
  <c r="C217" i="84"/>
  <c r="D212" i="84"/>
  <c r="B212" i="84"/>
  <c r="D211" i="84"/>
  <c r="B211" i="84"/>
  <c r="E210" i="84"/>
  <c r="D210" i="84"/>
  <c r="B210" i="84"/>
  <c r="H209" i="84"/>
  <c r="E209" i="84"/>
  <c r="D209" i="84"/>
  <c r="B209" i="84"/>
  <c r="H208" i="84"/>
  <c r="E208" i="84"/>
  <c r="D208" i="84"/>
  <c r="B208" i="84"/>
  <c r="E207" i="84"/>
  <c r="D207" i="84"/>
  <c r="B207" i="84"/>
  <c r="H206" i="84"/>
  <c r="E206" i="84"/>
  <c r="D206" i="84"/>
  <c r="B206" i="84"/>
  <c r="U205" i="84"/>
  <c r="H205" i="84"/>
  <c r="E205" i="84"/>
  <c r="D205" i="84"/>
  <c r="B205" i="84"/>
  <c r="H204" i="84"/>
  <c r="E204" i="84"/>
  <c r="D204" i="84"/>
  <c r="B204" i="84"/>
  <c r="H203" i="84"/>
  <c r="E203" i="84"/>
  <c r="D203" i="84"/>
  <c r="B203" i="84"/>
  <c r="G200" i="84"/>
  <c r="U190" i="84"/>
  <c r="C184" i="84"/>
  <c r="AV181" i="84"/>
  <c r="AL181" i="84"/>
  <c r="AB181" i="84"/>
  <c r="Q181" i="84"/>
  <c r="T179" i="84"/>
  <c r="C169" i="84"/>
  <c r="C168" i="84"/>
  <c r="D163" i="84"/>
  <c r="B163" i="84"/>
  <c r="D162" i="84"/>
  <c r="B162" i="84"/>
  <c r="AY161" i="84"/>
  <c r="AP161" i="84"/>
  <c r="V161" i="84"/>
  <c r="E161" i="84"/>
  <c r="D161" i="84"/>
  <c r="B161" i="84"/>
  <c r="H160" i="84"/>
  <c r="E160" i="84"/>
  <c r="D160" i="84"/>
  <c r="B160" i="84"/>
  <c r="U159" i="84"/>
  <c r="T159" i="84"/>
  <c r="H159" i="84"/>
  <c r="E159" i="84"/>
  <c r="D159" i="84"/>
  <c r="B159" i="84"/>
  <c r="E158" i="84"/>
  <c r="D158" i="84"/>
  <c r="B158" i="84"/>
  <c r="H157" i="84"/>
  <c r="E157" i="84"/>
  <c r="D157" i="84"/>
  <c r="B157" i="84"/>
  <c r="H156" i="84"/>
  <c r="E156" i="84"/>
  <c r="D156" i="84"/>
  <c r="B156" i="84"/>
  <c r="AV155" i="84"/>
  <c r="AL155" i="84"/>
  <c r="AB155" i="84"/>
  <c r="Q155" i="84"/>
  <c r="H155" i="84"/>
  <c r="E155" i="84"/>
  <c r="D155" i="84"/>
  <c r="B155" i="84"/>
  <c r="H154" i="84"/>
  <c r="E154" i="84"/>
  <c r="D154" i="84"/>
  <c r="B154" i="84"/>
  <c r="G151" i="84"/>
  <c r="AX147" i="84"/>
  <c r="AN147" i="84"/>
  <c r="AD147" i="84"/>
  <c r="S147" i="84"/>
  <c r="AX146" i="84"/>
  <c r="AN146" i="84"/>
  <c r="AD146" i="84"/>
  <c r="S146" i="84"/>
  <c r="AX139" i="84"/>
  <c r="AN139" i="84"/>
  <c r="AD139" i="84"/>
  <c r="S139" i="84"/>
  <c r="AX137" i="84"/>
  <c r="AN137" i="84"/>
  <c r="AD137" i="84"/>
  <c r="S137" i="84"/>
  <c r="C130" i="84"/>
  <c r="C115" i="84"/>
  <c r="C114" i="84"/>
  <c r="D109" i="84"/>
  <c r="B109" i="84"/>
  <c r="D108" i="84"/>
  <c r="B108" i="84"/>
  <c r="E107" i="84"/>
  <c r="D107" i="84"/>
  <c r="B107" i="84"/>
  <c r="H106" i="84"/>
  <c r="E106" i="84"/>
  <c r="D106" i="84"/>
  <c r="B106" i="84"/>
  <c r="H105" i="84"/>
  <c r="E105" i="84"/>
  <c r="D105" i="84"/>
  <c r="B105" i="84"/>
  <c r="E104" i="84"/>
  <c r="D104" i="84"/>
  <c r="B104" i="84"/>
  <c r="H103" i="84"/>
  <c r="E103" i="84"/>
  <c r="D103" i="84"/>
  <c r="B103" i="84"/>
  <c r="H102" i="84"/>
  <c r="E102" i="84"/>
  <c r="D102" i="84"/>
  <c r="B102" i="84"/>
  <c r="H101" i="84"/>
  <c r="E101" i="84"/>
  <c r="D101" i="84"/>
  <c r="B101" i="84"/>
  <c r="H100" i="84"/>
  <c r="E100" i="84"/>
  <c r="D100" i="84"/>
  <c r="B100" i="84"/>
  <c r="G97" i="84"/>
  <c r="J76" i="84"/>
  <c r="I76" i="84"/>
  <c r="AX64" i="84"/>
  <c r="AN64" i="84"/>
  <c r="AD64" i="84"/>
  <c r="S64" i="84"/>
  <c r="I59" i="84"/>
  <c r="H59" i="84"/>
  <c r="G59" i="84"/>
  <c r="F59" i="84"/>
  <c r="AP205" i="84" s="1"/>
  <c r="E59" i="84"/>
  <c r="C59" i="84"/>
  <c r="I58" i="84"/>
  <c r="H58" i="84"/>
  <c r="G58" i="84"/>
  <c r="F58" i="84"/>
  <c r="AZ204" i="84" s="1"/>
  <c r="E58" i="84"/>
  <c r="AO204" i="84" s="1"/>
  <c r="C58" i="84"/>
  <c r="I57" i="84"/>
  <c r="H57" i="84"/>
  <c r="G57" i="84"/>
  <c r="F57" i="84"/>
  <c r="AP203" i="84" s="1"/>
  <c r="E57" i="84"/>
  <c r="C57" i="84"/>
  <c r="I56" i="84"/>
  <c r="H56" i="84"/>
  <c r="G56" i="84"/>
  <c r="F56" i="84"/>
  <c r="AP202" i="84" s="1"/>
  <c r="E56" i="84"/>
  <c r="C56" i="84"/>
  <c r="I55" i="84"/>
  <c r="H55" i="84"/>
  <c r="G55" i="84"/>
  <c r="F55" i="84"/>
  <c r="E55" i="84"/>
  <c r="AO201" i="84" s="1"/>
  <c r="C55" i="84"/>
  <c r="AX54" i="84"/>
  <c r="AN54" i="84"/>
  <c r="AD54" i="84"/>
  <c r="S54" i="84"/>
  <c r="I54" i="84"/>
  <c r="H54" i="84"/>
  <c r="G54" i="84"/>
  <c r="F54" i="84"/>
  <c r="AZ200" i="84" s="1"/>
  <c r="E54" i="84"/>
  <c r="AY200" i="84" s="1"/>
  <c r="C54" i="84"/>
  <c r="I53" i="84"/>
  <c r="H53" i="84"/>
  <c r="G53" i="84"/>
  <c r="F53" i="84"/>
  <c r="AP199" i="84" s="1"/>
  <c r="E53" i="84"/>
  <c r="AO199" i="84" s="1"/>
  <c r="C53" i="84"/>
  <c r="I52" i="84"/>
  <c r="H52" i="84"/>
  <c r="G52" i="84"/>
  <c r="F52" i="84"/>
  <c r="E52" i="84"/>
  <c r="C52" i="84"/>
  <c r="I51" i="84"/>
  <c r="H51" i="84"/>
  <c r="G51" i="84"/>
  <c r="F51" i="84"/>
  <c r="E51" i="84"/>
  <c r="C51" i="84"/>
  <c r="I50" i="84"/>
  <c r="H50" i="84"/>
  <c r="G50" i="84"/>
  <c r="F50" i="84"/>
  <c r="U196" i="84" s="1"/>
  <c r="E50" i="84"/>
  <c r="T196" i="84" s="1"/>
  <c r="C50" i="84"/>
  <c r="I49" i="84"/>
  <c r="H49" i="84"/>
  <c r="G49" i="84"/>
  <c r="F49" i="84"/>
  <c r="E49" i="84"/>
  <c r="C49" i="84"/>
  <c r="I48" i="84"/>
  <c r="H48" i="84"/>
  <c r="G48" i="84"/>
  <c r="F48" i="84"/>
  <c r="E48" i="84"/>
  <c r="AY194" i="84" s="1"/>
  <c r="C48" i="84"/>
  <c r="I47" i="84"/>
  <c r="H47" i="84"/>
  <c r="G47" i="84"/>
  <c r="F47" i="84"/>
  <c r="AP193" i="84" s="1"/>
  <c r="E47" i="84"/>
  <c r="C47" i="84"/>
  <c r="I46" i="84"/>
  <c r="H46" i="84"/>
  <c r="G46" i="84"/>
  <c r="F46" i="84"/>
  <c r="U192" i="84" s="1"/>
  <c r="E46" i="84"/>
  <c r="C46" i="84"/>
  <c r="I45" i="84"/>
  <c r="H45" i="84"/>
  <c r="G45" i="84"/>
  <c r="F45" i="84"/>
  <c r="AF191" i="84" s="1"/>
  <c r="E45" i="84"/>
  <c r="AE191" i="84" s="1"/>
  <c r="C45" i="84"/>
  <c r="I44" i="84"/>
  <c r="H44" i="84"/>
  <c r="G44" i="84"/>
  <c r="F44" i="84"/>
  <c r="E44" i="84"/>
  <c r="AE190" i="84" s="1"/>
  <c r="C44" i="84"/>
  <c r="I43" i="84"/>
  <c r="H43" i="84"/>
  <c r="G43" i="84"/>
  <c r="F43" i="84"/>
  <c r="U189" i="84" s="1"/>
  <c r="E43" i="84"/>
  <c r="T189" i="84" s="1"/>
  <c r="C43" i="84"/>
  <c r="I42" i="84"/>
  <c r="H42" i="84"/>
  <c r="G42" i="84"/>
  <c r="F42" i="84"/>
  <c r="E42" i="84"/>
  <c r="T188" i="84" s="1"/>
  <c r="C42" i="84"/>
  <c r="AX41" i="84"/>
  <c r="AN41" i="84"/>
  <c r="AD41" i="84"/>
  <c r="S41" i="84"/>
  <c r="I41" i="84"/>
  <c r="H41" i="84"/>
  <c r="G41" i="84"/>
  <c r="F41" i="84"/>
  <c r="U187" i="84" s="1"/>
  <c r="E41" i="84"/>
  <c r="AO187" i="84" s="1"/>
  <c r="C41" i="84"/>
  <c r="AX40" i="84"/>
  <c r="AN40" i="84"/>
  <c r="AD40" i="84"/>
  <c r="S40" i="84"/>
  <c r="I40" i="84"/>
  <c r="H40" i="84"/>
  <c r="G40" i="84"/>
  <c r="F40" i="84"/>
  <c r="U186" i="84" s="1"/>
  <c r="E40" i="84"/>
  <c r="C40" i="84"/>
  <c r="BC39" i="84"/>
  <c r="BA192" i="84" s="1"/>
  <c r="AS39" i="84"/>
  <c r="AI39" i="84"/>
  <c r="X39" i="84"/>
  <c r="I39" i="84"/>
  <c r="H39" i="84"/>
  <c r="G39" i="84"/>
  <c r="F39" i="84"/>
  <c r="U185" i="84" s="1"/>
  <c r="E39" i="84"/>
  <c r="AE185" i="84" s="1"/>
  <c r="C39" i="84"/>
  <c r="AX38" i="84"/>
  <c r="AN38" i="84"/>
  <c r="AD38" i="84"/>
  <c r="S38" i="84"/>
  <c r="I38" i="84"/>
  <c r="H38" i="84"/>
  <c r="G38" i="84"/>
  <c r="F38" i="84"/>
  <c r="AF184" i="84" s="1"/>
  <c r="E38" i="84"/>
  <c r="AE184" i="84" s="1"/>
  <c r="C38" i="84"/>
  <c r="BC37" i="84"/>
  <c r="AX37" i="84"/>
  <c r="AS37" i="84"/>
  <c r="AN37" i="84"/>
  <c r="AI37" i="84"/>
  <c r="AD37" i="84"/>
  <c r="X37" i="84"/>
  <c r="S37" i="84"/>
  <c r="C37" i="84"/>
  <c r="BC36" i="84"/>
  <c r="X36" i="84"/>
  <c r="AX33" i="84"/>
  <c r="AN33" i="84"/>
  <c r="AD33" i="84"/>
  <c r="S33" i="84"/>
  <c r="I33" i="84"/>
  <c r="H33" i="84"/>
  <c r="G33" i="84"/>
  <c r="F33" i="84"/>
  <c r="E33" i="84"/>
  <c r="C33" i="84"/>
  <c r="BC32" i="84"/>
  <c r="AS32" i="84"/>
  <c r="AS36" i="84" s="1"/>
  <c r="AI32" i="84"/>
  <c r="AI36" i="84" s="1"/>
  <c r="X32" i="84"/>
  <c r="I32" i="84"/>
  <c r="H32" i="84"/>
  <c r="G32" i="84"/>
  <c r="AG178" i="84" s="1"/>
  <c r="F32" i="84"/>
  <c r="AF178" i="84" s="1"/>
  <c r="E32" i="84"/>
  <c r="C32" i="84"/>
  <c r="BC31" i="84"/>
  <c r="AS31" i="84"/>
  <c r="AI31" i="84"/>
  <c r="X31" i="84"/>
  <c r="I31" i="84"/>
  <c r="H31" i="84"/>
  <c r="G31" i="84"/>
  <c r="BA177" i="84" s="1"/>
  <c r="F31" i="84"/>
  <c r="AZ177" i="84" s="1"/>
  <c r="E31" i="84"/>
  <c r="AY177" i="84" s="1"/>
  <c r="C31" i="84"/>
  <c r="BC30" i="84"/>
  <c r="AX30" i="84"/>
  <c r="AS30" i="84"/>
  <c r="AN30" i="84"/>
  <c r="AI30" i="84"/>
  <c r="AD30" i="84"/>
  <c r="X30" i="84"/>
  <c r="S30" i="84"/>
  <c r="I30" i="84"/>
  <c r="H30" i="84"/>
  <c r="G30" i="84"/>
  <c r="AG176" i="84" s="1"/>
  <c r="F30" i="84"/>
  <c r="E30" i="84"/>
  <c r="AY176" i="84" s="1"/>
  <c r="C30" i="84"/>
  <c r="BC29" i="84"/>
  <c r="BC33" i="84" s="1"/>
  <c r="BC38" i="84" s="1"/>
  <c r="AS29" i="84"/>
  <c r="AS33" i="84" s="1"/>
  <c r="AI29" i="84"/>
  <c r="X29" i="84"/>
  <c r="X33" i="84" s="1"/>
  <c r="I29" i="84"/>
  <c r="H29" i="84"/>
  <c r="G29" i="84"/>
  <c r="F29" i="84"/>
  <c r="U175" i="84" s="1"/>
  <c r="E29" i="84"/>
  <c r="AO175" i="84" s="1"/>
  <c r="C29" i="84"/>
  <c r="I28" i="84"/>
  <c r="H28" i="84"/>
  <c r="G28" i="84"/>
  <c r="BA174" i="84" s="1"/>
  <c r="F28" i="84"/>
  <c r="E28" i="84"/>
  <c r="AY174" i="84" s="1"/>
  <c r="C28" i="84"/>
  <c r="I27" i="84"/>
  <c r="H27" i="84"/>
  <c r="G27" i="84"/>
  <c r="V173" i="84" s="1"/>
  <c r="F27" i="84"/>
  <c r="U173" i="84" s="1"/>
  <c r="E27" i="84"/>
  <c r="AY173" i="84" s="1"/>
  <c r="C27" i="84"/>
  <c r="I26" i="84"/>
  <c r="H26" i="84"/>
  <c r="G26" i="84"/>
  <c r="AQ172" i="84" s="1"/>
  <c r="F26" i="84"/>
  <c r="AP172" i="84" s="1"/>
  <c r="E26" i="84"/>
  <c r="C26" i="84"/>
  <c r="I25" i="84"/>
  <c r="H25" i="84"/>
  <c r="G25" i="84"/>
  <c r="BA171" i="84" s="1"/>
  <c r="F25" i="84"/>
  <c r="E25" i="84"/>
  <c r="AY171" i="84" s="1"/>
  <c r="C25" i="84"/>
  <c r="I24" i="84"/>
  <c r="H24" i="84"/>
  <c r="G24" i="84"/>
  <c r="BA170" i="84" s="1"/>
  <c r="F24" i="84"/>
  <c r="AZ170" i="84" s="1"/>
  <c r="E24" i="84"/>
  <c r="C24" i="84"/>
  <c r="AX23" i="84"/>
  <c r="AN23" i="84"/>
  <c r="AD23" i="84"/>
  <c r="S23" i="84"/>
  <c r="I23" i="84"/>
  <c r="H23" i="84"/>
  <c r="G23" i="84"/>
  <c r="F23" i="84"/>
  <c r="AF169" i="84" s="1"/>
  <c r="E23" i="84"/>
  <c r="C23" i="84"/>
  <c r="S22" i="84"/>
  <c r="AX22" i="84" s="1"/>
  <c r="BC25" i="84" s="1"/>
  <c r="I22" i="84"/>
  <c r="H22" i="84"/>
  <c r="G22" i="84"/>
  <c r="V168" i="84" s="1"/>
  <c r="F22" i="84"/>
  <c r="AF168" i="84" s="1"/>
  <c r="E22" i="84"/>
  <c r="AY168" i="84" s="1"/>
  <c r="C22" i="84"/>
  <c r="I21" i="84"/>
  <c r="H21" i="84"/>
  <c r="G21" i="84"/>
  <c r="V167" i="84" s="1"/>
  <c r="F21" i="84"/>
  <c r="E21" i="84"/>
  <c r="AO167" i="84" s="1"/>
  <c r="C21" i="84"/>
  <c r="I20" i="84"/>
  <c r="H20" i="84"/>
  <c r="G20" i="84"/>
  <c r="F20" i="84"/>
  <c r="E20" i="84"/>
  <c r="C20" i="84"/>
  <c r="I19" i="84"/>
  <c r="H19" i="84"/>
  <c r="G19" i="84"/>
  <c r="F19" i="84"/>
  <c r="AZ165" i="84" s="1"/>
  <c r="E19" i="84"/>
  <c r="AY165" i="84" s="1"/>
  <c r="C19" i="84"/>
  <c r="I18" i="84"/>
  <c r="H18" i="84"/>
  <c r="G18" i="84"/>
  <c r="BA164" i="84" s="1"/>
  <c r="F18" i="84"/>
  <c r="AZ164" i="84" s="1"/>
  <c r="E18" i="84"/>
  <c r="AE164" i="84" s="1"/>
  <c r="C18" i="84"/>
  <c r="I17" i="84"/>
  <c r="H17" i="84"/>
  <c r="G17" i="84"/>
  <c r="F17" i="84"/>
  <c r="AP163" i="84" s="1"/>
  <c r="E17" i="84"/>
  <c r="T163" i="84" s="1"/>
  <c r="C17" i="84"/>
  <c r="I16" i="84"/>
  <c r="H16" i="84"/>
  <c r="G16" i="84"/>
  <c r="V162" i="84" s="1"/>
  <c r="F16" i="84"/>
  <c r="U162" i="84" s="1"/>
  <c r="E16" i="84"/>
  <c r="T162" i="84" s="1"/>
  <c r="C16" i="84"/>
  <c r="I15" i="84"/>
  <c r="H15" i="84"/>
  <c r="G15" i="84"/>
  <c r="F15" i="84"/>
  <c r="AF161" i="84" s="1"/>
  <c r="E15" i="84"/>
  <c r="C15" i="84"/>
  <c r="I14" i="84"/>
  <c r="H14" i="84"/>
  <c r="G14" i="84"/>
  <c r="F14" i="84"/>
  <c r="U160" i="84" s="1"/>
  <c r="E14" i="84"/>
  <c r="AY160" i="84" s="1"/>
  <c r="C14" i="84"/>
  <c r="I13" i="84"/>
  <c r="H13" i="84"/>
  <c r="G13" i="84"/>
  <c r="F13" i="84"/>
  <c r="E13" i="84"/>
  <c r="C13" i="84"/>
  <c r="O12" i="84"/>
  <c r="I12" i="84"/>
  <c r="H12" i="84"/>
  <c r="G12" i="84"/>
  <c r="F12" i="84"/>
  <c r="E12" i="84"/>
  <c r="AE158" i="84" s="1"/>
  <c r="C12" i="84"/>
  <c r="O11" i="84"/>
  <c r="C11" i="84"/>
  <c r="O10" i="84"/>
  <c r="O9" i="84"/>
  <c r="AY7" i="84"/>
  <c r="AO7" i="84"/>
  <c r="AO8" i="84" s="1"/>
  <c r="AE7" i="84"/>
  <c r="T7" i="84"/>
  <c r="T8" i="84" s="1"/>
  <c r="AY6" i="84"/>
  <c r="AO6" i="84"/>
  <c r="AE6" i="84"/>
  <c r="T6" i="84"/>
  <c r="AY5" i="84"/>
  <c r="AO5" i="84"/>
  <c r="AE5" i="84"/>
  <c r="T5" i="84"/>
  <c r="AO4" i="84"/>
  <c r="AT13" i="84" s="1"/>
  <c r="C249" i="83"/>
  <c r="AY4" i="83" s="1"/>
  <c r="BD13" i="83" s="1"/>
  <c r="C200" i="83"/>
  <c r="C151" i="83"/>
  <c r="AE4" i="83" s="1"/>
  <c r="AJ13" i="83" s="1"/>
  <c r="C97" i="83"/>
  <c r="T4" i="83" s="1"/>
  <c r="C282" i="83"/>
  <c r="C267" i="83"/>
  <c r="C266" i="83"/>
  <c r="D261" i="83"/>
  <c r="B261" i="83"/>
  <c r="D260" i="83"/>
  <c r="B260" i="83"/>
  <c r="E259" i="83"/>
  <c r="D259" i="83"/>
  <c r="B259" i="83"/>
  <c r="H258" i="83"/>
  <c r="E258" i="83"/>
  <c r="D258" i="83"/>
  <c r="B258" i="83"/>
  <c r="H257" i="83"/>
  <c r="E257" i="83"/>
  <c r="D257" i="83"/>
  <c r="B257" i="83"/>
  <c r="E256" i="83"/>
  <c r="D256" i="83"/>
  <c r="B256" i="83"/>
  <c r="H255" i="83"/>
  <c r="E255" i="83"/>
  <c r="D255" i="83"/>
  <c r="B255" i="83"/>
  <c r="H254" i="83"/>
  <c r="E254" i="83"/>
  <c r="D254" i="83"/>
  <c r="B254" i="83"/>
  <c r="H253" i="83"/>
  <c r="E253" i="83"/>
  <c r="D253" i="83"/>
  <c r="B253" i="83"/>
  <c r="H252" i="83"/>
  <c r="E252" i="83"/>
  <c r="D252" i="83"/>
  <c r="B252" i="83"/>
  <c r="G249" i="83"/>
  <c r="C233" i="83"/>
  <c r="C218" i="83"/>
  <c r="C217" i="83"/>
  <c r="D212" i="83"/>
  <c r="B212" i="83"/>
  <c r="D211" i="83"/>
  <c r="B211" i="83"/>
  <c r="E210" i="83"/>
  <c r="D210" i="83"/>
  <c r="B210" i="83"/>
  <c r="H209" i="83"/>
  <c r="E209" i="83"/>
  <c r="D209" i="83"/>
  <c r="B209" i="83"/>
  <c r="H208" i="83"/>
  <c r="E208" i="83"/>
  <c r="D208" i="83"/>
  <c r="B208" i="83"/>
  <c r="E207" i="83"/>
  <c r="D207" i="83"/>
  <c r="B207" i="83"/>
  <c r="H206" i="83"/>
  <c r="E206" i="83"/>
  <c r="D206" i="83"/>
  <c r="B206" i="83"/>
  <c r="H205" i="83"/>
  <c r="E205" i="83"/>
  <c r="D205" i="83"/>
  <c r="B205" i="83"/>
  <c r="H204" i="83"/>
  <c r="E204" i="83"/>
  <c r="D204" i="83"/>
  <c r="B204" i="83"/>
  <c r="H203" i="83"/>
  <c r="E203" i="83"/>
  <c r="D203" i="83"/>
  <c r="B203" i="83"/>
  <c r="G200" i="83"/>
  <c r="U197" i="83"/>
  <c r="C184" i="83"/>
  <c r="AV181" i="83"/>
  <c r="AL181" i="83"/>
  <c r="AB181" i="83"/>
  <c r="Q181" i="83"/>
  <c r="C169" i="83"/>
  <c r="C168" i="83"/>
  <c r="D163" i="83"/>
  <c r="B163" i="83"/>
  <c r="D162" i="83"/>
  <c r="B162" i="83"/>
  <c r="E161" i="83"/>
  <c r="D161" i="83"/>
  <c r="B161" i="83"/>
  <c r="H160" i="83"/>
  <c r="E160" i="83"/>
  <c r="D160" i="83"/>
  <c r="B160" i="83"/>
  <c r="U159" i="83"/>
  <c r="H159" i="83"/>
  <c r="E159" i="83"/>
  <c r="D159" i="83"/>
  <c r="B159" i="83"/>
  <c r="E158" i="83"/>
  <c r="D158" i="83"/>
  <c r="B158" i="83"/>
  <c r="H157" i="83"/>
  <c r="E157" i="83"/>
  <c r="D157" i="83"/>
  <c r="B157" i="83"/>
  <c r="H156" i="83"/>
  <c r="E156" i="83"/>
  <c r="D156" i="83"/>
  <c r="B156" i="83"/>
  <c r="AV155" i="83"/>
  <c r="AL155" i="83"/>
  <c r="AB155" i="83"/>
  <c r="Q155" i="83"/>
  <c r="H155" i="83"/>
  <c r="E155" i="83"/>
  <c r="D155" i="83"/>
  <c r="B155" i="83"/>
  <c r="H154" i="83"/>
  <c r="E154" i="83"/>
  <c r="D154" i="83"/>
  <c r="B154" i="83"/>
  <c r="G151" i="83"/>
  <c r="AX147" i="83"/>
  <c r="AN147" i="83"/>
  <c r="AD147" i="83"/>
  <c r="S147" i="83"/>
  <c r="AX146" i="83"/>
  <c r="AN146" i="83"/>
  <c r="AD146" i="83"/>
  <c r="S146" i="83"/>
  <c r="AX139" i="83"/>
  <c r="AN139" i="83"/>
  <c r="AD139" i="83"/>
  <c r="S139" i="83"/>
  <c r="AX137" i="83"/>
  <c r="AN137" i="83"/>
  <c r="AD137" i="83"/>
  <c r="S137" i="83"/>
  <c r="C130" i="83"/>
  <c r="C115" i="83"/>
  <c r="C114" i="83"/>
  <c r="D109" i="83"/>
  <c r="B109" i="83"/>
  <c r="D108" i="83"/>
  <c r="B108" i="83"/>
  <c r="E107" i="83"/>
  <c r="D107" i="83"/>
  <c r="B107" i="83"/>
  <c r="H106" i="83"/>
  <c r="E106" i="83"/>
  <c r="D106" i="83"/>
  <c r="B106" i="83"/>
  <c r="H105" i="83"/>
  <c r="E105" i="83"/>
  <c r="D105" i="83"/>
  <c r="B105" i="83"/>
  <c r="E104" i="83"/>
  <c r="D104" i="83"/>
  <c r="B104" i="83"/>
  <c r="H103" i="83"/>
  <c r="E103" i="83"/>
  <c r="D103" i="83"/>
  <c r="B103" i="83"/>
  <c r="H102" i="83"/>
  <c r="E102" i="83"/>
  <c r="D102" i="83"/>
  <c r="B102" i="83"/>
  <c r="H101" i="83"/>
  <c r="E101" i="83"/>
  <c r="D101" i="83"/>
  <c r="B101" i="83"/>
  <c r="H100" i="83"/>
  <c r="E100" i="83"/>
  <c r="D100" i="83"/>
  <c r="B100" i="83"/>
  <c r="G97" i="83"/>
  <c r="J76" i="83"/>
  <c r="I76" i="83"/>
  <c r="AX64" i="83"/>
  <c r="AN64" i="83"/>
  <c r="AD64" i="83"/>
  <c r="S64" i="83"/>
  <c r="I59" i="83"/>
  <c r="H59" i="83"/>
  <c r="G59" i="83"/>
  <c r="F59" i="83"/>
  <c r="E59" i="83"/>
  <c r="C59" i="83"/>
  <c r="I58" i="83"/>
  <c r="H58" i="83"/>
  <c r="G58" i="83"/>
  <c r="F58" i="83"/>
  <c r="U204" i="83" s="1"/>
  <c r="E58" i="83"/>
  <c r="T204" i="83" s="1"/>
  <c r="C58" i="83"/>
  <c r="I57" i="83"/>
  <c r="H57" i="83"/>
  <c r="G57" i="83"/>
  <c r="F57" i="83"/>
  <c r="AF203" i="83" s="1"/>
  <c r="E57" i="83"/>
  <c r="C57" i="83"/>
  <c r="I56" i="83"/>
  <c r="H56" i="83"/>
  <c r="G56" i="83"/>
  <c r="F56" i="83"/>
  <c r="E56" i="83"/>
  <c r="AE202" i="83" s="1"/>
  <c r="C56" i="83"/>
  <c r="I55" i="83"/>
  <c r="H55" i="83"/>
  <c r="G55" i="83"/>
  <c r="F55" i="83"/>
  <c r="U201" i="83" s="1"/>
  <c r="E55" i="83"/>
  <c r="C55" i="83"/>
  <c r="AX54" i="83"/>
  <c r="AN54" i="83"/>
  <c r="AD54" i="83"/>
  <c r="S54" i="83"/>
  <c r="I54" i="83"/>
  <c r="H54" i="83"/>
  <c r="G54" i="83"/>
  <c r="F54" i="83"/>
  <c r="E54" i="83"/>
  <c r="AE200" i="83" s="1"/>
  <c r="C54" i="83"/>
  <c r="I53" i="83"/>
  <c r="H53" i="83"/>
  <c r="G53" i="83"/>
  <c r="F53" i="83"/>
  <c r="AF199" i="83" s="1"/>
  <c r="E53" i="83"/>
  <c r="C53" i="83"/>
  <c r="I52" i="83"/>
  <c r="H52" i="83"/>
  <c r="G52" i="83"/>
  <c r="F52" i="83"/>
  <c r="U198" i="83" s="1"/>
  <c r="E52" i="83"/>
  <c r="C52" i="83"/>
  <c r="I51" i="83"/>
  <c r="H51" i="83"/>
  <c r="G51" i="83"/>
  <c r="F51" i="83"/>
  <c r="E51" i="83"/>
  <c r="C51" i="83"/>
  <c r="I50" i="83"/>
  <c r="H50" i="83"/>
  <c r="G50" i="83"/>
  <c r="F50" i="83"/>
  <c r="AP196" i="83" s="1"/>
  <c r="E50" i="83"/>
  <c r="C50" i="83"/>
  <c r="I49" i="83"/>
  <c r="H49" i="83"/>
  <c r="G49" i="83"/>
  <c r="F49" i="83"/>
  <c r="U195" i="83" s="1"/>
  <c r="E49" i="83"/>
  <c r="C49" i="83"/>
  <c r="I48" i="83"/>
  <c r="H48" i="83"/>
  <c r="G48" i="83"/>
  <c r="F48" i="83"/>
  <c r="E48" i="83"/>
  <c r="C48" i="83"/>
  <c r="I47" i="83"/>
  <c r="H47" i="83"/>
  <c r="G47" i="83"/>
  <c r="F47" i="83"/>
  <c r="E47" i="83"/>
  <c r="AE193" i="83" s="1"/>
  <c r="C47" i="83"/>
  <c r="I46" i="83"/>
  <c r="H46" i="83"/>
  <c r="G46" i="83"/>
  <c r="F46" i="83"/>
  <c r="E46" i="83"/>
  <c r="C46" i="83"/>
  <c r="I45" i="83"/>
  <c r="H45" i="83"/>
  <c r="G45" i="83"/>
  <c r="F45" i="83"/>
  <c r="E45" i="83"/>
  <c r="C45" i="83"/>
  <c r="I44" i="83"/>
  <c r="H44" i="83"/>
  <c r="G44" i="83"/>
  <c r="F44" i="83"/>
  <c r="E44" i="83"/>
  <c r="AO190" i="83" s="1"/>
  <c r="C44" i="83"/>
  <c r="I43" i="83"/>
  <c r="H43" i="83"/>
  <c r="G43" i="83"/>
  <c r="F43" i="83"/>
  <c r="U189" i="83" s="1"/>
  <c r="E43" i="83"/>
  <c r="C43" i="83"/>
  <c r="I42" i="83"/>
  <c r="H42" i="83"/>
  <c r="G42" i="83"/>
  <c r="F42" i="83"/>
  <c r="E42" i="83"/>
  <c r="C42" i="83"/>
  <c r="AX41" i="83"/>
  <c r="AN41" i="83"/>
  <c r="AD41" i="83"/>
  <c r="S41" i="83"/>
  <c r="I41" i="83"/>
  <c r="H41" i="83"/>
  <c r="G41" i="83"/>
  <c r="F41" i="83"/>
  <c r="AF187" i="83" s="1"/>
  <c r="E41" i="83"/>
  <c r="AE187" i="83" s="1"/>
  <c r="C41" i="83"/>
  <c r="AX40" i="83"/>
  <c r="AN40" i="83"/>
  <c r="AD40" i="83"/>
  <c r="S40" i="83"/>
  <c r="I40" i="83"/>
  <c r="H40" i="83"/>
  <c r="G40" i="83"/>
  <c r="F40" i="83"/>
  <c r="U186" i="83" s="1"/>
  <c r="E40" i="83"/>
  <c r="C40" i="83"/>
  <c r="BC39" i="83"/>
  <c r="AS39" i="83"/>
  <c r="AI39" i="83"/>
  <c r="X39" i="83"/>
  <c r="I39" i="83"/>
  <c r="H39" i="83"/>
  <c r="G39" i="83"/>
  <c r="F39" i="83"/>
  <c r="E39" i="83"/>
  <c r="C39" i="83"/>
  <c r="AX38" i="83"/>
  <c r="AN38" i="83"/>
  <c r="AD38" i="83"/>
  <c r="S38" i="83"/>
  <c r="I38" i="83"/>
  <c r="H38" i="83"/>
  <c r="G38" i="83"/>
  <c r="F38" i="83"/>
  <c r="U184" i="83" s="1"/>
  <c r="E38" i="83"/>
  <c r="C38" i="83"/>
  <c r="BC37" i="83"/>
  <c r="AX37" i="83"/>
  <c r="AS37" i="83"/>
  <c r="AN37" i="83"/>
  <c r="AI37" i="83"/>
  <c r="AD37" i="83"/>
  <c r="X37" i="83"/>
  <c r="S37" i="83"/>
  <c r="C37" i="83"/>
  <c r="BC36" i="83"/>
  <c r="AI36" i="83"/>
  <c r="AX33" i="83"/>
  <c r="AN33" i="83"/>
  <c r="AD33" i="83"/>
  <c r="S33" i="83"/>
  <c r="I33" i="83"/>
  <c r="H33" i="83"/>
  <c r="G33" i="83"/>
  <c r="F33" i="83"/>
  <c r="E33" i="83"/>
  <c r="C33" i="83"/>
  <c r="BC32" i="83"/>
  <c r="AS32" i="83"/>
  <c r="AS36" i="83" s="1"/>
  <c r="AI32" i="83"/>
  <c r="X32" i="83"/>
  <c r="X36" i="83" s="1"/>
  <c r="T201" i="83" s="1"/>
  <c r="I32" i="83"/>
  <c r="H32" i="83"/>
  <c r="G32" i="83"/>
  <c r="BA178" i="83" s="1"/>
  <c r="F32" i="83"/>
  <c r="E32" i="83"/>
  <c r="AY178" i="83" s="1"/>
  <c r="C32" i="83"/>
  <c r="BC31" i="83"/>
  <c r="AZ201" i="83" s="1"/>
  <c r="AS31" i="83"/>
  <c r="AI31" i="83"/>
  <c r="X31" i="83"/>
  <c r="I31" i="83"/>
  <c r="H31" i="83"/>
  <c r="G31" i="83"/>
  <c r="AG177" i="83" s="1"/>
  <c r="F31" i="83"/>
  <c r="E31" i="83"/>
  <c r="C31" i="83"/>
  <c r="BC30" i="83"/>
  <c r="AX30" i="83"/>
  <c r="AS30" i="83"/>
  <c r="AN30" i="83"/>
  <c r="AI30" i="83"/>
  <c r="AD30" i="83"/>
  <c r="X30" i="83"/>
  <c r="S30" i="83"/>
  <c r="I30" i="83"/>
  <c r="H30" i="83"/>
  <c r="G30" i="83"/>
  <c r="V176" i="83" s="1"/>
  <c r="F30" i="83"/>
  <c r="E30" i="83"/>
  <c r="C30" i="83"/>
  <c r="BC29" i="83"/>
  <c r="AS29" i="83"/>
  <c r="AI29" i="83"/>
  <c r="X29" i="83"/>
  <c r="X33" i="83" s="1"/>
  <c r="X38" i="83" s="1"/>
  <c r="I29" i="83"/>
  <c r="H29" i="83"/>
  <c r="G29" i="83"/>
  <c r="F29" i="83"/>
  <c r="E29" i="83"/>
  <c r="C29" i="83"/>
  <c r="I28" i="83"/>
  <c r="H28" i="83"/>
  <c r="G28" i="83"/>
  <c r="AQ174" i="83" s="1"/>
  <c r="F28" i="83"/>
  <c r="E28" i="83"/>
  <c r="AE174" i="83" s="1"/>
  <c r="C28" i="83"/>
  <c r="I27" i="83"/>
  <c r="H27" i="83"/>
  <c r="G27" i="83"/>
  <c r="F27" i="83"/>
  <c r="E27" i="83"/>
  <c r="C27" i="83"/>
  <c r="I26" i="83"/>
  <c r="H26" i="83"/>
  <c r="G26" i="83"/>
  <c r="V172" i="83" s="1"/>
  <c r="F26" i="83"/>
  <c r="U172" i="83" s="1"/>
  <c r="E26" i="83"/>
  <c r="T172" i="83" s="1"/>
  <c r="C26" i="83"/>
  <c r="I25" i="83"/>
  <c r="H25" i="83"/>
  <c r="G25" i="83"/>
  <c r="F25" i="83"/>
  <c r="U171" i="83" s="1"/>
  <c r="E25" i="83"/>
  <c r="AE171" i="83" s="1"/>
  <c r="C25" i="83"/>
  <c r="I24" i="83"/>
  <c r="H24" i="83"/>
  <c r="G24" i="83"/>
  <c r="AG170" i="83" s="1"/>
  <c r="F24" i="83"/>
  <c r="E24" i="83"/>
  <c r="C24" i="83"/>
  <c r="AX23" i="83"/>
  <c r="AN23" i="83"/>
  <c r="AD23" i="83"/>
  <c r="S23" i="83"/>
  <c r="I23" i="83"/>
  <c r="H23" i="83"/>
  <c r="G23" i="83"/>
  <c r="AQ169" i="83" s="1"/>
  <c r="F23" i="83"/>
  <c r="U169" i="83" s="1"/>
  <c r="E23" i="83"/>
  <c r="C23" i="83"/>
  <c r="S22" i="83"/>
  <c r="I22" i="83"/>
  <c r="H22" i="83"/>
  <c r="G22" i="83"/>
  <c r="AG168" i="83" s="1"/>
  <c r="F22" i="83"/>
  <c r="E22" i="83"/>
  <c r="C22" i="83"/>
  <c r="I21" i="83"/>
  <c r="H21" i="83"/>
  <c r="G21" i="83"/>
  <c r="F21" i="83"/>
  <c r="U167" i="83" s="1"/>
  <c r="E21" i="83"/>
  <c r="AE167" i="83" s="1"/>
  <c r="C21" i="83"/>
  <c r="I20" i="83"/>
  <c r="H20" i="83"/>
  <c r="G20" i="83"/>
  <c r="V166" i="83" s="1"/>
  <c r="F20" i="83"/>
  <c r="U166" i="83" s="1"/>
  <c r="E20" i="83"/>
  <c r="AE166" i="83" s="1"/>
  <c r="C20" i="83"/>
  <c r="I19" i="83"/>
  <c r="H19" i="83"/>
  <c r="G19" i="83"/>
  <c r="V165" i="83" s="1"/>
  <c r="F19" i="83"/>
  <c r="E19" i="83"/>
  <c r="C19" i="83"/>
  <c r="I18" i="83"/>
  <c r="H18" i="83"/>
  <c r="G18" i="83"/>
  <c r="AG164" i="83" s="1"/>
  <c r="F18" i="83"/>
  <c r="U164" i="83" s="1"/>
  <c r="E18" i="83"/>
  <c r="C18" i="83"/>
  <c r="I17" i="83"/>
  <c r="H17" i="83"/>
  <c r="G17" i="83"/>
  <c r="BA163" i="83" s="1"/>
  <c r="F17" i="83"/>
  <c r="U163" i="83" s="1"/>
  <c r="E17" i="83"/>
  <c r="T163" i="83" s="1"/>
  <c r="C17" i="83"/>
  <c r="I16" i="83"/>
  <c r="H16" i="83"/>
  <c r="G16" i="83"/>
  <c r="AG162" i="83" s="1"/>
  <c r="F16" i="83"/>
  <c r="E16" i="83"/>
  <c r="AE162" i="83" s="1"/>
  <c r="C16" i="83"/>
  <c r="I15" i="83"/>
  <c r="H15" i="83"/>
  <c r="G15" i="83"/>
  <c r="V161" i="83" s="1"/>
  <c r="F15" i="83"/>
  <c r="AF161" i="83" s="1"/>
  <c r="E15" i="83"/>
  <c r="C15" i="83"/>
  <c r="I14" i="83"/>
  <c r="H14" i="83"/>
  <c r="G14" i="83"/>
  <c r="AQ160" i="83" s="1"/>
  <c r="F14" i="83"/>
  <c r="E14" i="83"/>
  <c r="AO160" i="83" s="1"/>
  <c r="C14" i="83"/>
  <c r="I13" i="83"/>
  <c r="H13" i="83"/>
  <c r="G13" i="83"/>
  <c r="AQ159" i="83" s="1"/>
  <c r="F13" i="83"/>
  <c r="E13" i="83"/>
  <c r="C13" i="83"/>
  <c r="O12" i="83"/>
  <c r="I12" i="83"/>
  <c r="H12" i="83"/>
  <c r="G12" i="83"/>
  <c r="V158" i="83" s="1"/>
  <c r="F12" i="83"/>
  <c r="E12" i="83"/>
  <c r="C12" i="83"/>
  <c r="O11" i="83"/>
  <c r="C11" i="83"/>
  <c r="O10" i="83"/>
  <c r="O9" i="83"/>
  <c r="AY7" i="83"/>
  <c r="AO7" i="83"/>
  <c r="AE7" i="83"/>
  <c r="T7" i="83"/>
  <c r="AY6" i="83"/>
  <c r="AO6" i="83"/>
  <c r="AE6" i="83"/>
  <c r="T6" i="83"/>
  <c r="AY5" i="83"/>
  <c r="AO5" i="83"/>
  <c r="AE5" i="83"/>
  <c r="T5" i="83"/>
  <c r="AO4" i="83"/>
  <c r="C249" i="82"/>
  <c r="AY4" i="82" s="1"/>
  <c r="BD13" i="82" s="1"/>
  <c r="C200" i="82"/>
  <c r="AO4" i="82" s="1"/>
  <c r="AT13" i="82" s="1"/>
  <c r="G205" i="82" s="1"/>
  <c r="C151" i="82"/>
  <c r="C97" i="82"/>
  <c r="C282" i="82"/>
  <c r="C267" i="82"/>
  <c r="C266" i="82"/>
  <c r="D261" i="82"/>
  <c r="B261" i="82"/>
  <c r="D260" i="82"/>
  <c r="B260" i="82"/>
  <c r="E259" i="82"/>
  <c r="D259" i="82"/>
  <c r="B259" i="82"/>
  <c r="H258" i="82"/>
  <c r="E258" i="82"/>
  <c r="D258" i="82"/>
  <c r="B258" i="82"/>
  <c r="H257" i="82"/>
  <c r="E257" i="82"/>
  <c r="D257" i="82"/>
  <c r="B257" i="82"/>
  <c r="E256" i="82"/>
  <c r="D256" i="82"/>
  <c r="B256" i="82"/>
  <c r="H255" i="82"/>
  <c r="E255" i="82"/>
  <c r="D255" i="82"/>
  <c r="B255" i="82"/>
  <c r="H254" i="82"/>
  <c r="E254" i="82"/>
  <c r="D254" i="82"/>
  <c r="B254" i="82"/>
  <c r="H253" i="82"/>
  <c r="E253" i="82"/>
  <c r="D253" i="82"/>
  <c r="B253" i="82"/>
  <c r="H252" i="82"/>
  <c r="E252" i="82"/>
  <c r="D252" i="82"/>
  <c r="B252" i="82"/>
  <c r="G249" i="82"/>
  <c r="C233" i="82"/>
  <c r="C218" i="82"/>
  <c r="C217" i="82"/>
  <c r="D212" i="82"/>
  <c r="B212" i="82"/>
  <c r="D211" i="82"/>
  <c r="B211" i="82"/>
  <c r="E210" i="82"/>
  <c r="D210" i="82"/>
  <c r="B210" i="82"/>
  <c r="H209" i="82"/>
  <c r="E209" i="82"/>
  <c r="D209" i="82"/>
  <c r="B209" i="82"/>
  <c r="H208" i="82"/>
  <c r="E208" i="82"/>
  <c r="D208" i="82"/>
  <c r="B208" i="82"/>
  <c r="E207" i="82"/>
  <c r="D207" i="82"/>
  <c r="B207" i="82"/>
  <c r="H206" i="82"/>
  <c r="E206" i="82"/>
  <c r="D206" i="82"/>
  <c r="B206" i="82"/>
  <c r="AF205" i="82"/>
  <c r="AE205" i="82"/>
  <c r="H205" i="82"/>
  <c r="E205" i="82"/>
  <c r="D205" i="82"/>
  <c r="B205" i="82"/>
  <c r="H204" i="82"/>
  <c r="E204" i="82"/>
  <c r="D204" i="82"/>
  <c r="B204" i="82"/>
  <c r="H203" i="82"/>
  <c r="E203" i="82"/>
  <c r="D203" i="82"/>
  <c r="B203" i="82"/>
  <c r="G200" i="82"/>
  <c r="AY184" i="82"/>
  <c r="C184" i="82"/>
  <c r="AV181" i="82"/>
  <c r="AL181" i="82"/>
  <c r="AB181" i="82"/>
  <c r="Q181" i="82"/>
  <c r="C169" i="82"/>
  <c r="C168" i="82"/>
  <c r="V167" i="82"/>
  <c r="D163" i="82"/>
  <c r="B163" i="82"/>
  <c r="D162" i="82"/>
  <c r="B162" i="82"/>
  <c r="E161" i="82"/>
  <c r="D161" i="82"/>
  <c r="B161" i="82"/>
  <c r="H160" i="82"/>
  <c r="E160" i="82"/>
  <c r="D160" i="82"/>
  <c r="B160" i="82"/>
  <c r="H159" i="82"/>
  <c r="E159" i="82"/>
  <c r="D159" i="82"/>
  <c r="B159" i="82"/>
  <c r="E158" i="82"/>
  <c r="D158" i="82"/>
  <c r="B158" i="82"/>
  <c r="H157" i="82"/>
  <c r="E157" i="82"/>
  <c r="D157" i="82"/>
  <c r="B157" i="82"/>
  <c r="H156" i="82"/>
  <c r="E156" i="82"/>
  <c r="D156" i="82"/>
  <c r="B156" i="82"/>
  <c r="AV155" i="82"/>
  <c r="AL155" i="82"/>
  <c r="AB155" i="82"/>
  <c r="Q155" i="82"/>
  <c r="H155" i="82"/>
  <c r="E155" i="82"/>
  <c r="D155" i="82"/>
  <c r="B155" i="82"/>
  <c r="H154" i="82"/>
  <c r="E154" i="82"/>
  <c r="D154" i="82"/>
  <c r="B154" i="82"/>
  <c r="G151" i="82"/>
  <c r="AX147" i="82"/>
  <c r="AN147" i="82"/>
  <c r="AD147" i="82"/>
  <c r="S147" i="82"/>
  <c r="AX146" i="82"/>
  <c r="AN146" i="82"/>
  <c r="AD146" i="82"/>
  <c r="S146" i="82"/>
  <c r="AX139" i="82"/>
  <c r="AN139" i="82"/>
  <c r="AD139" i="82"/>
  <c r="S139" i="82"/>
  <c r="AX137" i="82"/>
  <c r="AN137" i="82"/>
  <c r="AD137" i="82"/>
  <c r="S137" i="82"/>
  <c r="C130" i="82"/>
  <c r="C115" i="82"/>
  <c r="C114" i="82"/>
  <c r="D109" i="82"/>
  <c r="B109" i="82"/>
  <c r="D108" i="82"/>
  <c r="B108" i="82"/>
  <c r="E107" i="82"/>
  <c r="D107" i="82"/>
  <c r="B107" i="82"/>
  <c r="H106" i="82"/>
  <c r="E106" i="82"/>
  <c r="D106" i="82"/>
  <c r="B106" i="82"/>
  <c r="H105" i="82"/>
  <c r="E105" i="82"/>
  <c r="D105" i="82"/>
  <c r="B105" i="82"/>
  <c r="E104" i="82"/>
  <c r="D104" i="82"/>
  <c r="B104" i="82"/>
  <c r="H103" i="82"/>
  <c r="E103" i="82"/>
  <c r="D103" i="82"/>
  <c r="B103" i="82"/>
  <c r="H102" i="82"/>
  <c r="E102" i="82"/>
  <c r="D102" i="82"/>
  <c r="B102" i="82"/>
  <c r="H101" i="82"/>
  <c r="E101" i="82"/>
  <c r="D101" i="82"/>
  <c r="B101" i="82"/>
  <c r="H100" i="82"/>
  <c r="E100" i="82"/>
  <c r="D100" i="82"/>
  <c r="B100" i="82"/>
  <c r="G97" i="82"/>
  <c r="J76" i="82"/>
  <c r="I76" i="82"/>
  <c r="AX64" i="82"/>
  <c r="AN64" i="82"/>
  <c r="AD64" i="82"/>
  <c r="S64" i="82"/>
  <c r="I59" i="82"/>
  <c r="H59" i="82"/>
  <c r="G59" i="82"/>
  <c r="F59" i="82"/>
  <c r="E59" i="82"/>
  <c r="I58" i="82"/>
  <c r="H58" i="82"/>
  <c r="G58" i="82"/>
  <c r="F58" i="82"/>
  <c r="E58" i="82"/>
  <c r="AO204" i="82" s="1"/>
  <c r="I57" i="82"/>
  <c r="H57" i="82"/>
  <c r="G57" i="82"/>
  <c r="F57" i="82"/>
  <c r="E57" i="82"/>
  <c r="I56" i="82"/>
  <c r="H56" i="82"/>
  <c r="G56" i="82"/>
  <c r="F56" i="82"/>
  <c r="AP202" i="82" s="1"/>
  <c r="E56" i="82"/>
  <c r="I55" i="82"/>
  <c r="H55" i="82"/>
  <c r="G55" i="82"/>
  <c r="F55" i="82"/>
  <c r="E55" i="82"/>
  <c r="AX54" i="82"/>
  <c r="AN54" i="82"/>
  <c r="AD54" i="82"/>
  <c r="S54" i="82"/>
  <c r="I54" i="82"/>
  <c r="H54" i="82"/>
  <c r="G54" i="82"/>
  <c r="F54" i="82"/>
  <c r="E54" i="82"/>
  <c r="I53" i="82"/>
  <c r="H53" i="82"/>
  <c r="G53" i="82"/>
  <c r="F53" i="82"/>
  <c r="E53" i="82"/>
  <c r="I52" i="82"/>
  <c r="H52" i="82"/>
  <c r="G52" i="82"/>
  <c r="F52" i="82"/>
  <c r="AP198" i="82" s="1"/>
  <c r="E52" i="82"/>
  <c r="AE198" i="82" s="1"/>
  <c r="I51" i="82"/>
  <c r="H51" i="82"/>
  <c r="G51" i="82"/>
  <c r="F51" i="82"/>
  <c r="E51" i="82"/>
  <c r="I50" i="82"/>
  <c r="H50" i="82"/>
  <c r="G50" i="82"/>
  <c r="F50" i="82"/>
  <c r="U196" i="82" s="1"/>
  <c r="E50" i="82"/>
  <c r="AE196" i="82" s="1"/>
  <c r="I49" i="82"/>
  <c r="H49" i="82"/>
  <c r="G49" i="82"/>
  <c r="F49" i="82"/>
  <c r="AP195" i="82" s="1"/>
  <c r="E49" i="82"/>
  <c r="I48" i="82"/>
  <c r="H48" i="82"/>
  <c r="G48" i="82"/>
  <c r="F48" i="82"/>
  <c r="AF194" i="82" s="1"/>
  <c r="E48" i="82"/>
  <c r="AE194" i="82" s="1"/>
  <c r="I47" i="82"/>
  <c r="H47" i="82"/>
  <c r="G47" i="82"/>
  <c r="F47" i="82"/>
  <c r="AF193" i="82" s="1"/>
  <c r="E47" i="82"/>
  <c r="I46" i="82"/>
  <c r="H46" i="82"/>
  <c r="G46" i="82"/>
  <c r="F46" i="82"/>
  <c r="E46" i="82"/>
  <c r="I45" i="82"/>
  <c r="H45" i="82"/>
  <c r="G45" i="82"/>
  <c r="F45" i="82"/>
  <c r="AP191" i="82" s="1"/>
  <c r="E45" i="82"/>
  <c r="AE191" i="82" s="1"/>
  <c r="I44" i="82"/>
  <c r="H44" i="82"/>
  <c r="G44" i="82"/>
  <c r="F44" i="82"/>
  <c r="E44" i="82"/>
  <c r="I43" i="82"/>
  <c r="H43" i="82"/>
  <c r="G43" i="82"/>
  <c r="F43" i="82"/>
  <c r="AF189" i="82" s="1"/>
  <c r="E43" i="82"/>
  <c r="AE189" i="82" s="1"/>
  <c r="I42" i="82"/>
  <c r="H42" i="82"/>
  <c r="G42" i="82"/>
  <c r="F42" i="82"/>
  <c r="AP188" i="82" s="1"/>
  <c r="E42" i="82"/>
  <c r="AE188" i="82" s="1"/>
  <c r="AX41" i="82"/>
  <c r="AN41" i="82"/>
  <c r="AD41" i="82"/>
  <c r="S41" i="82"/>
  <c r="I41" i="82"/>
  <c r="H41" i="82"/>
  <c r="G41" i="82"/>
  <c r="F41" i="82"/>
  <c r="E41" i="82"/>
  <c r="T187" i="82" s="1"/>
  <c r="AX40" i="82"/>
  <c r="AN40" i="82"/>
  <c r="AD40" i="82"/>
  <c r="S40" i="82"/>
  <c r="I40" i="82"/>
  <c r="H40" i="82"/>
  <c r="G40" i="82"/>
  <c r="F40" i="82"/>
  <c r="E40" i="82"/>
  <c r="BC39" i="82"/>
  <c r="AS39" i="82"/>
  <c r="AI39" i="82"/>
  <c r="X39" i="82"/>
  <c r="I39" i="82"/>
  <c r="H39" i="82"/>
  <c r="G39" i="82"/>
  <c r="F39" i="82"/>
  <c r="AP185" i="82" s="1"/>
  <c r="E39" i="82"/>
  <c r="AX38" i="82"/>
  <c r="AN38" i="82"/>
  <c r="AD38" i="82"/>
  <c r="S38" i="82"/>
  <c r="I38" i="82"/>
  <c r="H38" i="82"/>
  <c r="G38" i="82"/>
  <c r="F38" i="82"/>
  <c r="AP184" i="82" s="1"/>
  <c r="E38" i="82"/>
  <c r="BC37" i="82"/>
  <c r="AX37" i="82"/>
  <c r="AS37" i="82"/>
  <c r="AN37" i="82"/>
  <c r="AI37" i="82"/>
  <c r="AD37" i="82"/>
  <c r="X37" i="82"/>
  <c r="S37" i="82"/>
  <c r="BC36" i="82"/>
  <c r="AS36" i="82"/>
  <c r="X36" i="82"/>
  <c r="AX33" i="82"/>
  <c r="AN33" i="82"/>
  <c r="AD33" i="82"/>
  <c r="S33" i="82"/>
  <c r="I33" i="82"/>
  <c r="H33" i="82"/>
  <c r="G33" i="82"/>
  <c r="F33" i="82"/>
  <c r="E33" i="82"/>
  <c r="BC32" i="82"/>
  <c r="AS32" i="82"/>
  <c r="AI32" i="82"/>
  <c r="AI36" i="82" s="1"/>
  <c r="X32" i="82"/>
  <c r="I32" i="82"/>
  <c r="H32" i="82"/>
  <c r="G32" i="82"/>
  <c r="V178" i="82" s="1"/>
  <c r="F32" i="82"/>
  <c r="AP178" i="82" s="1"/>
  <c r="E32" i="82"/>
  <c r="AY178" i="82" s="1"/>
  <c r="BC31" i="82"/>
  <c r="AZ168" i="82" s="1"/>
  <c r="AS31" i="82"/>
  <c r="AI31" i="82"/>
  <c r="X31" i="82"/>
  <c r="I31" i="82"/>
  <c r="H31" i="82"/>
  <c r="G31" i="82"/>
  <c r="F31" i="82"/>
  <c r="AF177" i="82" s="1"/>
  <c r="E31" i="82"/>
  <c r="BC30" i="82"/>
  <c r="AX30" i="82"/>
  <c r="AS30" i="82"/>
  <c r="AN30" i="82"/>
  <c r="AI30" i="82"/>
  <c r="AD30" i="82"/>
  <c r="X30" i="82"/>
  <c r="S30" i="82"/>
  <c r="I30" i="82"/>
  <c r="H30" i="82"/>
  <c r="G30" i="82"/>
  <c r="V176" i="82" s="1"/>
  <c r="F30" i="82"/>
  <c r="E30" i="82"/>
  <c r="AE176" i="82" s="1"/>
  <c r="BC29" i="82"/>
  <c r="AS29" i="82"/>
  <c r="AI29" i="82"/>
  <c r="AI33" i="82" s="1"/>
  <c r="X29" i="82"/>
  <c r="I29" i="82"/>
  <c r="H29" i="82"/>
  <c r="G29" i="82"/>
  <c r="F29" i="82"/>
  <c r="AF175" i="82" s="1"/>
  <c r="E29" i="82"/>
  <c r="I28" i="82"/>
  <c r="H28" i="82"/>
  <c r="G28" i="82"/>
  <c r="BA174" i="82" s="1"/>
  <c r="F28" i="82"/>
  <c r="AP174" i="82" s="1"/>
  <c r="E28" i="82"/>
  <c r="I27" i="82"/>
  <c r="H27" i="82"/>
  <c r="G27" i="82"/>
  <c r="F27" i="82"/>
  <c r="E27" i="82"/>
  <c r="I26" i="82"/>
  <c r="H26" i="82"/>
  <c r="G26" i="82"/>
  <c r="AG172" i="82" s="1"/>
  <c r="F26" i="82"/>
  <c r="AP172" i="82" s="1"/>
  <c r="E26" i="82"/>
  <c r="I25" i="82"/>
  <c r="H25" i="82"/>
  <c r="G25" i="82"/>
  <c r="F25" i="82"/>
  <c r="E25" i="82"/>
  <c r="I24" i="82"/>
  <c r="H24" i="82"/>
  <c r="G24" i="82"/>
  <c r="V170" i="82" s="1"/>
  <c r="F24" i="82"/>
  <c r="E24" i="82"/>
  <c r="AX23" i="82"/>
  <c r="AN23" i="82"/>
  <c r="AD23" i="82"/>
  <c r="S23" i="82"/>
  <c r="I23" i="82"/>
  <c r="H23" i="82"/>
  <c r="G23" i="82"/>
  <c r="V169" i="82" s="1"/>
  <c r="F23" i="82"/>
  <c r="E23" i="82"/>
  <c r="AE169" i="82" s="1"/>
  <c r="S22" i="82"/>
  <c r="I22" i="82"/>
  <c r="H22" i="82"/>
  <c r="G22" i="82"/>
  <c r="F22" i="82"/>
  <c r="E22" i="82"/>
  <c r="I21" i="82"/>
  <c r="H21" i="82"/>
  <c r="G21" i="82"/>
  <c r="F21" i="82"/>
  <c r="E21" i="82"/>
  <c r="AY167" i="82" s="1"/>
  <c r="I20" i="82"/>
  <c r="H20" i="82"/>
  <c r="G20" i="82"/>
  <c r="BA166" i="82" s="1"/>
  <c r="F20" i="82"/>
  <c r="E20" i="82"/>
  <c r="I19" i="82"/>
  <c r="H19" i="82"/>
  <c r="G19" i="82"/>
  <c r="F19" i="82"/>
  <c r="E19" i="82"/>
  <c r="I18" i="82"/>
  <c r="H18" i="82"/>
  <c r="G18" i="82"/>
  <c r="V164" i="82" s="1"/>
  <c r="F18" i="82"/>
  <c r="AP164" i="82" s="1"/>
  <c r="E18" i="82"/>
  <c r="I17" i="82"/>
  <c r="H17" i="82"/>
  <c r="G17" i="82"/>
  <c r="BA163" i="82" s="1"/>
  <c r="F17" i="82"/>
  <c r="E17" i="82"/>
  <c r="I16" i="82"/>
  <c r="H16" i="82"/>
  <c r="G16" i="82"/>
  <c r="BA162" i="82" s="1"/>
  <c r="F16" i="82"/>
  <c r="AZ162" i="82" s="1"/>
  <c r="E16" i="82"/>
  <c r="AY162" i="82" s="1"/>
  <c r="I15" i="82"/>
  <c r="H15" i="82"/>
  <c r="G15" i="82"/>
  <c r="F15" i="82"/>
  <c r="AF161" i="82" s="1"/>
  <c r="E15" i="82"/>
  <c r="I14" i="82"/>
  <c r="H14" i="82"/>
  <c r="G14" i="82"/>
  <c r="F14" i="82"/>
  <c r="AP160" i="82" s="1"/>
  <c r="E14" i="82"/>
  <c r="AY160" i="82" s="1"/>
  <c r="I13" i="82"/>
  <c r="H13" i="82"/>
  <c r="G13" i="82"/>
  <c r="V159" i="82" s="1"/>
  <c r="F13" i="82"/>
  <c r="AP159" i="82" s="1"/>
  <c r="E13" i="82"/>
  <c r="O12" i="82"/>
  <c r="I12" i="82"/>
  <c r="H12" i="82"/>
  <c r="G12" i="82"/>
  <c r="V158" i="82" s="1"/>
  <c r="F12" i="82"/>
  <c r="AF158" i="82" s="1"/>
  <c r="E12" i="82"/>
  <c r="O11" i="82"/>
  <c r="O10" i="82"/>
  <c r="O9" i="82"/>
  <c r="AY7" i="82"/>
  <c r="AO7" i="82"/>
  <c r="AE7" i="82"/>
  <c r="T7" i="82"/>
  <c r="AY6" i="82"/>
  <c r="AO6" i="82"/>
  <c r="AE6" i="82"/>
  <c r="T6" i="82"/>
  <c r="AY5" i="82"/>
  <c r="AO5" i="82"/>
  <c r="AE5" i="82"/>
  <c r="T5" i="82"/>
  <c r="AE4" i="82"/>
  <c r="T4" i="82"/>
  <c r="C249" i="81"/>
  <c r="AY4" i="81" s="1"/>
  <c r="C200" i="81"/>
  <c r="AO4" i="81" s="1"/>
  <c r="AT13" i="81" s="1"/>
  <c r="G205" i="81" s="1"/>
  <c r="C151" i="81"/>
  <c r="AE4" i="81" s="1"/>
  <c r="C97" i="81"/>
  <c r="T4" i="81" s="1"/>
  <c r="T9" i="47"/>
  <c r="C282" i="81"/>
  <c r="C267" i="81"/>
  <c r="C266" i="81"/>
  <c r="D261" i="81"/>
  <c r="B261" i="81"/>
  <c r="D260" i="81"/>
  <c r="B260" i="81"/>
  <c r="E259" i="81"/>
  <c r="D259" i="81"/>
  <c r="B259" i="81"/>
  <c r="H258" i="81"/>
  <c r="E258" i="81"/>
  <c r="D258" i="81"/>
  <c r="B258" i="81"/>
  <c r="H257" i="81"/>
  <c r="E257" i="81"/>
  <c r="D257" i="81"/>
  <c r="B257" i="81"/>
  <c r="E256" i="81"/>
  <c r="D256" i="81"/>
  <c r="B256" i="81"/>
  <c r="H255" i="81"/>
  <c r="E255" i="81"/>
  <c r="D255" i="81"/>
  <c r="B255" i="81"/>
  <c r="H254" i="81"/>
  <c r="E254" i="81"/>
  <c r="D254" i="81"/>
  <c r="B254" i="81"/>
  <c r="H253" i="81"/>
  <c r="E253" i="81"/>
  <c r="D253" i="81"/>
  <c r="B253" i="81"/>
  <c r="H252" i="81"/>
  <c r="E252" i="81"/>
  <c r="D252" i="81"/>
  <c r="B252" i="81"/>
  <c r="G249" i="81"/>
  <c r="C233" i="81"/>
  <c r="C218" i="81"/>
  <c r="C217" i="81"/>
  <c r="D212" i="81"/>
  <c r="B212" i="81"/>
  <c r="D211" i="81"/>
  <c r="B211" i="81"/>
  <c r="E210" i="81"/>
  <c r="D210" i="81"/>
  <c r="B210" i="81"/>
  <c r="H209" i="81"/>
  <c r="E209" i="81"/>
  <c r="D209" i="81"/>
  <c r="B209" i="81"/>
  <c r="H208" i="81"/>
  <c r="E208" i="81"/>
  <c r="D208" i="81"/>
  <c r="B208" i="81"/>
  <c r="E207" i="81"/>
  <c r="D207" i="81"/>
  <c r="B207" i="81"/>
  <c r="H206" i="81"/>
  <c r="E206" i="81"/>
  <c r="D206" i="81"/>
  <c r="B206" i="81"/>
  <c r="H205" i="81"/>
  <c r="E205" i="81"/>
  <c r="D205" i="81"/>
  <c r="B205" i="81"/>
  <c r="H204" i="81"/>
  <c r="E204" i="81"/>
  <c r="D204" i="81"/>
  <c r="B204" i="81"/>
  <c r="H203" i="81"/>
  <c r="E203" i="81"/>
  <c r="D203" i="81"/>
  <c r="B203" i="81"/>
  <c r="G200" i="81"/>
  <c r="AF189" i="81"/>
  <c r="C184" i="81"/>
  <c r="AV181" i="81"/>
  <c r="AL181" i="81"/>
  <c r="AB181" i="81"/>
  <c r="Q181" i="81"/>
  <c r="C169" i="81"/>
  <c r="C168" i="81"/>
  <c r="D163" i="81"/>
  <c r="B163" i="81"/>
  <c r="D162" i="81"/>
  <c r="B162" i="81"/>
  <c r="E161" i="81"/>
  <c r="D161" i="81"/>
  <c r="B161" i="81"/>
  <c r="H160" i="81"/>
  <c r="E160" i="81"/>
  <c r="D160" i="81"/>
  <c r="B160" i="81"/>
  <c r="H159" i="81"/>
  <c r="E159" i="81"/>
  <c r="D159" i="81"/>
  <c r="B159" i="81"/>
  <c r="E158" i="81"/>
  <c r="D158" i="81"/>
  <c r="B158" i="81"/>
  <c r="H157" i="81"/>
  <c r="E157" i="81"/>
  <c r="D157" i="81"/>
  <c r="B157" i="81"/>
  <c r="H156" i="81"/>
  <c r="E156" i="81"/>
  <c r="D156" i="81"/>
  <c r="B156" i="81"/>
  <c r="AV155" i="81"/>
  <c r="AL155" i="81"/>
  <c r="AB155" i="81"/>
  <c r="Q155" i="81"/>
  <c r="H155" i="81"/>
  <c r="E155" i="81"/>
  <c r="D155" i="81"/>
  <c r="B155" i="81"/>
  <c r="H154" i="81"/>
  <c r="E154" i="81"/>
  <c r="D154" i="81"/>
  <c r="B154" i="81"/>
  <c r="G151" i="81"/>
  <c r="AX147" i="81"/>
  <c r="AN147" i="81"/>
  <c r="AD147" i="81"/>
  <c r="S147" i="81"/>
  <c r="AX146" i="81"/>
  <c r="AN146" i="81"/>
  <c r="AD146" i="81"/>
  <c r="S146" i="81"/>
  <c r="AX139" i="81"/>
  <c r="AN139" i="81"/>
  <c r="AD139" i="81"/>
  <c r="S139" i="81"/>
  <c r="AX137" i="81"/>
  <c r="AN137" i="81"/>
  <c r="AD137" i="81"/>
  <c r="S137" i="81"/>
  <c r="C130" i="81"/>
  <c r="C115" i="81"/>
  <c r="C114" i="81"/>
  <c r="D109" i="81"/>
  <c r="B109" i="81"/>
  <c r="D108" i="81"/>
  <c r="B108" i="81"/>
  <c r="E107" i="81"/>
  <c r="D107" i="81"/>
  <c r="B107" i="81"/>
  <c r="H106" i="81"/>
  <c r="E106" i="81"/>
  <c r="D106" i="81"/>
  <c r="B106" i="81"/>
  <c r="H105" i="81"/>
  <c r="E105" i="81"/>
  <c r="D105" i="81"/>
  <c r="B105" i="81"/>
  <c r="E104" i="81"/>
  <c r="D104" i="81"/>
  <c r="B104" i="81"/>
  <c r="H103" i="81"/>
  <c r="E103" i="81"/>
  <c r="D103" i="81"/>
  <c r="B103" i="81"/>
  <c r="H102" i="81"/>
  <c r="E102" i="81"/>
  <c r="D102" i="81"/>
  <c r="B102" i="81"/>
  <c r="H101" i="81"/>
  <c r="E101" i="81"/>
  <c r="D101" i="81"/>
  <c r="B101" i="81"/>
  <c r="H100" i="81"/>
  <c r="E100" i="81"/>
  <c r="D100" i="81"/>
  <c r="B100" i="81"/>
  <c r="G97" i="81"/>
  <c r="J76" i="81"/>
  <c r="I76" i="81"/>
  <c r="AX64" i="81"/>
  <c r="AN64" i="81"/>
  <c r="AD64" i="81"/>
  <c r="S64" i="81"/>
  <c r="I59" i="81"/>
  <c r="H59" i="81"/>
  <c r="G59" i="81"/>
  <c r="F59" i="81"/>
  <c r="E59" i="81"/>
  <c r="I58" i="81"/>
  <c r="H58" i="81"/>
  <c r="G58" i="81"/>
  <c r="F58" i="81"/>
  <c r="AF204" i="81" s="1"/>
  <c r="E58" i="81"/>
  <c r="I57" i="81"/>
  <c r="H57" i="81"/>
  <c r="G57" i="81"/>
  <c r="F57" i="81"/>
  <c r="AP203" i="81" s="1"/>
  <c r="E57" i="81"/>
  <c r="C57" i="81"/>
  <c r="I56" i="81"/>
  <c r="H56" i="81"/>
  <c r="G56" i="81"/>
  <c r="F56" i="81"/>
  <c r="E56" i="81"/>
  <c r="C56" i="81"/>
  <c r="I55" i="81"/>
  <c r="H55" i="81"/>
  <c r="G55" i="81"/>
  <c r="F55" i="81"/>
  <c r="E55" i="81"/>
  <c r="C55" i="81"/>
  <c r="AX54" i="81"/>
  <c r="AN54" i="81"/>
  <c r="AD54" i="81"/>
  <c r="S54" i="81"/>
  <c r="I54" i="81"/>
  <c r="H54" i="81"/>
  <c r="G54" i="81"/>
  <c r="F54" i="81"/>
  <c r="AP200" i="81" s="1"/>
  <c r="E54" i="81"/>
  <c r="C54" i="81"/>
  <c r="I53" i="81"/>
  <c r="H53" i="81"/>
  <c r="G53" i="81"/>
  <c r="F53" i="81"/>
  <c r="AF199" i="81" s="1"/>
  <c r="E53" i="81"/>
  <c r="C53" i="81"/>
  <c r="I52" i="81"/>
  <c r="H52" i="81"/>
  <c r="G52" i="81"/>
  <c r="F52" i="81"/>
  <c r="E52" i="81"/>
  <c r="T198" i="81" s="1"/>
  <c r="C52" i="81"/>
  <c r="I51" i="81"/>
  <c r="H51" i="81"/>
  <c r="G51" i="81"/>
  <c r="F51" i="81"/>
  <c r="AZ197" i="81" s="1"/>
  <c r="E51" i="81"/>
  <c r="I50" i="81"/>
  <c r="H50" i="81"/>
  <c r="G50" i="81"/>
  <c r="F50" i="81"/>
  <c r="AZ196" i="81" s="1"/>
  <c r="E50" i="81"/>
  <c r="I49" i="81"/>
  <c r="H49" i="81"/>
  <c r="G49" i="81"/>
  <c r="F49" i="81"/>
  <c r="AP195" i="81" s="1"/>
  <c r="E49" i="81"/>
  <c r="C49" i="81"/>
  <c r="I48" i="81"/>
  <c r="H48" i="81"/>
  <c r="G48" i="81"/>
  <c r="F48" i="81"/>
  <c r="U194" i="81" s="1"/>
  <c r="E48" i="81"/>
  <c r="I47" i="81"/>
  <c r="H47" i="81"/>
  <c r="G47" i="81"/>
  <c r="F47" i="81"/>
  <c r="AF193" i="81" s="1"/>
  <c r="E47" i="81"/>
  <c r="C47" i="81"/>
  <c r="I46" i="81"/>
  <c r="H46" i="81"/>
  <c r="G46" i="81"/>
  <c r="F46" i="81"/>
  <c r="AF192" i="81" s="1"/>
  <c r="E46" i="81"/>
  <c r="I45" i="81"/>
  <c r="H45" i="81"/>
  <c r="G45" i="81"/>
  <c r="F45" i="81"/>
  <c r="AP191" i="81" s="1"/>
  <c r="E45" i="81"/>
  <c r="I44" i="81"/>
  <c r="H44" i="81"/>
  <c r="G44" i="81"/>
  <c r="F44" i="81"/>
  <c r="E44" i="81"/>
  <c r="I43" i="81"/>
  <c r="H43" i="81"/>
  <c r="G43" i="81"/>
  <c r="F43" i="81"/>
  <c r="E43" i="81"/>
  <c r="I42" i="81"/>
  <c r="H42" i="81"/>
  <c r="G42" i="81"/>
  <c r="F42" i="81"/>
  <c r="U188" i="81" s="1"/>
  <c r="E42" i="81"/>
  <c r="AX41" i="81"/>
  <c r="AN41" i="81"/>
  <c r="AD41" i="81"/>
  <c r="S41" i="81"/>
  <c r="I41" i="81"/>
  <c r="H41" i="81"/>
  <c r="G41" i="81"/>
  <c r="F41" i="81"/>
  <c r="E41" i="81"/>
  <c r="C41" i="81"/>
  <c r="AX40" i="81"/>
  <c r="AN40" i="81"/>
  <c r="AD40" i="81"/>
  <c r="S40" i="81"/>
  <c r="I40" i="81"/>
  <c r="H40" i="81"/>
  <c r="G40" i="81"/>
  <c r="F40" i="81"/>
  <c r="E40" i="81"/>
  <c r="T186" i="81" s="1"/>
  <c r="C40" i="81"/>
  <c r="BC39" i="81"/>
  <c r="BA193" i="81" s="1"/>
  <c r="AS39" i="81"/>
  <c r="AI39" i="81"/>
  <c r="X39" i="81"/>
  <c r="I39" i="81"/>
  <c r="H39" i="81"/>
  <c r="G39" i="81"/>
  <c r="F39" i="81"/>
  <c r="E39" i="81"/>
  <c r="C39" i="81"/>
  <c r="AX38" i="81"/>
  <c r="AN38" i="81"/>
  <c r="AD38" i="81"/>
  <c r="S38" i="81"/>
  <c r="I38" i="81"/>
  <c r="H38" i="81"/>
  <c r="G38" i="81"/>
  <c r="F38" i="81"/>
  <c r="AP184" i="81" s="1"/>
  <c r="E38" i="81"/>
  <c r="BC37" i="81"/>
  <c r="AX37" i="81"/>
  <c r="AS37" i="81"/>
  <c r="AQ178" i="81" s="1"/>
  <c r="AN37" i="81"/>
  <c r="AI37" i="81"/>
  <c r="AD37" i="81"/>
  <c r="X37" i="81"/>
  <c r="V179" i="81" s="1"/>
  <c r="S37" i="81"/>
  <c r="C37" i="81"/>
  <c r="AX33" i="81"/>
  <c r="AN33" i="81"/>
  <c r="AD33" i="81"/>
  <c r="S33" i="81"/>
  <c r="I33" i="81"/>
  <c r="H33" i="81"/>
  <c r="G33" i="81"/>
  <c r="F33" i="81"/>
  <c r="AP179" i="81" s="1"/>
  <c r="E33" i="81"/>
  <c r="C33" i="81"/>
  <c r="C59" i="81" s="1"/>
  <c r="BC32" i="81"/>
  <c r="BC36" i="81" s="1"/>
  <c r="AS32" i="81"/>
  <c r="AS36" i="81" s="1"/>
  <c r="AI32" i="81"/>
  <c r="AI36" i="81" s="1"/>
  <c r="X32" i="81"/>
  <c r="X36" i="81" s="1"/>
  <c r="I32" i="81"/>
  <c r="H32" i="81"/>
  <c r="G32" i="81"/>
  <c r="BA178" i="81" s="1"/>
  <c r="F32" i="81"/>
  <c r="U178" i="81" s="1"/>
  <c r="E32" i="81"/>
  <c r="C32" i="81"/>
  <c r="C58" i="81" s="1"/>
  <c r="BC31" i="81"/>
  <c r="AS31" i="81"/>
  <c r="AI31" i="81"/>
  <c r="X31" i="81"/>
  <c r="I31" i="81"/>
  <c r="H31" i="81"/>
  <c r="G31" i="81"/>
  <c r="F31" i="81"/>
  <c r="AF177" i="81" s="1"/>
  <c r="E31" i="81"/>
  <c r="C31" i="81"/>
  <c r="BC30" i="81"/>
  <c r="AX30" i="81"/>
  <c r="AS30" i="81"/>
  <c r="AN30" i="81"/>
  <c r="AI30" i="81"/>
  <c r="AD30" i="81"/>
  <c r="X30" i="81"/>
  <c r="S30" i="81"/>
  <c r="I30" i="81"/>
  <c r="H30" i="81"/>
  <c r="G30" i="81"/>
  <c r="V176" i="81" s="1"/>
  <c r="F30" i="81"/>
  <c r="AZ176" i="81" s="1"/>
  <c r="E30" i="81"/>
  <c r="AE176" i="81" s="1"/>
  <c r="C30" i="81"/>
  <c r="BC29" i="81"/>
  <c r="AS29" i="81"/>
  <c r="AS33" i="81" s="1"/>
  <c r="AS38" i="81" s="1"/>
  <c r="AI29" i="81"/>
  <c r="AI33" i="81" s="1"/>
  <c r="AI38" i="81" s="1"/>
  <c r="X29" i="81"/>
  <c r="I29" i="81"/>
  <c r="H29" i="81"/>
  <c r="G29" i="81"/>
  <c r="F29" i="81"/>
  <c r="E29" i="81"/>
  <c r="C29" i="81"/>
  <c r="I28" i="81"/>
  <c r="H28" i="81"/>
  <c r="G28" i="81"/>
  <c r="V174" i="81" s="1"/>
  <c r="F28" i="81"/>
  <c r="E28" i="81"/>
  <c r="C28" i="81"/>
  <c r="I27" i="81"/>
  <c r="H27" i="81"/>
  <c r="G27" i="81"/>
  <c r="F27" i="81"/>
  <c r="AP173" i="81" s="1"/>
  <c r="E27" i="81"/>
  <c r="C27" i="81"/>
  <c r="I26" i="81"/>
  <c r="H26" i="81"/>
  <c r="G26" i="81"/>
  <c r="BA172" i="81" s="1"/>
  <c r="F26" i="81"/>
  <c r="E26" i="81"/>
  <c r="C26" i="81"/>
  <c r="I25" i="81"/>
  <c r="H25" i="81"/>
  <c r="G25" i="81"/>
  <c r="F25" i="81"/>
  <c r="AF171" i="81" s="1"/>
  <c r="E25" i="81"/>
  <c r="C25" i="81"/>
  <c r="C51" i="81" s="1"/>
  <c r="I24" i="81"/>
  <c r="H24" i="81"/>
  <c r="G24" i="81"/>
  <c r="BA170" i="81" s="1"/>
  <c r="F24" i="81"/>
  <c r="AF170" i="81" s="1"/>
  <c r="E24" i="81"/>
  <c r="T170" i="81" s="1"/>
  <c r="C24" i="81"/>
  <c r="C50" i="81" s="1"/>
  <c r="AX23" i="81"/>
  <c r="AN23" i="81"/>
  <c r="AD23" i="81"/>
  <c r="S23" i="81"/>
  <c r="I23" i="81"/>
  <c r="H23" i="81"/>
  <c r="G23" i="81"/>
  <c r="F23" i="81"/>
  <c r="AZ169" i="81" s="1"/>
  <c r="E23" i="81"/>
  <c r="C23" i="81"/>
  <c r="S22" i="81"/>
  <c r="I22" i="81"/>
  <c r="H22" i="81"/>
  <c r="G22" i="81"/>
  <c r="BA168" i="81" s="1"/>
  <c r="F22" i="81"/>
  <c r="AF168" i="81" s="1"/>
  <c r="E22" i="81"/>
  <c r="AY168" i="81" s="1"/>
  <c r="C22" i="81"/>
  <c r="C48" i="81" s="1"/>
  <c r="I21" i="81"/>
  <c r="H21" i="81"/>
  <c r="G21" i="81"/>
  <c r="F21" i="81"/>
  <c r="AF167" i="81" s="1"/>
  <c r="E21" i="81"/>
  <c r="C21" i="81"/>
  <c r="I20" i="81"/>
  <c r="H20" i="81"/>
  <c r="G20" i="81"/>
  <c r="V166" i="81" s="1"/>
  <c r="F20" i="81"/>
  <c r="AZ166" i="81" s="1"/>
  <c r="E20" i="81"/>
  <c r="C20" i="81"/>
  <c r="C46" i="81" s="1"/>
  <c r="I19" i="81"/>
  <c r="H19" i="81"/>
  <c r="G19" i="81"/>
  <c r="F19" i="81"/>
  <c r="E19" i="81"/>
  <c r="C19" i="81"/>
  <c r="C45" i="81" s="1"/>
  <c r="I18" i="81"/>
  <c r="H18" i="81"/>
  <c r="G18" i="81"/>
  <c r="F18" i="81"/>
  <c r="AZ164" i="81" s="1"/>
  <c r="E18" i="81"/>
  <c r="C18" i="81"/>
  <c r="C44" i="81" s="1"/>
  <c r="I17" i="81"/>
  <c r="H17" i="81"/>
  <c r="G17" i="81"/>
  <c r="F17" i="81"/>
  <c r="AZ163" i="81" s="1"/>
  <c r="E17" i="81"/>
  <c r="C17" i="81"/>
  <c r="C43" i="81" s="1"/>
  <c r="I16" i="81"/>
  <c r="H16" i="81"/>
  <c r="G16" i="81"/>
  <c r="F16" i="81"/>
  <c r="E16" i="81"/>
  <c r="C16" i="81"/>
  <c r="C42" i="81" s="1"/>
  <c r="I15" i="81"/>
  <c r="H15" i="81"/>
  <c r="G15" i="81"/>
  <c r="F15" i="81"/>
  <c r="U161" i="81" s="1"/>
  <c r="E15" i="81"/>
  <c r="C15" i="81"/>
  <c r="I14" i="81"/>
  <c r="H14" i="81"/>
  <c r="G14" i="81"/>
  <c r="F14" i="81"/>
  <c r="AF160" i="81" s="1"/>
  <c r="E14" i="81"/>
  <c r="C14" i="81"/>
  <c r="I13" i="81"/>
  <c r="H13" i="81"/>
  <c r="G13" i="81"/>
  <c r="BA159" i="81" s="1"/>
  <c r="F13" i="81"/>
  <c r="E13" i="81"/>
  <c r="C13" i="81"/>
  <c r="O12" i="81"/>
  <c r="I12" i="81"/>
  <c r="H12" i="81"/>
  <c r="G12" i="81"/>
  <c r="AQ158" i="81" s="1"/>
  <c r="F12" i="81"/>
  <c r="AZ158" i="81" s="1"/>
  <c r="E12" i="81"/>
  <c r="C12" i="81"/>
  <c r="C38" i="81" s="1"/>
  <c r="O11" i="81"/>
  <c r="O10" i="81"/>
  <c r="O9" i="81"/>
  <c r="AY7" i="81"/>
  <c r="AO7" i="81"/>
  <c r="AE7" i="81"/>
  <c r="T7" i="81"/>
  <c r="AY6" i="81"/>
  <c r="AO6" i="81"/>
  <c r="AE6" i="81"/>
  <c r="T6" i="81"/>
  <c r="AY5" i="81"/>
  <c r="AO5" i="81"/>
  <c r="AE5" i="81"/>
  <c r="T5" i="81"/>
  <c r="AO9" i="86" l="1"/>
  <c r="U25" i="81"/>
  <c r="AN22" i="81"/>
  <c r="S24" i="86"/>
  <c r="C112" i="86" s="1"/>
  <c r="BA184" i="83"/>
  <c r="T202" i="82"/>
  <c r="T190" i="84"/>
  <c r="AQ168" i="81"/>
  <c r="T162" i="83"/>
  <c r="AZ168" i="81"/>
  <c r="AG165" i="85"/>
  <c r="AE174" i="86"/>
  <c r="AY159" i="86"/>
  <c r="AF171" i="86"/>
  <c r="AP168" i="81"/>
  <c r="U161" i="84"/>
  <c r="AO188" i="82"/>
  <c r="AG200" i="86"/>
  <c r="T199" i="84"/>
  <c r="AQ184" i="86"/>
  <c r="AZ191" i="84"/>
  <c r="AG185" i="84"/>
  <c r="U199" i="84"/>
  <c r="AZ185" i="84"/>
  <c r="AY186" i="81"/>
  <c r="AQ197" i="83"/>
  <c r="AF189" i="84"/>
  <c r="BA185" i="86"/>
  <c r="AP189" i="84"/>
  <c r="V170" i="83"/>
  <c r="AQ171" i="84"/>
  <c r="AP161" i="85"/>
  <c r="T173" i="84"/>
  <c r="AP178" i="81"/>
  <c r="U166" i="81"/>
  <c r="AG161" i="85"/>
  <c r="U164" i="82"/>
  <c r="AG158" i="83"/>
  <c r="AO163" i="84"/>
  <c r="AQ175" i="83"/>
  <c r="AE173" i="85"/>
  <c r="X25" i="81"/>
  <c r="AX22" i="81"/>
  <c r="AZ25" i="81" s="1"/>
  <c r="AX85" i="81" s="1"/>
  <c r="C111" i="81"/>
  <c r="P9" i="81" s="1"/>
  <c r="C128" i="81" s="1"/>
  <c r="AO9" i="85"/>
  <c r="AO13" i="85" s="1"/>
  <c r="C111" i="86"/>
  <c r="P9" i="86" s="1"/>
  <c r="C128" i="86" s="1"/>
  <c r="X34" i="85"/>
  <c r="U192" i="81"/>
  <c r="U193" i="82"/>
  <c r="V187" i="85"/>
  <c r="U184" i="84"/>
  <c r="AF205" i="84"/>
  <c r="U200" i="81"/>
  <c r="U196" i="83"/>
  <c r="AP184" i="84"/>
  <c r="AZ205" i="84"/>
  <c r="U191" i="81"/>
  <c r="AF200" i="81"/>
  <c r="AZ184" i="84"/>
  <c r="AO190" i="84"/>
  <c r="AF191" i="81"/>
  <c r="AZ191" i="81"/>
  <c r="AE203" i="82"/>
  <c r="AO199" i="85"/>
  <c r="T203" i="81"/>
  <c r="V184" i="82"/>
  <c r="AG205" i="82"/>
  <c r="AE187" i="84"/>
  <c r="V205" i="81"/>
  <c r="U203" i="81"/>
  <c r="AF203" i="82"/>
  <c r="T202" i="83"/>
  <c r="U202" i="84"/>
  <c r="AQ193" i="85"/>
  <c r="U187" i="86"/>
  <c r="AF193" i="86"/>
  <c r="AG185" i="81"/>
  <c r="U196" i="81"/>
  <c r="BA201" i="82"/>
  <c r="AF184" i="82"/>
  <c r="AE188" i="84"/>
  <c r="BA205" i="85"/>
  <c r="AP202" i="81"/>
  <c r="AQ189" i="81"/>
  <c r="AO198" i="84"/>
  <c r="V187" i="86"/>
  <c r="AP160" i="84"/>
  <c r="AY164" i="84"/>
  <c r="AZ168" i="84"/>
  <c r="AZ173" i="84"/>
  <c r="AG162" i="85"/>
  <c r="AP166" i="81"/>
  <c r="AE162" i="82"/>
  <c r="V174" i="84"/>
  <c r="AF175" i="85"/>
  <c r="AP175" i="84"/>
  <c r="AG165" i="83"/>
  <c r="U168" i="84"/>
  <c r="AP167" i="86"/>
  <c r="AP169" i="81"/>
  <c r="AP161" i="82"/>
  <c r="V164" i="84"/>
  <c r="AZ170" i="81"/>
  <c r="AF173" i="84"/>
  <c r="AF166" i="81"/>
  <c r="AG176" i="82"/>
  <c r="AF177" i="83"/>
  <c r="AG159" i="83"/>
  <c r="AQ170" i="83"/>
  <c r="T165" i="84"/>
  <c r="BA176" i="82"/>
  <c r="AP168" i="84"/>
  <c r="V168" i="81"/>
  <c r="AF160" i="82"/>
  <c r="U174" i="82"/>
  <c r="AG171" i="84"/>
  <c r="T177" i="86"/>
  <c r="T164" i="84"/>
  <c r="AO164" i="84"/>
  <c r="AQ162" i="85"/>
  <c r="AF176" i="81"/>
  <c r="AQ178" i="82"/>
  <c r="V171" i="84"/>
  <c r="AO164" i="85"/>
  <c r="AG188" i="84"/>
  <c r="AY9" i="86"/>
  <c r="AY14" i="86" s="1"/>
  <c r="C255" i="86" s="1"/>
  <c r="AG184" i="86"/>
  <c r="V198" i="85"/>
  <c r="AQ191" i="86"/>
  <c r="AG205" i="84"/>
  <c r="AD22" i="86"/>
  <c r="C165" i="86" s="1"/>
  <c r="P10" i="86" s="1"/>
  <c r="C182" i="86" s="1"/>
  <c r="AX24" i="84"/>
  <c r="BB198" i="84" s="1"/>
  <c r="W158" i="86"/>
  <c r="AS25" i="81"/>
  <c r="AN48" i="81" s="1"/>
  <c r="AX22" i="86"/>
  <c r="AX24" i="86" s="1"/>
  <c r="U25" i="86"/>
  <c r="S85" i="86" s="1"/>
  <c r="S84" i="86" s="1"/>
  <c r="W197" i="86"/>
  <c r="W170" i="86"/>
  <c r="AD86" i="86"/>
  <c r="AE12" i="86"/>
  <c r="C155" i="86" s="1"/>
  <c r="W173" i="86"/>
  <c r="G102" i="86"/>
  <c r="T12" i="86"/>
  <c r="S48" i="86"/>
  <c r="AO15" i="86"/>
  <c r="AO12" i="86"/>
  <c r="BC38" i="86"/>
  <c r="AZ158" i="86"/>
  <c r="AZ163" i="86"/>
  <c r="W195" i="86"/>
  <c r="AY158" i="86"/>
  <c r="AE158" i="86"/>
  <c r="T158" i="86"/>
  <c r="W160" i="86"/>
  <c r="AO188" i="86"/>
  <c r="AE188" i="86"/>
  <c r="AY188" i="86"/>
  <c r="T188" i="86"/>
  <c r="AE190" i="86"/>
  <c r="AY190" i="86"/>
  <c r="T190" i="86"/>
  <c r="T192" i="86"/>
  <c r="AE192" i="86"/>
  <c r="AY192" i="86"/>
  <c r="AZ165" i="86"/>
  <c r="AE173" i="86"/>
  <c r="AY173" i="86"/>
  <c r="T173" i="86"/>
  <c r="AO173" i="86"/>
  <c r="AE175" i="86"/>
  <c r="T175" i="86"/>
  <c r="BA174" i="86"/>
  <c r="BA175" i="86"/>
  <c r="AF188" i="86"/>
  <c r="AP188" i="86"/>
  <c r="U188" i="86"/>
  <c r="AF190" i="86"/>
  <c r="U190" i="86"/>
  <c r="AP190" i="86"/>
  <c r="AZ190" i="86"/>
  <c r="AP192" i="86"/>
  <c r="U192" i="86"/>
  <c r="AZ192" i="86"/>
  <c r="AF192" i="86"/>
  <c r="AZ204" i="86"/>
  <c r="AF204" i="86"/>
  <c r="U204" i="86"/>
  <c r="AP204" i="86"/>
  <c r="BA165" i="86"/>
  <c r="U178" i="86"/>
  <c r="AY202" i="86"/>
  <c r="V160" i="86"/>
  <c r="BA160" i="86"/>
  <c r="AQ160" i="86"/>
  <c r="U175" i="86"/>
  <c r="AP175" i="86"/>
  <c r="AF175" i="86"/>
  <c r="V176" i="86"/>
  <c r="BA176" i="86"/>
  <c r="AQ176" i="86"/>
  <c r="AG176" i="86"/>
  <c r="AE187" i="86"/>
  <c r="AY187" i="86"/>
  <c r="T187" i="86"/>
  <c r="BA188" i="86"/>
  <c r="AG188" i="86"/>
  <c r="V188" i="86"/>
  <c r="AQ188" i="86"/>
  <c r="BA190" i="86"/>
  <c r="AG190" i="86"/>
  <c r="V190" i="86"/>
  <c r="AQ190" i="86"/>
  <c r="BA192" i="86"/>
  <c r="AG192" i="86"/>
  <c r="V192" i="86"/>
  <c r="AQ192" i="86"/>
  <c r="AF194" i="86"/>
  <c r="AZ194" i="86"/>
  <c r="U194" i="86"/>
  <c r="AP194" i="86"/>
  <c r="W199" i="86"/>
  <c r="V204" i="86"/>
  <c r="AQ204" i="86"/>
  <c r="BA204" i="86"/>
  <c r="AG204" i="86"/>
  <c r="AS36" i="86"/>
  <c r="AO191" i="86" s="1"/>
  <c r="AS33" i="86"/>
  <c r="W193" i="86"/>
  <c r="AE8" i="83"/>
  <c r="T186" i="86"/>
  <c r="AE186" i="86"/>
  <c r="AY186" i="86"/>
  <c r="AE201" i="86"/>
  <c r="AY201" i="86"/>
  <c r="T201" i="86"/>
  <c r="AY166" i="86"/>
  <c r="AE194" i="86"/>
  <c r="T13" i="86"/>
  <c r="AY161" i="86"/>
  <c r="T161" i="86"/>
  <c r="AE161" i="86"/>
  <c r="W179" i="86"/>
  <c r="AF184" i="86"/>
  <c r="AZ184" i="86"/>
  <c r="U184" i="86"/>
  <c r="AP184" i="86"/>
  <c r="AP186" i="86"/>
  <c r="AZ186" i="86"/>
  <c r="AF186" i="86"/>
  <c r="U186" i="86"/>
  <c r="T198" i="86"/>
  <c r="AE198" i="86"/>
  <c r="AY198" i="86"/>
  <c r="AZ201" i="86"/>
  <c r="AF201" i="86"/>
  <c r="AP201" i="86"/>
  <c r="U201" i="86"/>
  <c r="AZ166" i="86"/>
  <c r="W159" i="86"/>
  <c r="BA162" i="86"/>
  <c r="AQ162" i="86"/>
  <c r="AG162" i="86"/>
  <c r="V162" i="86"/>
  <c r="AZ173" i="86"/>
  <c r="AF173" i="86"/>
  <c r="U173" i="86"/>
  <c r="AP173" i="86"/>
  <c r="AP161" i="86"/>
  <c r="U161" i="86"/>
  <c r="AZ161" i="86"/>
  <c r="AF161" i="86"/>
  <c r="AE165" i="86"/>
  <c r="AF168" i="86"/>
  <c r="AZ168" i="86"/>
  <c r="AP168" i="86"/>
  <c r="U168" i="86"/>
  <c r="U185" i="86"/>
  <c r="BA186" i="86"/>
  <c r="AG186" i="86"/>
  <c r="V186" i="86"/>
  <c r="AQ186" i="86"/>
  <c r="W187" i="86"/>
  <c r="U198" i="86"/>
  <c r="AP198" i="86"/>
  <c r="AZ198" i="86"/>
  <c r="AF198" i="86"/>
  <c r="BA166" i="86"/>
  <c r="T15" i="86"/>
  <c r="V168" i="86"/>
  <c r="AG168" i="86"/>
  <c r="BA168" i="86"/>
  <c r="AQ168" i="86"/>
  <c r="V171" i="86"/>
  <c r="V159" i="86"/>
  <c r="V166" i="86"/>
  <c r="AG185" i="86"/>
  <c r="AQ185" i="86"/>
  <c r="V185" i="86"/>
  <c r="BA198" i="86"/>
  <c r="AG198" i="86"/>
  <c r="V198" i="86"/>
  <c r="AQ198" i="86"/>
  <c r="AZ188" i="86"/>
  <c r="AZ203" i="86"/>
  <c r="AZ160" i="86"/>
  <c r="U160" i="86"/>
  <c r="AP160" i="86"/>
  <c r="AE15" i="86"/>
  <c r="W168" i="86"/>
  <c r="T162" i="86"/>
  <c r="T168" i="86"/>
  <c r="W185" i="86"/>
  <c r="AE205" i="86"/>
  <c r="AO14" i="86"/>
  <c r="C206" i="86" s="1"/>
  <c r="T171" i="86"/>
  <c r="AO171" i="86"/>
  <c r="AY171" i="86"/>
  <c r="AE171" i="86"/>
  <c r="AZ174" i="86"/>
  <c r="U174" i="86"/>
  <c r="X33" i="86"/>
  <c r="U189" i="86"/>
  <c r="T195" i="86"/>
  <c r="AE195" i="86"/>
  <c r="AY195" i="86"/>
  <c r="T167" i="86"/>
  <c r="AY167" i="86"/>
  <c r="AE167" i="86"/>
  <c r="BD13" i="86"/>
  <c r="AY12" i="86"/>
  <c r="T160" i="86"/>
  <c r="AE163" i="86"/>
  <c r="T163" i="86"/>
  <c r="AE176" i="86"/>
  <c r="AE168" i="86"/>
  <c r="AE203" i="86"/>
  <c r="AE191" i="86"/>
  <c r="BA193" i="86"/>
  <c r="AG193" i="86"/>
  <c r="AQ193" i="86"/>
  <c r="V193" i="86"/>
  <c r="AY175" i="86"/>
  <c r="V161" i="86"/>
  <c r="AE162" i="86"/>
  <c r="AY162" i="86"/>
  <c r="AG173" i="86"/>
  <c r="V173" i="86"/>
  <c r="BA173" i="86"/>
  <c r="AQ175" i="86"/>
  <c r="V175" i="86"/>
  <c r="AG175" i="86"/>
  <c r="AY176" i="86"/>
  <c r="T176" i="86"/>
  <c r="AP187" i="86"/>
  <c r="AF187" i="86"/>
  <c r="W190" i="86"/>
  <c r="W192" i="86"/>
  <c r="U195" i="86"/>
  <c r="AP195" i="86"/>
  <c r="AZ195" i="86"/>
  <c r="W198" i="86"/>
  <c r="T200" i="86"/>
  <c r="AY200" i="86"/>
  <c r="BA201" i="86"/>
  <c r="AG201" i="86"/>
  <c r="V201" i="86"/>
  <c r="T165" i="86"/>
  <c r="AG204" i="84"/>
  <c r="AO15" i="85"/>
  <c r="C207" i="85" s="1"/>
  <c r="AE13" i="86"/>
  <c r="T14" i="86"/>
  <c r="C103" i="86" s="1"/>
  <c r="AP162" i="86"/>
  <c r="U162" i="86"/>
  <c r="AZ162" i="86"/>
  <c r="AP176" i="86"/>
  <c r="U176" i="86"/>
  <c r="AZ176" i="86"/>
  <c r="AY184" i="86"/>
  <c r="T184" i="86"/>
  <c r="BA187" i="86"/>
  <c r="AG187" i="86"/>
  <c r="AQ187" i="86"/>
  <c r="AO194" i="86"/>
  <c r="T194" i="86"/>
  <c r="AY194" i="86"/>
  <c r="BA195" i="86"/>
  <c r="AG195" i="86"/>
  <c r="V195" i="86"/>
  <c r="AQ195" i="86"/>
  <c r="AZ200" i="86"/>
  <c r="AF200" i="86"/>
  <c r="AP200" i="86"/>
  <c r="U200" i="86"/>
  <c r="AZ187" i="86"/>
  <c r="AF158" i="86"/>
  <c r="AO13" i="86"/>
  <c r="AE14" i="86"/>
  <c r="C157" i="86" s="1"/>
  <c r="W162" i="86"/>
  <c r="AP163" i="86"/>
  <c r="AF163" i="86"/>
  <c r="U167" i="86"/>
  <c r="AZ167" i="86"/>
  <c r="AN22" i="86"/>
  <c r="U171" i="86"/>
  <c r="AP171" i="86"/>
  <c r="W176" i="86"/>
  <c r="V184" i="86"/>
  <c r="BA184" i="86"/>
  <c r="T189" i="86"/>
  <c r="AE189" i="86"/>
  <c r="T191" i="86"/>
  <c r="AY191" i="86"/>
  <c r="BA194" i="86"/>
  <c r="AG194" i="86"/>
  <c r="V194" i="86"/>
  <c r="AQ194" i="86"/>
  <c r="T197" i="86"/>
  <c r="AY197" i="86"/>
  <c r="W200" i="86"/>
  <c r="U163" i="86"/>
  <c r="AQ173" i="86"/>
  <c r="AF176" i="86"/>
  <c r="AY189" i="86"/>
  <c r="AF195" i="86"/>
  <c r="AE197" i="86"/>
  <c r="AQ201" i="86"/>
  <c r="AO9" i="84"/>
  <c r="AO15" i="84" s="1"/>
  <c r="AG197" i="84"/>
  <c r="AG158" i="86"/>
  <c r="BA158" i="86"/>
  <c r="AQ163" i="86"/>
  <c r="V163" i="86"/>
  <c r="AG163" i="86"/>
  <c r="T164" i="86"/>
  <c r="AE164" i="86"/>
  <c r="AO166" i="86"/>
  <c r="T166" i="86"/>
  <c r="AE166" i="86"/>
  <c r="V167" i="86"/>
  <c r="BA167" i="86"/>
  <c r="AQ167" i="86"/>
  <c r="AY170" i="86"/>
  <c r="T170" i="86"/>
  <c r="BA171" i="86"/>
  <c r="AG171" i="86"/>
  <c r="AQ171" i="86"/>
  <c r="AE172" i="86"/>
  <c r="T172" i="86"/>
  <c r="AE178" i="86"/>
  <c r="AI33" i="86"/>
  <c r="AP189" i="86"/>
  <c r="AF189" i="86"/>
  <c r="AF191" i="86"/>
  <c r="U191" i="86"/>
  <c r="AZ191" i="86"/>
  <c r="AF197" i="86"/>
  <c r="U197" i="86"/>
  <c r="AZ197" i="86"/>
  <c r="T202" i="86"/>
  <c r="AO202" i="86"/>
  <c r="AE202" i="86"/>
  <c r="AQ203" i="86"/>
  <c r="V203" i="86"/>
  <c r="BA203" i="86"/>
  <c r="AY205" i="86"/>
  <c r="T205" i="86"/>
  <c r="AF162" i="86"/>
  <c r="W163" i="86"/>
  <c r="AF164" i="86"/>
  <c r="AY178" i="86"/>
  <c r="AZ189" i="86"/>
  <c r="AP197" i="86"/>
  <c r="AG198" i="84"/>
  <c r="AP164" i="86"/>
  <c r="AZ164" i="86"/>
  <c r="U166" i="86"/>
  <c r="AP166" i="86"/>
  <c r="AF166" i="86"/>
  <c r="W167" i="86"/>
  <c r="AP170" i="86"/>
  <c r="AZ170" i="86"/>
  <c r="U170" i="86"/>
  <c r="W171" i="86"/>
  <c r="AZ172" i="86"/>
  <c r="AF172" i="86"/>
  <c r="U172" i="86"/>
  <c r="AP174" i="86"/>
  <c r="AF174" i="86"/>
  <c r="AF178" i="86"/>
  <c r="AZ178" i="86"/>
  <c r="BA189" i="86"/>
  <c r="AG189" i="86"/>
  <c r="V189" i="86"/>
  <c r="AQ189" i="86"/>
  <c r="BA191" i="86"/>
  <c r="AG191" i="86"/>
  <c r="V191" i="86"/>
  <c r="AE196" i="86"/>
  <c r="AY196" i="86"/>
  <c r="AO196" i="86"/>
  <c r="T196" i="86"/>
  <c r="BA197" i="86"/>
  <c r="AG197" i="86"/>
  <c r="V197" i="86"/>
  <c r="AZ202" i="86"/>
  <c r="AF202" i="86"/>
  <c r="AP202" i="86"/>
  <c r="U202" i="86"/>
  <c r="W203" i="86"/>
  <c r="AP205" i="86"/>
  <c r="U205" i="86"/>
  <c r="AZ205" i="86"/>
  <c r="AF205" i="86"/>
  <c r="AP172" i="86"/>
  <c r="W175" i="86"/>
  <c r="W188" i="86"/>
  <c r="AQ197" i="86"/>
  <c r="AG203" i="86"/>
  <c r="AG186" i="84"/>
  <c r="T8" i="85"/>
  <c r="T9" i="85" s="1"/>
  <c r="T13" i="85" s="1"/>
  <c r="T159" i="86"/>
  <c r="AE159" i="86"/>
  <c r="AQ164" i="86"/>
  <c r="V164" i="86"/>
  <c r="BA164" i="86"/>
  <c r="AQ166" i="86"/>
  <c r="AG166" i="86"/>
  <c r="AY169" i="86"/>
  <c r="AE169" i="86"/>
  <c r="T169" i="86"/>
  <c r="BA170" i="86"/>
  <c r="AG170" i="86"/>
  <c r="V170" i="86"/>
  <c r="BA172" i="86"/>
  <c r="V172" i="86"/>
  <c r="AG172" i="86"/>
  <c r="AQ174" i="86"/>
  <c r="V174" i="86"/>
  <c r="AG174" i="86"/>
  <c r="AE177" i="86"/>
  <c r="BA178" i="86"/>
  <c r="AG178" i="86"/>
  <c r="V178" i="86"/>
  <c r="AY179" i="86"/>
  <c r="T179" i="86"/>
  <c r="W189" i="86"/>
  <c r="AZ196" i="86"/>
  <c r="AE199" i="86"/>
  <c r="T199" i="86"/>
  <c r="AY199" i="86"/>
  <c r="AQ202" i="86"/>
  <c r="BA202" i="86"/>
  <c r="AG202" i="86"/>
  <c r="V202" i="86"/>
  <c r="BA205" i="86"/>
  <c r="V205" i="86"/>
  <c r="AQ205" i="86"/>
  <c r="AG205" i="86"/>
  <c r="AQ172" i="86"/>
  <c r="T174" i="86"/>
  <c r="AE179" i="86"/>
  <c r="U196" i="86"/>
  <c r="AF159" i="86"/>
  <c r="AZ159" i="86"/>
  <c r="AP165" i="86"/>
  <c r="U165" i="86"/>
  <c r="W166" i="86"/>
  <c r="AF169" i="86"/>
  <c r="AZ169" i="86"/>
  <c r="U169" i="86"/>
  <c r="W172" i="86"/>
  <c r="AP177" i="86"/>
  <c r="U177" i="86"/>
  <c r="AZ177" i="86"/>
  <c r="W178" i="86"/>
  <c r="U179" i="86"/>
  <c r="AP179" i="86"/>
  <c r="AZ179" i="86"/>
  <c r="T185" i="86"/>
  <c r="AY185" i="86"/>
  <c r="AE193" i="86"/>
  <c r="AY193" i="86"/>
  <c r="T193" i="86"/>
  <c r="BA196" i="86"/>
  <c r="AG196" i="86"/>
  <c r="AQ196" i="86"/>
  <c r="AF199" i="86"/>
  <c r="AZ199" i="86"/>
  <c r="U199" i="86"/>
  <c r="W202" i="86"/>
  <c r="W205" i="86"/>
  <c r="U158" i="86"/>
  <c r="AP159" i="86"/>
  <c r="AQ161" i="86"/>
  <c r="AO164" i="86"/>
  <c r="AY172" i="86"/>
  <c r="AF179" i="86"/>
  <c r="AE185" i="86"/>
  <c r="W194" i="86"/>
  <c r="V196" i="86"/>
  <c r="AG191" i="84"/>
  <c r="AG199" i="84"/>
  <c r="AG159" i="86"/>
  <c r="BA159" i="86"/>
  <c r="AY160" i="86"/>
  <c r="AE160" i="86"/>
  <c r="V165" i="86"/>
  <c r="AQ165" i="86"/>
  <c r="AY168" i="86"/>
  <c r="BA169" i="86"/>
  <c r="AG169" i="86"/>
  <c r="V169" i="86"/>
  <c r="AG177" i="86"/>
  <c r="BA177" i="86"/>
  <c r="AQ177" i="86"/>
  <c r="BA179" i="86"/>
  <c r="AG179" i="86"/>
  <c r="V179" i="86"/>
  <c r="AP185" i="86"/>
  <c r="AZ185" i="86"/>
  <c r="U193" i="86"/>
  <c r="AZ193" i="86"/>
  <c r="W196" i="86"/>
  <c r="BA199" i="86"/>
  <c r="AG199" i="86"/>
  <c r="AQ199" i="86"/>
  <c r="V199" i="86"/>
  <c r="T204" i="86"/>
  <c r="AE204" i="86"/>
  <c r="AY204" i="86"/>
  <c r="V158" i="86"/>
  <c r="AQ159" i="86"/>
  <c r="BA161" i="86"/>
  <c r="AY165" i="86"/>
  <c r="AE170" i="86"/>
  <c r="AZ171" i="86"/>
  <c r="W174" i="86"/>
  <c r="T178" i="86"/>
  <c r="W184" i="86"/>
  <c r="AF185" i="86"/>
  <c r="AF196" i="86"/>
  <c r="AE200" i="86"/>
  <c r="AQ200" i="86"/>
  <c r="BA200" i="86"/>
  <c r="AY203" i="86"/>
  <c r="T203" i="86"/>
  <c r="AO203" i="86"/>
  <c r="AP203" i="86"/>
  <c r="U203" i="86"/>
  <c r="AF203" i="86"/>
  <c r="V200" i="86"/>
  <c r="AQ189" i="85"/>
  <c r="AQ191" i="85"/>
  <c r="AQ198" i="85"/>
  <c r="AQ199" i="85"/>
  <c r="AQ196" i="85"/>
  <c r="BA184" i="85"/>
  <c r="AQ204" i="85"/>
  <c r="AT13" i="85"/>
  <c r="AQ202" i="85"/>
  <c r="AQ192" i="85"/>
  <c r="AI38" i="85"/>
  <c r="V172" i="85"/>
  <c r="AQ172" i="85"/>
  <c r="AG172" i="85"/>
  <c r="AZ168" i="85"/>
  <c r="BC33" i="85"/>
  <c r="AZ175" i="85"/>
  <c r="AZ205" i="85"/>
  <c r="AZ163" i="85"/>
  <c r="AZ177" i="85"/>
  <c r="AZ193" i="85"/>
  <c r="AZ186" i="85"/>
  <c r="AE172" i="85"/>
  <c r="AP159" i="85"/>
  <c r="U159" i="85"/>
  <c r="AO163" i="85"/>
  <c r="AY163" i="85"/>
  <c r="AE163" i="85"/>
  <c r="AZ201" i="85"/>
  <c r="AF201" i="85"/>
  <c r="AP201" i="85"/>
  <c r="U201" i="85"/>
  <c r="AY203" i="85"/>
  <c r="AE203" i="85"/>
  <c r="T203" i="85"/>
  <c r="AO203" i="85"/>
  <c r="BA159" i="85"/>
  <c r="AG159" i="85"/>
  <c r="AQ159" i="85"/>
  <c r="V159" i="85"/>
  <c r="AY176" i="85"/>
  <c r="AZ185" i="85"/>
  <c r="AF185" i="85"/>
  <c r="U185" i="85"/>
  <c r="AP185" i="85"/>
  <c r="AO200" i="85"/>
  <c r="T200" i="85"/>
  <c r="AY200" i="85"/>
  <c r="AE200" i="85"/>
  <c r="BA201" i="85"/>
  <c r="AG201" i="85"/>
  <c r="AQ201" i="85"/>
  <c r="V201" i="85"/>
  <c r="T163" i="85"/>
  <c r="BA172" i="85"/>
  <c r="AO14" i="85"/>
  <c r="C206" i="85" s="1"/>
  <c r="AO12" i="85"/>
  <c r="V165" i="85"/>
  <c r="V169" i="85"/>
  <c r="V162" i="85"/>
  <c r="AE9" i="85"/>
  <c r="AE14" i="85" s="1"/>
  <c r="C157" i="85" s="1"/>
  <c r="U171" i="85"/>
  <c r="AP171" i="85"/>
  <c r="AZ171" i="85"/>
  <c r="AF171" i="85"/>
  <c r="AP193" i="85"/>
  <c r="AZ195" i="85"/>
  <c r="AP195" i="85"/>
  <c r="AF195" i="85"/>
  <c r="U195" i="85"/>
  <c r="AF159" i="85"/>
  <c r="T170" i="85"/>
  <c r="AZ176" i="85"/>
  <c r="AZ197" i="85"/>
  <c r="T172" i="85"/>
  <c r="AO172" i="85"/>
  <c r="T174" i="85"/>
  <c r="AE174" i="85"/>
  <c r="AS33" i="85"/>
  <c r="AY165" i="85"/>
  <c r="AY204" i="85"/>
  <c r="AY173" i="85"/>
  <c r="AY175" i="85"/>
  <c r="AY174" i="85"/>
  <c r="AY159" i="85"/>
  <c r="AE159" i="85"/>
  <c r="T159" i="85"/>
  <c r="AO159" i="85"/>
  <c r="AP169" i="85"/>
  <c r="AQ174" i="85"/>
  <c r="V174" i="85"/>
  <c r="AG174" i="85"/>
  <c r="BA174" i="85"/>
  <c r="U166" i="85"/>
  <c r="AZ166" i="85"/>
  <c r="AZ189" i="85"/>
  <c r="AF189" i="85"/>
  <c r="U189" i="85"/>
  <c r="AP191" i="85"/>
  <c r="U191" i="85"/>
  <c r="AZ191" i="85"/>
  <c r="AZ200" i="85"/>
  <c r="AF200" i="85"/>
  <c r="U200" i="85"/>
  <c r="AP200" i="85"/>
  <c r="AQ203" i="85"/>
  <c r="V203" i="85"/>
  <c r="AG203" i="85"/>
  <c r="BA203" i="85"/>
  <c r="AF166" i="85"/>
  <c r="AQ166" i="85"/>
  <c r="AY168" i="85"/>
  <c r="AE171" i="85"/>
  <c r="AY171" i="85"/>
  <c r="AO171" i="85"/>
  <c r="T193" i="85"/>
  <c r="AY205" i="85"/>
  <c r="AE205" i="85"/>
  <c r="AO205" i="85"/>
  <c r="T205" i="85"/>
  <c r="V204" i="85"/>
  <c r="V199" i="85"/>
  <c r="V192" i="85"/>
  <c r="V185" i="85"/>
  <c r="V186" i="85"/>
  <c r="V190" i="85"/>
  <c r="V191" i="85"/>
  <c r="BA195" i="85"/>
  <c r="AG195" i="85"/>
  <c r="V195" i="85"/>
  <c r="AQ195" i="85"/>
  <c r="AY166" i="85"/>
  <c r="AP202" i="85"/>
  <c r="T188" i="85"/>
  <c r="T176" i="85"/>
  <c r="T185" i="85"/>
  <c r="T194" i="85"/>
  <c r="T187" i="85"/>
  <c r="T191" i="85"/>
  <c r="T186" i="85"/>
  <c r="T169" i="85"/>
  <c r="AP158" i="85"/>
  <c r="AZ159" i="85"/>
  <c r="AP184" i="85"/>
  <c r="AP189" i="85"/>
  <c r="AJ13" i="85"/>
  <c r="AZ160" i="85"/>
  <c r="AF160" i="85"/>
  <c r="U160" i="85"/>
  <c r="T165" i="85"/>
  <c r="X38" i="85"/>
  <c r="AP164" i="85"/>
  <c r="AP170" i="85"/>
  <c r="AY185" i="85"/>
  <c r="AQ171" i="85"/>
  <c r="AQ165" i="85"/>
  <c r="AQ169" i="85"/>
  <c r="AY158" i="85"/>
  <c r="AZ170" i="85"/>
  <c r="AO174" i="85"/>
  <c r="AF191" i="85"/>
  <c r="AF162" i="85"/>
  <c r="U162" i="85"/>
  <c r="AZ162" i="85"/>
  <c r="AP162" i="85"/>
  <c r="AQ158" i="85"/>
  <c r="V158" i="85"/>
  <c r="AG158" i="85"/>
  <c r="BA158" i="85"/>
  <c r="C111" i="85"/>
  <c r="P9" i="85" s="1"/>
  <c r="C128" i="85" s="1"/>
  <c r="S24" i="85"/>
  <c r="W189" i="85" s="1"/>
  <c r="X25" i="85"/>
  <c r="AN22" i="85"/>
  <c r="T175" i="85"/>
  <c r="AP176" i="85"/>
  <c r="U176" i="85"/>
  <c r="AF176" i="85"/>
  <c r="AY179" i="85"/>
  <c r="T179" i="85"/>
  <c r="AO179" i="85"/>
  <c r="V163" i="85"/>
  <c r="AO167" i="85"/>
  <c r="T167" i="85"/>
  <c r="AY167" i="85"/>
  <c r="AD22" i="85"/>
  <c r="V176" i="85"/>
  <c r="AQ176" i="85"/>
  <c r="BA176" i="85"/>
  <c r="T178" i="85"/>
  <c r="AY178" i="85"/>
  <c r="AO178" i="85"/>
  <c r="AP197" i="85"/>
  <c r="AF197" i="85"/>
  <c r="U197" i="85"/>
  <c r="AZ202" i="85"/>
  <c r="AF202" i="85"/>
  <c r="U202" i="85"/>
  <c r="AO175" i="85"/>
  <c r="BD13" i="85"/>
  <c r="AX22" i="85"/>
  <c r="AY170" i="85"/>
  <c r="AO170" i="85"/>
  <c r="AE170" i="85"/>
  <c r="U25" i="85"/>
  <c r="V173" i="85"/>
  <c r="BA179" i="85"/>
  <c r="AG179" i="85"/>
  <c r="AQ179" i="85"/>
  <c r="AE185" i="85"/>
  <c r="AE201" i="85"/>
  <c r="AP188" i="85"/>
  <c r="U188" i="85"/>
  <c r="AZ188" i="85"/>
  <c r="AF190" i="85"/>
  <c r="AZ190" i="85"/>
  <c r="AP190" i="85"/>
  <c r="U192" i="85"/>
  <c r="AP192" i="85"/>
  <c r="AZ192" i="85"/>
  <c r="U190" i="85"/>
  <c r="AQ194" i="84"/>
  <c r="AQ203" i="84"/>
  <c r="AQ193" i="84"/>
  <c r="AQ189" i="84"/>
  <c r="AQ167" i="85"/>
  <c r="BA167" i="85"/>
  <c r="V167" i="85"/>
  <c r="AO177" i="85"/>
  <c r="AE177" i="85"/>
  <c r="AY177" i="85"/>
  <c r="T177" i="85"/>
  <c r="BA178" i="85"/>
  <c r="AG178" i="85"/>
  <c r="AQ178" i="85"/>
  <c r="AY196" i="85"/>
  <c r="AE196" i="85"/>
  <c r="T196" i="85"/>
  <c r="V178" i="85"/>
  <c r="BA200" i="84"/>
  <c r="BA185" i="84"/>
  <c r="BA197" i="84"/>
  <c r="AO160" i="85"/>
  <c r="T160" i="85"/>
  <c r="AY160" i="85"/>
  <c r="W167" i="85"/>
  <c r="AO169" i="85"/>
  <c r="AY169" i="85"/>
  <c r="AE169" i="85"/>
  <c r="BA170" i="85"/>
  <c r="AG170" i="85"/>
  <c r="V170" i="85"/>
  <c r="AQ170" i="85"/>
  <c r="AO193" i="85"/>
  <c r="AO190" i="85"/>
  <c r="AO198" i="85"/>
  <c r="AO191" i="85"/>
  <c r="AZ187" i="85"/>
  <c r="AP187" i="85"/>
  <c r="AF187" i="85"/>
  <c r="AF194" i="85"/>
  <c r="AP194" i="85"/>
  <c r="AZ194" i="85"/>
  <c r="U194" i="85"/>
  <c r="BA177" i="85"/>
  <c r="V177" i="85"/>
  <c r="AQ177" i="85"/>
  <c r="AZ184" i="85"/>
  <c r="AF184" i="85"/>
  <c r="U184" i="85"/>
  <c r="AP186" i="85"/>
  <c r="AF186" i="85"/>
  <c r="U186" i="85"/>
  <c r="AQ190" i="83"/>
  <c r="AY8" i="84"/>
  <c r="AG202" i="84"/>
  <c r="AQ160" i="85"/>
  <c r="V160" i="85"/>
  <c r="AY161" i="85"/>
  <c r="T161" i="85"/>
  <c r="AZ167" i="85"/>
  <c r="BA171" i="85"/>
  <c r="AG171" i="85"/>
  <c r="V171" i="85"/>
  <c r="AZ172" i="85"/>
  <c r="AF172" i="85"/>
  <c r="AF174" i="85"/>
  <c r="AZ174" i="85"/>
  <c r="AF178" i="85"/>
  <c r="AZ178" i="85"/>
  <c r="AP178" i="85"/>
  <c r="AP179" i="85"/>
  <c r="AF179" i="85"/>
  <c r="BA187" i="85"/>
  <c r="AG187" i="85"/>
  <c r="AQ187" i="85"/>
  <c r="AY194" i="85"/>
  <c r="AE194" i="85"/>
  <c r="AO194" i="85"/>
  <c r="AY197" i="85"/>
  <c r="AE197" i="85"/>
  <c r="BA200" i="85"/>
  <c r="AG200" i="85"/>
  <c r="AP203" i="85"/>
  <c r="U203" i="85"/>
  <c r="AZ203" i="85"/>
  <c r="AP167" i="85"/>
  <c r="AG168" i="85"/>
  <c r="U172" i="85"/>
  <c r="T173" i="85"/>
  <c r="T197" i="85"/>
  <c r="AE9" i="84"/>
  <c r="AE13" i="84" s="1"/>
  <c r="AG192" i="84"/>
  <c r="Y13" i="85"/>
  <c r="AQ161" i="85"/>
  <c r="V161" i="85"/>
  <c r="AY162" i="85"/>
  <c r="AE162" i="85"/>
  <c r="AO166" i="85"/>
  <c r="T166" i="85"/>
  <c r="AE166" i="85"/>
  <c r="AF170" i="85"/>
  <c r="AP177" i="85"/>
  <c r="U177" i="85"/>
  <c r="T184" i="85"/>
  <c r="AO184" i="85"/>
  <c r="AY189" i="85"/>
  <c r="AE189" i="85"/>
  <c r="AO189" i="85"/>
  <c r="T189" i="85"/>
  <c r="AY191" i="85"/>
  <c r="AE191" i="85"/>
  <c r="BA194" i="85"/>
  <c r="AG194" i="85"/>
  <c r="AQ194" i="85"/>
  <c r="V194" i="85"/>
  <c r="BA197" i="85"/>
  <c r="AG197" i="85"/>
  <c r="AO202" i="85"/>
  <c r="T202" i="85"/>
  <c r="AY202" i="85"/>
  <c r="AO168" i="85"/>
  <c r="U174" i="85"/>
  <c r="V197" i="85"/>
  <c r="AY8" i="82"/>
  <c r="AY9" i="82" s="1"/>
  <c r="AY12" i="82" s="1"/>
  <c r="AP163" i="85"/>
  <c r="U163" i="85"/>
  <c r="T164" i="85"/>
  <c r="AG166" i="85"/>
  <c r="BA166" i="85"/>
  <c r="AZ169" i="85"/>
  <c r="AF169" i="85"/>
  <c r="AG184" i="85"/>
  <c r="AQ184" i="85"/>
  <c r="BA189" i="85"/>
  <c r="AG189" i="85"/>
  <c r="V189" i="85"/>
  <c r="BA191" i="85"/>
  <c r="AG191" i="85"/>
  <c r="AF196" i="85"/>
  <c r="AZ196" i="85"/>
  <c r="AP196" i="85"/>
  <c r="AY199" i="85"/>
  <c r="AE199" i="85"/>
  <c r="BA202" i="85"/>
  <c r="AG202" i="85"/>
  <c r="AP205" i="85"/>
  <c r="U205" i="85"/>
  <c r="AF205" i="85"/>
  <c r="BA160" i="85"/>
  <c r="AE161" i="85"/>
  <c r="AF163" i="85"/>
  <c r="AE164" i="85"/>
  <c r="V184" i="85"/>
  <c r="U196" i="85"/>
  <c r="V200" i="85"/>
  <c r="BA163" i="85"/>
  <c r="AG163" i="85"/>
  <c r="U164" i="85"/>
  <c r="AZ164" i="85"/>
  <c r="AO165" i="85"/>
  <c r="T168" i="85"/>
  <c r="BA169" i="85"/>
  <c r="AG169" i="85"/>
  <c r="AE175" i="85"/>
  <c r="BA196" i="85"/>
  <c r="AG196" i="85"/>
  <c r="AP199" i="85"/>
  <c r="AZ199" i="85"/>
  <c r="U199" i="85"/>
  <c r="AF164" i="85"/>
  <c r="V196" i="85"/>
  <c r="AE8" i="84"/>
  <c r="AG194" i="84"/>
  <c r="AO158" i="85"/>
  <c r="T158" i="85"/>
  <c r="AQ164" i="85"/>
  <c r="V164" i="85"/>
  <c r="AP165" i="85"/>
  <c r="U165" i="85"/>
  <c r="AZ165" i="85"/>
  <c r="AF168" i="85"/>
  <c r="AP168" i="85"/>
  <c r="AY193" i="85"/>
  <c r="AE193" i="85"/>
  <c r="AZ204" i="85"/>
  <c r="AF204" i="85"/>
  <c r="AP204" i="85"/>
  <c r="T162" i="85"/>
  <c r="AG164" i="85"/>
  <c r="V166" i="85"/>
  <c r="U167" i="85"/>
  <c r="AP172" i="85"/>
  <c r="AZ179" i="85"/>
  <c r="AQ190" i="85"/>
  <c r="AO197" i="85"/>
  <c r="T199" i="85"/>
  <c r="U204" i="85"/>
  <c r="T8" i="83"/>
  <c r="T9" i="83" s="1"/>
  <c r="T14" i="83" s="1"/>
  <c r="C103" i="83" s="1"/>
  <c r="AY9" i="85"/>
  <c r="AY13" i="85" s="1"/>
  <c r="AZ158" i="85"/>
  <c r="AF158" i="85"/>
  <c r="U158" i="85"/>
  <c r="V168" i="85"/>
  <c r="AQ168" i="85"/>
  <c r="AG173" i="85"/>
  <c r="BA173" i="85"/>
  <c r="AQ175" i="85"/>
  <c r="V175" i="85"/>
  <c r="BA175" i="85"/>
  <c r="AE176" i="85"/>
  <c r="AO185" i="85"/>
  <c r="AF193" i="85"/>
  <c r="U198" i="85"/>
  <c r="AP198" i="85"/>
  <c r="AZ198" i="85"/>
  <c r="AQ163" i="85"/>
  <c r="AE165" i="85"/>
  <c r="U168" i="85"/>
  <c r="AQ173" i="85"/>
  <c r="AG175" i="85"/>
  <c r="U178" i="85"/>
  <c r="AE184" i="85"/>
  <c r="AQ197" i="85"/>
  <c r="AQ200" i="85"/>
  <c r="V202" i="85"/>
  <c r="BA185" i="85"/>
  <c r="AY186" i="85"/>
  <c r="AE186" i="85"/>
  <c r="AO186" i="85"/>
  <c r="AY188" i="85"/>
  <c r="AE188" i="85"/>
  <c r="AY190" i="85"/>
  <c r="AE190" i="85"/>
  <c r="T190" i="85"/>
  <c r="AY192" i="85"/>
  <c r="AE192" i="85"/>
  <c r="BA193" i="85"/>
  <c r="AG193" i="85"/>
  <c r="AY198" i="85"/>
  <c r="AE198" i="85"/>
  <c r="BA199" i="85"/>
  <c r="AG199" i="85"/>
  <c r="AO204" i="85"/>
  <c r="T204" i="85"/>
  <c r="AQ205" i="85"/>
  <c r="V205" i="85"/>
  <c r="AG185" i="85"/>
  <c r="T192" i="85"/>
  <c r="V193" i="85"/>
  <c r="AZ161" i="85"/>
  <c r="AF161" i="85"/>
  <c r="AZ173" i="85"/>
  <c r="AF173" i="85"/>
  <c r="AP173" i="85"/>
  <c r="AP175" i="85"/>
  <c r="BA186" i="85"/>
  <c r="AG186" i="85"/>
  <c r="AQ186" i="85"/>
  <c r="AY187" i="85"/>
  <c r="AE187" i="85"/>
  <c r="BA188" i="85"/>
  <c r="AG188" i="85"/>
  <c r="AQ188" i="85"/>
  <c r="V188" i="85"/>
  <c r="BA190" i="85"/>
  <c r="AG190" i="85"/>
  <c r="BA192" i="85"/>
  <c r="AG192" i="85"/>
  <c r="AY195" i="85"/>
  <c r="AE195" i="85"/>
  <c r="AO195" i="85"/>
  <c r="T195" i="85"/>
  <c r="BA198" i="85"/>
  <c r="AG198" i="85"/>
  <c r="AO201" i="85"/>
  <c r="T201" i="85"/>
  <c r="AY201" i="85"/>
  <c r="BA204" i="85"/>
  <c r="AG204" i="85"/>
  <c r="AQ185" i="85"/>
  <c r="AX86" i="84"/>
  <c r="G254" i="84"/>
  <c r="AX48" i="84"/>
  <c r="BA186" i="84"/>
  <c r="BA203" i="84"/>
  <c r="V201" i="84"/>
  <c r="X34" i="84"/>
  <c r="X38" i="84"/>
  <c r="AQ160" i="84"/>
  <c r="V160" i="84"/>
  <c r="BA160" i="84"/>
  <c r="V204" i="84"/>
  <c r="V198" i="84"/>
  <c r="V205" i="84"/>
  <c r="V190" i="84"/>
  <c r="V186" i="84"/>
  <c r="V197" i="84"/>
  <c r="V188" i="84"/>
  <c r="AF193" i="84"/>
  <c r="AZ193" i="84"/>
  <c r="U193" i="84"/>
  <c r="AP198" i="84"/>
  <c r="U198" i="84"/>
  <c r="AF198" i="84"/>
  <c r="AZ198" i="84"/>
  <c r="AG179" i="84"/>
  <c r="V184" i="84"/>
  <c r="AP166" i="84"/>
  <c r="U166" i="84"/>
  <c r="AF166" i="84"/>
  <c r="AZ166" i="84"/>
  <c r="AG196" i="84"/>
  <c r="BA196" i="84"/>
  <c r="V196" i="84"/>
  <c r="AY179" i="84"/>
  <c r="AE179" i="84"/>
  <c r="BC179" i="84"/>
  <c r="AO200" i="84"/>
  <c r="AE200" i="84"/>
  <c r="T200" i="84"/>
  <c r="AE170" i="84"/>
  <c r="T170" i="84"/>
  <c r="U179" i="84"/>
  <c r="AP179" i="84"/>
  <c r="AF179" i="84"/>
  <c r="AF200" i="84"/>
  <c r="AP200" i="84"/>
  <c r="U200" i="84"/>
  <c r="AZ159" i="84"/>
  <c r="AF159" i="84"/>
  <c r="AP159" i="84"/>
  <c r="AF165" i="84"/>
  <c r="U165" i="84"/>
  <c r="AP165" i="84"/>
  <c r="BA173" i="84"/>
  <c r="AG173" i="84"/>
  <c r="AQ173" i="84"/>
  <c r="V175" i="84"/>
  <c r="BA175" i="84"/>
  <c r="AQ175" i="84"/>
  <c r="AG175" i="84"/>
  <c r="AQ176" i="84"/>
  <c r="V176" i="84"/>
  <c r="BA176" i="84"/>
  <c r="AO178" i="84"/>
  <c r="AE178" i="84"/>
  <c r="BC178" i="84"/>
  <c r="AY178" i="84"/>
  <c r="V179" i="84"/>
  <c r="AQ179" i="84"/>
  <c r="AQ204" i="84"/>
  <c r="AQ199" i="84"/>
  <c r="AQ198" i="84"/>
  <c r="AQ186" i="84"/>
  <c r="AQ190" i="84"/>
  <c r="AQ192" i="84"/>
  <c r="BC193" i="84"/>
  <c r="AZ195" i="84"/>
  <c r="U195" i="84"/>
  <c r="AP195" i="84"/>
  <c r="AG200" i="84"/>
  <c r="V200" i="84"/>
  <c r="AQ200" i="84"/>
  <c r="AZ203" i="84"/>
  <c r="U203" i="84"/>
  <c r="AF203" i="84"/>
  <c r="AZ179" i="84"/>
  <c r="AQ197" i="84"/>
  <c r="V202" i="84"/>
  <c r="AG200" i="83"/>
  <c r="AG196" i="83"/>
  <c r="AG189" i="83"/>
  <c r="AY166" i="84"/>
  <c r="T166" i="84"/>
  <c r="AO166" i="84"/>
  <c r="AE166" i="84"/>
  <c r="AP174" i="84"/>
  <c r="U174" i="84"/>
  <c r="AF174" i="84"/>
  <c r="AE193" i="84"/>
  <c r="T193" i="84"/>
  <c r="AY193" i="84"/>
  <c r="BB204" i="84"/>
  <c r="AG160" i="84"/>
  <c r="U201" i="84"/>
  <c r="AP201" i="84"/>
  <c r="AZ201" i="84"/>
  <c r="AF201" i="84"/>
  <c r="AO168" i="84"/>
  <c r="T168" i="84"/>
  <c r="AE168" i="84"/>
  <c r="BB177" i="84"/>
  <c r="BB197" i="84"/>
  <c r="BC199" i="84"/>
  <c r="AF172" i="84"/>
  <c r="AZ172" i="84"/>
  <c r="U172" i="84"/>
  <c r="AO160" i="84"/>
  <c r="T160" i="84"/>
  <c r="AE160" i="84"/>
  <c r="BB161" i="84"/>
  <c r="V166" i="84"/>
  <c r="AQ166" i="84"/>
  <c r="BA166" i="84"/>
  <c r="AG166" i="84"/>
  <c r="AZ174" i="84"/>
  <c r="AQ196" i="84"/>
  <c r="BC34" i="84"/>
  <c r="V189" i="84"/>
  <c r="AG189" i="84"/>
  <c r="BA189" i="84"/>
  <c r="AQ191" i="84"/>
  <c r="V191" i="84"/>
  <c r="BA191" i="84"/>
  <c r="AQ201" i="84"/>
  <c r="AG201" i="84"/>
  <c r="BA201" i="84"/>
  <c r="AY159" i="84"/>
  <c r="AE159" i="84"/>
  <c r="AO159" i="84"/>
  <c r="BB189" i="84"/>
  <c r="BB201" i="84"/>
  <c r="AO179" i="84"/>
  <c r="AG193" i="83"/>
  <c r="AJ13" i="84"/>
  <c r="BA159" i="84"/>
  <c r="AG159" i="84"/>
  <c r="V159" i="84"/>
  <c r="AQ159" i="84"/>
  <c r="BC163" i="84"/>
  <c r="AZ25" i="84"/>
  <c r="W176" i="84"/>
  <c r="AP178" i="84"/>
  <c r="AZ178" i="84"/>
  <c r="U178" i="84"/>
  <c r="V195" i="84"/>
  <c r="AQ195" i="84"/>
  <c r="BA195" i="84"/>
  <c r="BA179" i="84"/>
  <c r="AF195" i="84"/>
  <c r="C263" i="84"/>
  <c r="P12" i="84" s="1"/>
  <c r="C280" i="84" s="1"/>
  <c r="AO8" i="82"/>
  <c r="AO9" i="82" s="1"/>
  <c r="AO12" i="82" s="1"/>
  <c r="G205" i="84"/>
  <c r="AN86" i="84"/>
  <c r="AZ162" i="84"/>
  <c r="AF162" i="84"/>
  <c r="AP162" i="84"/>
  <c r="BC175" i="84"/>
  <c r="AE177" i="84"/>
  <c r="AO177" i="84"/>
  <c r="T177" i="84"/>
  <c r="BA178" i="84"/>
  <c r="V178" i="84"/>
  <c r="AQ178" i="84"/>
  <c r="AY186" i="84"/>
  <c r="AY204" i="84"/>
  <c r="AY195" i="84"/>
  <c r="AY187" i="84"/>
  <c r="AY205" i="84"/>
  <c r="AY190" i="84"/>
  <c r="AY188" i="84"/>
  <c r="AY162" i="84"/>
  <c r="AY198" i="84"/>
  <c r="AY199" i="84"/>
  <c r="AY196" i="84"/>
  <c r="AY184" i="84"/>
  <c r="BA199" i="84"/>
  <c r="BA205" i="84"/>
  <c r="BA198" i="84"/>
  <c r="BA188" i="84"/>
  <c r="BA204" i="84"/>
  <c r="BA187" i="84"/>
  <c r="AY158" i="84"/>
  <c r="AG195" i="84"/>
  <c r="AQ202" i="84"/>
  <c r="AG169" i="84"/>
  <c r="V169" i="84"/>
  <c r="BA169" i="84"/>
  <c r="AQ169" i="84"/>
  <c r="AF177" i="84"/>
  <c r="U177" i="84"/>
  <c r="AP177" i="84"/>
  <c r="AO170" i="84"/>
  <c r="T9" i="84"/>
  <c r="T13" i="84" s="1"/>
  <c r="AP164" i="84"/>
  <c r="AF164" i="84"/>
  <c r="U164" i="84"/>
  <c r="AO172" i="84"/>
  <c r="AE172" i="84"/>
  <c r="AY172" i="84"/>
  <c r="T172" i="84"/>
  <c r="T174" i="84"/>
  <c r="AO174" i="84"/>
  <c r="AE174" i="84"/>
  <c r="AY170" i="84"/>
  <c r="T178" i="84"/>
  <c r="AO193" i="84"/>
  <c r="AY197" i="84"/>
  <c r="AO195" i="84"/>
  <c r="AY9" i="84"/>
  <c r="AY15" i="84" s="1"/>
  <c r="AP158" i="84"/>
  <c r="U158" i="84"/>
  <c r="AZ158" i="84"/>
  <c r="AF158" i="84"/>
  <c r="AG162" i="84"/>
  <c r="BA162" i="84"/>
  <c r="AQ162" i="84"/>
  <c r="AE201" i="84"/>
  <c r="AE186" i="84"/>
  <c r="AE169" i="84"/>
  <c r="AE203" i="84"/>
  <c r="AE198" i="84"/>
  <c r="AE202" i="84"/>
  <c r="AP188" i="84"/>
  <c r="AF188" i="84"/>
  <c r="AZ188" i="84"/>
  <c r="AF190" i="84"/>
  <c r="AZ190" i="84"/>
  <c r="AP192" i="84"/>
  <c r="AF192" i="84"/>
  <c r="AZ192" i="84"/>
  <c r="AP194" i="84"/>
  <c r="U194" i="84"/>
  <c r="AZ194" i="84"/>
  <c r="AP197" i="84"/>
  <c r="AZ197" i="84"/>
  <c r="AF197" i="84"/>
  <c r="AP190" i="84"/>
  <c r="AE192" i="84"/>
  <c r="AQ158" i="84"/>
  <c r="V158" i="84"/>
  <c r="BA158" i="84"/>
  <c r="AG158" i="84"/>
  <c r="T161" i="84"/>
  <c r="AO161" i="84"/>
  <c r="AG168" i="84"/>
  <c r="BA168" i="84"/>
  <c r="T171" i="84"/>
  <c r="AE171" i="84"/>
  <c r="AO171" i="84"/>
  <c r="AG184" i="84"/>
  <c r="AQ184" i="84"/>
  <c r="AO185" i="84"/>
  <c r="T185" i="84"/>
  <c r="AY185" i="84"/>
  <c r="S86" i="84"/>
  <c r="AE161" i="84"/>
  <c r="AP171" i="84"/>
  <c r="AF171" i="84"/>
  <c r="AZ171" i="84"/>
  <c r="U171" i="84"/>
  <c r="AO192" i="84"/>
  <c r="AO202" i="84"/>
  <c r="AO186" i="84"/>
  <c r="AP186" i="84"/>
  <c r="AZ186" i="84"/>
  <c r="AF187" i="84"/>
  <c r="AP187" i="84"/>
  <c r="AZ187" i="84"/>
  <c r="BB190" i="84"/>
  <c r="BB192" i="84"/>
  <c r="AQ168" i="84"/>
  <c r="AF186" i="84"/>
  <c r="U188" i="84"/>
  <c r="AE194" i="84"/>
  <c r="U197" i="84"/>
  <c r="AE204" i="84"/>
  <c r="AE205" i="84"/>
  <c r="AG161" i="84"/>
  <c r="BA161" i="84"/>
  <c r="AQ161" i="84"/>
  <c r="AO165" i="84"/>
  <c r="AE165" i="84"/>
  <c r="BC168" i="84"/>
  <c r="AS38" i="84"/>
  <c r="V185" i="84"/>
  <c r="AP204" i="84"/>
  <c r="U204" i="84"/>
  <c r="BA184" i="84"/>
  <c r="AO189" i="84"/>
  <c r="AF194" i="84"/>
  <c r="AO203" i="84"/>
  <c r="AF204" i="84"/>
  <c r="AY8" i="83"/>
  <c r="AY9" i="83" s="1"/>
  <c r="AQ165" i="84"/>
  <c r="V165" i="84"/>
  <c r="BA165" i="84"/>
  <c r="C111" i="84"/>
  <c r="P9" i="84" s="1"/>
  <c r="C128" i="84" s="1"/>
  <c r="S24" i="84"/>
  <c r="W189" i="84" s="1"/>
  <c r="AN22" i="84"/>
  <c r="AS34" i="84" s="1"/>
  <c r="AD22" i="84"/>
  <c r="T201" i="84"/>
  <c r="T187" i="84"/>
  <c r="AQ188" i="84"/>
  <c r="BA190" i="84"/>
  <c r="V192" i="84"/>
  <c r="AO194" i="84"/>
  <c r="AO197" i="84"/>
  <c r="AE197" i="84"/>
  <c r="V203" i="84"/>
  <c r="AG203" i="84"/>
  <c r="T167" i="84"/>
  <c r="T169" i="84"/>
  <c r="BC177" i="84"/>
  <c r="AF185" i="84"/>
  <c r="T197" i="84"/>
  <c r="AE163" i="84"/>
  <c r="AY163" i="84"/>
  <c r="AG164" i="84"/>
  <c r="AQ164" i="84"/>
  <c r="U170" i="84"/>
  <c r="AP170" i="84"/>
  <c r="U25" i="84"/>
  <c r="V187" i="84"/>
  <c r="AG187" i="84"/>
  <c r="BC190" i="84"/>
  <c r="BA194" i="84"/>
  <c r="AF175" i="84"/>
  <c r="T176" i="84"/>
  <c r="AP185" i="84"/>
  <c r="AQ187" i="84"/>
  <c r="T194" i="84"/>
  <c r="T195" i="84"/>
  <c r="T8" i="82"/>
  <c r="T9" i="82" s="1"/>
  <c r="T14" i="82" s="1"/>
  <c r="C103" i="82" s="1"/>
  <c r="AF163" i="84"/>
  <c r="AZ163" i="84"/>
  <c r="U163" i="84"/>
  <c r="BA167" i="84"/>
  <c r="AQ167" i="84"/>
  <c r="AO169" i="84"/>
  <c r="AY169" i="84"/>
  <c r="V170" i="84"/>
  <c r="AQ170" i="84"/>
  <c r="AG170" i="84"/>
  <c r="X25" i="84"/>
  <c r="S48" i="84" s="1"/>
  <c r="AO173" i="84"/>
  <c r="AE175" i="84"/>
  <c r="AY175" i="84"/>
  <c r="T175" i="84"/>
  <c r="AE176" i="84"/>
  <c r="AO176" i="84"/>
  <c r="W186" i="84"/>
  <c r="AO196" i="84"/>
  <c r="AE199" i="84"/>
  <c r="BA202" i="84"/>
  <c r="AQ205" i="84"/>
  <c r="AG167" i="84"/>
  <c r="AE173" i="84"/>
  <c r="BC192" i="84"/>
  <c r="AE8" i="82"/>
  <c r="AE9" i="82" s="1"/>
  <c r="AE162" i="84"/>
  <c r="AO162" i="84"/>
  <c r="AG163" i="84"/>
  <c r="BA163" i="84"/>
  <c r="V163" i="84"/>
  <c r="AQ163" i="84"/>
  <c r="AP169" i="84"/>
  <c r="AZ169" i="84"/>
  <c r="U169" i="84"/>
  <c r="U176" i="84"/>
  <c r="AF176" i="84"/>
  <c r="AZ176" i="84"/>
  <c r="AP176" i="84"/>
  <c r="AZ175" i="84"/>
  <c r="AZ161" i="84"/>
  <c r="AZ160" i="84"/>
  <c r="AI33" i="84"/>
  <c r="AF196" i="84"/>
  <c r="AZ196" i="84"/>
  <c r="AP196" i="84"/>
  <c r="AF199" i="84"/>
  <c r="AZ199" i="84"/>
  <c r="BB202" i="84"/>
  <c r="AF160" i="84"/>
  <c r="AG165" i="84"/>
  <c r="AF170" i="84"/>
  <c r="AY203" i="84"/>
  <c r="T203" i="84"/>
  <c r="AE167" i="84"/>
  <c r="AY167" i="84"/>
  <c r="BA172" i="84"/>
  <c r="AG172" i="84"/>
  <c r="AQ174" i="84"/>
  <c r="AQ177" i="84"/>
  <c r="V177" i="84"/>
  <c r="AO184" i="84"/>
  <c r="T184" i="84"/>
  <c r="AE189" i="84"/>
  <c r="AY189" i="84"/>
  <c r="T191" i="84"/>
  <c r="AO191" i="84"/>
  <c r="AY202" i="84"/>
  <c r="W203" i="84"/>
  <c r="V194" i="84"/>
  <c r="AO158" i="84"/>
  <c r="T158" i="84"/>
  <c r="AP167" i="84"/>
  <c r="U167" i="84"/>
  <c r="AF167" i="84"/>
  <c r="AZ167" i="84"/>
  <c r="AZ189" i="84"/>
  <c r="AP191" i="84"/>
  <c r="AE196" i="84"/>
  <c r="AF202" i="84"/>
  <c r="AZ202" i="84"/>
  <c r="T205" i="84"/>
  <c r="AO205" i="84"/>
  <c r="V172" i="84"/>
  <c r="AG174" i="84"/>
  <c r="AG177" i="84"/>
  <c r="U191" i="84"/>
  <c r="AY191" i="84"/>
  <c r="W194" i="84"/>
  <c r="T202" i="84"/>
  <c r="AO8" i="83"/>
  <c r="AO9" i="83" s="1"/>
  <c r="AO12" i="83" s="1"/>
  <c r="BB169" i="84"/>
  <c r="T186" i="84"/>
  <c r="T192" i="84"/>
  <c r="V193" i="84"/>
  <c r="T198" i="84"/>
  <c r="V199" i="84"/>
  <c r="T204" i="84"/>
  <c r="AQ185" i="84"/>
  <c r="AO188" i="84"/>
  <c r="BA193" i="84"/>
  <c r="BB168" i="84"/>
  <c r="AG190" i="84"/>
  <c r="AE195" i="84"/>
  <c r="AY201" i="84"/>
  <c r="AP173" i="84"/>
  <c r="AY192" i="84"/>
  <c r="AG193" i="84"/>
  <c r="BA187" i="83"/>
  <c r="BA196" i="83"/>
  <c r="BA188" i="83"/>
  <c r="BA194" i="83"/>
  <c r="G254" i="83"/>
  <c r="AX86" i="83"/>
  <c r="BA200" i="83"/>
  <c r="BA193" i="83"/>
  <c r="BA201" i="83"/>
  <c r="AS33" i="83"/>
  <c r="AS38" i="83" s="1"/>
  <c r="AQ184" i="83"/>
  <c r="AD86" i="83"/>
  <c r="G156" i="83"/>
  <c r="AG194" i="83"/>
  <c r="AG203" i="83"/>
  <c r="AG184" i="83"/>
  <c r="V203" i="83"/>
  <c r="AO176" i="83"/>
  <c r="T176" i="83"/>
  <c r="AY176" i="83"/>
  <c r="AE176" i="83"/>
  <c r="AE184" i="83"/>
  <c r="AY184" i="83"/>
  <c r="T184" i="83"/>
  <c r="AZ178" i="83"/>
  <c r="AP158" i="83"/>
  <c r="AF158" i="83"/>
  <c r="AZ158" i="83"/>
  <c r="AP200" i="83"/>
  <c r="AF200" i="83"/>
  <c r="U200" i="83"/>
  <c r="AZ200" i="83"/>
  <c r="BA171" i="83"/>
  <c r="V171" i="83"/>
  <c r="AG171" i="83"/>
  <c r="V195" i="83"/>
  <c r="AQ195" i="83"/>
  <c r="AG195" i="83"/>
  <c r="BA195" i="83"/>
  <c r="AY202" i="83"/>
  <c r="AP160" i="83"/>
  <c r="AF168" i="83"/>
  <c r="AZ187" i="83"/>
  <c r="AY160" i="83"/>
  <c r="AE160" i="83"/>
  <c r="T160" i="83"/>
  <c r="AN22" i="83"/>
  <c r="S24" i="83"/>
  <c r="X195" i="83" s="1"/>
  <c r="X25" i="83"/>
  <c r="U25" i="83"/>
  <c r="AX22" i="83"/>
  <c r="C111" i="83"/>
  <c r="P9" i="83" s="1"/>
  <c r="C128" i="83" s="1"/>
  <c r="X34" i="83"/>
  <c r="V184" i="83"/>
  <c r="V200" i="83"/>
  <c r="V193" i="83"/>
  <c r="V194" i="83"/>
  <c r="V204" i="83"/>
  <c r="AP159" i="83"/>
  <c r="AQ171" i="83"/>
  <c r="AP197" i="83"/>
  <c r="AO167" i="83"/>
  <c r="T167" i="83"/>
  <c r="AY167" i="83"/>
  <c r="AD22" i="83"/>
  <c r="AT13" i="83"/>
  <c r="AY205" i="83"/>
  <c r="AO205" i="83"/>
  <c r="AE205" i="83"/>
  <c r="T205" i="83"/>
  <c r="AY189" i="83"/>
  <c r="AY162" i="83"/>
  <c r="AY203" i="83"/>
  <c r="AY198" i="83"/>
  <c r="AY191" i="83"/>
  <c r="AY201" i="83"/>
  <c r="AY174" i="83"/>
  <c r="AY200" i="83"/>
  <c r="AY197" i="83"/>
  <c r="U205" i="83"/>
  <c r="AF205" i="83"/>
  <c r="AZ205" i="83"/>
  <c r="AP205" i="83"/>
  <c r="AO166" i="83"/>
  <c r="T166" i="83"/>
  <c r="AY166" i="83"/>
  <c r="AP176" i="83"/>
  <c r="U176" i="83"/>
  <c r="AF176" i="83"/>
  <c r="AZ176" i="83"/>
  <c r="T195" i="83"/>
  <c r="AO195" i="83"/>
  <c r="AY195" i="83"/>
  <c r="AE195" i="83"/>
  <c r="AZ189" i="83"/>
  <c r="AP195" i="83"/>
  <c r="AF195" i="83"/>
  <c r="AZ195" i="83"/>
  <c r="AF170" i="83"/>
  <c r="AP170" i="83"/>
  <c r="U170" i="83"/>
  <c r="AZ170" i="83"/>
  <c r="AY172" i="83"/>
  <c r="AQ200" i="83"/>
  <c r="AQ204" i="83"/>
  <c r="AQ191" i="83"/>
  <c r="AQ196" i="83"/>
  <c r="AQ185" i="83"/>
  <c r="AQ193" i="83"/>
  <c r="AQ203" i="83"/>
  <c r="AQ189" i="83"/>
  <c r="AQ199" i="83"/>
  <c r="T188" i="83"/>
  <c r="AE188" i="83"/>
  <c r="AO188" i="83"/>
  <c r="AY188" i="83"/>
  <c r="AY190" i="83"/>
  <c r="AE190" i="83"/>
  <c r="T190" i="83"/>
  <c r="AE192" i="83"/>
  <c r="T192" i="83"/>
  <c r="AY192" i="83"/>
  <c r="AO192" i="83"/>
  <c r="U158" i="83"/>
  <c r="AZ171" i="83"/>
  <c r="AZ163" i="83"/>
  <c r="AZ164" i="83"/>
  <c r="AZ161" i="83"/>
  <c r="AZ167" i="83"/>
  <c r="AZ166" i="83"/>
  <c r="AZ196" i="83"/>
  <c r="BC33" i="83"/>
  <c r="AZ174" i="83"/>
  <c r="AE161" i="83"/>
  <c r="AY161" i="83"/>
  <c r="AO161" i="83"/>
  <c r="AO173" i="83"/>
  <c r="AY173" i="83"/>
  <c r="T173" i="83"/>
  <c r="AE173" i="83"/>
  <c r="T175" i="83"/>
  <c r="AO175" i="83"/>
  <c r="AY175" i="83"/>
  <c r="AE175" i="83"/>
  <c r="Y13" i="83"/>
  <c r="AO159" i="83"/>
  <c r="T159" i="83"/>
  <c r="AY159" i="83"/>
  <c r="AE159" i="83"/>
  <c r="V167" i="83"/>
  <c r="BA167" i="83"/>
  <c r="AG167" i="83"/>
  <c r="AQ167" i="83"/>
  <c r="AF167" i="83"/>
  <c r="AF184" i="83"/>
  <c r="AF166" i="83"/>
  <c r="AF169" i="83"/>
  <c r="AI33" i="83"/>
  <c r="AF194" i="83"/>
  <c r="AF198" i="83"/>
  <c r="AF186" i="83"/>
  <c r="AF165" i="83"/>
  <c r="AO203" i="83"/>
  <c r="AO168" i="83"/>
  <c r="AO202" i="83"/>
  <c r="AO204" i="83"/>
  <c r="AO197" i="83"/>
  <c r="AO170" i="83"/>
  <c r="AO191" i="83"/>
  <c r="AO162" i="83"/>
  <c r="AO164" i="83"/>
  <c r="AO165" i="83"/>
  <c r="AO189" i="83"/>
  <c r="U188" i="83"/>
  <c r="AP188" i="83"/>
  <c r="AF188" i="83"/>
  <c r="AZ188" i="83"/>
  <c r="AP190" i="83"/>
  <c r="AF190" i="83"/>
  <c r="U190" i="83"/>
  <c r="AZ190" i="83"/>
  <c r="AZ192" i="83"/>
  <c r="U192" i="83"/>
  <c r="AP192" i="83"/>
  <c r="AF192" i="83"/>
  <c r="AZ159" i="83"/>
  <c r="AO184" i="83"/>
  <c r="AP203" i="83"/>
  <c r="AZ203" i="83"/>
  <c r="U203" i="83"/>
  <c r="AY158" i="83"/>
  <c r="AE158" i="83"/>
  <c r="T158" i="83"/>
  <c r="AO158" i="83"/>
  <c r="AP171" i="83"/>
  <c r="AP198" i="83"/>
  <c r="AP199" i="83"/>
  <c r="AP168" i="83"/>
  <c r="AP167" i="83"/>
  <c r="BA174" i="83"/>
  <c r="BA170" i="83"/>
  <c r="BA177" i="83"/>
  <c r="BA165" i="83"/>
  <c r="BA166" i="83"/>
  <c r="BA169" i="83"/>
  <c r="T161" i="83"/>
  <c r="AY177" i="83"/>
  <c r="AP184" i="83"/>
  <c r="AF159" i="83"/>
  <c r="AF160" i="83"/>
  <c r="AZ160" i="83"/>
  <c r="U160" i="83"/>
  <c r="AZ173" i="83"/>
  <c r="AF173" i="83"/>
  <c r="AP173" i="83"/>
  <c r="AP175" i="83"/>
  <c r="U175" i="83"/>
  <c r="AZ175" i="83"/>
  <c r="T178" i="83"/>
  <c r="AO178" i="83"/>
  <c r="AE178" i="83"/>
  <c r="T179" i="83"/>
  <c r="AE179" i="83"/>
  <c r="AO187" i="83"/>
  <c r="T187" i="83"/>
  <c r="AY187" i="83"/>
  <c r="AQ188" i="83"/>
  <c r="AG188" i="83"/>
  <c r="V190" i="83"/>
  <c r="AG190" i="83"/>
  <c r="AG192" i="83"/>
  <c r="BA192" i="83"/>
  <c r="V192" i="83"/>
  <c r="T194" i="83"/>
  <c r="AO194" i="83"/>
  <c r="U202" i="83"/>
  <c r="AF202" i="83"/>
  <c r="BA159" i="83"/>
  <c r="V159" i="83"/>
  <c r="BA161" i="83"/>
  <c r="AG161" i="83"/>
  <c r="AP162" i="83"/>
  <c r="U162" i="83"/>
  <c r="AF162" i="83"/>
  <c r="AZ162" i="83"/>
  <c r="AO163" i="83"/>
  <c r="AE163" i="83"/>
  <c r="AY165" i="83"/>
  <c r="AQ166" i="83"/>
  <c r="V169" i="83"/>
  <c r="AG169" i="83"/>
  <c r="V173" i="83"/>
  <c r="AQ173" i="83"/>
  <c r="AG173" i="83"/>
  <c r="BA175" i="83"/>
  <c r="V175" i="83"/>
  <c r="U178" i="83"/>
  <c r="AP178" i="83"/>
  <c r="AF178" i="83"/>
  <c r="AP179" i="83"/>
  <c r="AF179" i="83"/>
  <c r="U179" i="83"/>
  <c r="AE186" i="83"/>
  <c r="AY186" i="83"/>
  <c r="T186" i="83"/>
  <c r="AP187" i="83"/>
  <c r="U194" i="83"/>
  <c r="AP194" i="83"/>
  <c r="AZ194" i="83"/>
  <c r="BA197" i="83"/>
  <c r="V197" i="83"/>
  <c r="AG197" i="83"/>
  <c r="AO199" i="83"/>
  <c r="AE199" i="83"/>
  <c r="AY199" i="83"/>
  <c r="T199" i="83"/>
  <c r="AQ202" i="83"/>
  <c r="BA202" i="83"/>
  <c r="V202" i="83"/>
  <c r="AG202" i="83"/>
  <c r="AQ161" i="83"/>
  <c r="BA173" i="83"/>
  <c r="AF175" i="83"/>
  <c r="AG176" i="83"/>
  <c r="AO186" i="83"/>
  <c r="V188" i="83"/>
  <c r="BA190" i="83"/>
  <c r="AP202" i="83"/>
  <c r="AE9" i="83"/>
  <c r="BA162" i="83"/>
  <c r="AP165" i="83"/>
  <c r="U165" i="83"/>
  <c r="AZ165" i="83"/>
  <c r="T177" i="83"/>
  <c r="AO177" i="83"/>
  <c r="AQ178" i="83"/>
  <c r="AG178" i="83"/>
  <c r="V179" i="83"/>
  <c r="BA179" i="83"/>
  <c r="AG179" i="83"/>
  <c r="AY185" i="83"/>
  <c r="T185" i="83"/>
  <c r="AZ186" i="83"/>
  <c r="AG187" i="83"/>
  <c r="AQ187" i="83"/>
  <c r="AQ194" i="83"/>
  <c r="AY196" i="83"/>
  <c r="AO196" i="83"/>
  <c r="AE196" i="83"/>
  <c r="AZ199" i="83"/>
  <c r="U199" i="83"/>
  <c r="AF204" i="83"/>
  <c r="AP204" i="83"/>
  <c r="T170" i="83"/>
  <c r="AG175" i="83"/>
  <c r="AQ176" i="83"/>
  <c r="AO179" i="83"/>
  <c r="AE185" i="83"/>
  <c r="AP186" i="83"/>
  <c r="BA205" i="83"/>
  <c r="AQ164" i="83"/>
  <c r="V164" i="83"/>
  <c r="BA164" i="83"/>
  <c r="AP177" i="83"/>
  <c r="U177" i="83"/>
  <c r="AZ177" i="83"/>
  <c r="AF185" i="83"/>
  <c r="AP185" i="83"/>
  <c r="U185" i="83"/>
  <c r="AZ185" i="83"/>
  <c r="AG186" i="83"/>
  <c r="V186" i="83"/>
  <c r="BA186" i="83"/>
  <c r="AQ186" i="83"/>
  <c r="AF196" i="83"/>
  <c r="AQ158" i="83"/>
  <c r="BA176" i="83"/>
  <c r="V178" i="83"/>
  <c r="AQ179" i="83"/>
  <c r="U187" i="83"/>
  <c r="AZ202" i="83"/>
  <c r="U168" i="83"/>
  <c r="AZ168" i="83"/>
  <c r="AE197" i="83"/>
  <c r="AE191" i="83"/>
  <c r="AE203" i="83"/>
  <c r="AE170" i="83"/>
  <c r="AE189" i="83"/>
  <c r="AG185" i="83"/>
  <c r="BA185" i="83"/>
  <c r="V185" i="83"/>
  <c r="AO185" i="83"/>
  <c r="V187" i="83"/>
  <c r="AQ192" i="83"/>
  <c r="AE194" i="83"/>
  <c r="AZ204" i="83"/>
  <c r="V168" i="83"/>
  <c r="BA168" i="83"/>
  <c r="AQ168" i="83"/>
  <c r="AQ162" i="83"/>
  <c r="T174" i="83"/>
  <c r="AY179" i="83"/>
  <c r="AQ205" i="83"/>
  <c r="AG205" i="83"/>
  <c r="V205" i="83"/>
  <c r="AQ187" i="82"/>
  <c r="AQ185" i="82"/>
  <c r="AQ172" i="83"/>
  <c r="AQ165" i="83"/>
  <c r="AP189" i="83"/>
  <c r="AF189" i="83"/>
  <c r="AF191" i="83"/>
  <c r="AZ191" i="83"/>
  <c r="U191" i="83"/>
  <c r="AZ172" i="83"/>
  <c r="AF172" i="83"/>
  <c r="AP172" i="83"/>
  <c r="AF174" i="83"/>
  <c r="U174" i="83"/>
  <c r="T197" i="83"/>
  <c r="T168" i="83"/>
  <c r="T191" i="83"/>
  <c r="T198" i="83"/>
  <c r="AE172" i="83"/>
  <c r="AO172" i="83"/>
  <c r="T171" i="83"/>
  <c r="AY171" i="83"/>
  <c r="BA158" i="83"/>
  <c r="AY163" i="83"/>
  <c r="AO171" i="83"/>
  <c r="AO174" i="83"/>
  <c r="AZ179" i="83"/>
  <c r="AP191" i="83"/>
  <c r="AF171" i="83"/>
  <c r="AP193" i="83"/>
  <c r="AF193" i="83"/>
  <c r="AZ193" i="83"/>
  <c r="U193" i="83"/>
  <c r="AG198" i="83"/>
  <c r="AQ198" i="83"/>
  <c r="V198" i="83"/>
  <c r="BA198" i="83"/>
  <c r="T200" i="83"/>
  <c r="AO200" i="83"/>
  <c r="V201" i="83"/>
  <c r="AQ201" i="83"/>
  <c r="AG201" i="83"/>
  <c r="T203" i="83"/>
  <c r="AE168" i="83"/>
  <c r="U173" i="83"/>
  <c r="AP174" i="83"/>
  <c r="AE177" i="83"/>
  <c r="AY194" i="83"/>
  <c r="T196" i="83"/>
  <c r="BA160" i="83"/>
  <c r="AP161" i="83"/>
  <c r="U161" i="83"/>
  <c r="AY170" i="83"/>
  <c r="BA172" i="83"/>
  <c r="AG172" i="83"/>
  <c r="AG174" i="83"/>
  <c r="V177" i="83"/>
  <c r="AQ177" i="83"/>
  <c r="V189" i="83"/>
  <c r="BA189" i="83"/>
  <c r="BA191" i="83"/>
  <c r="AG191" i="83"/>
  <c r="AO193" i="83"/>
  <c r="V196" i="83"/>
  <c r="AG199" i="83"/>
  <c r="BA199" i="83"/>
  <c r="AY204" i="83"/>
  <c r="AE204" i="83"/>
  <c r="V160" i="83"/>
  <c r="AG166" i="83"/>
  <c r="V174" i="83"/>
  <c r="AF201" i="83"/>
  <c r="BA203" i="83"/>
  <c r="S24" i="82"/>
  <c r="W193" i="82" s="1"/>
  <c r="AF163" i="83"/>
  <c r="T164" i="83"/>
  <c r="AY164" i="83"/>
  <c r="AP166" i="83"/>
  <c r="AE169" i="83"/>
  <c r="AY169" i="83"/>
  <c r="T169" i="83"/>
  <c r="AE198" i="83"/>
  <c r="AO198" i="83"/>
  <c r="AO201" i="83"/>
  <c r="AE201" i="83"/>
  <c r="AG204" i="83"/>
  <c r="BA204" i="83"/>
  <c r="V162" i="83"/>
  <c r="AE164" i="83"/>
  <c r="AO169" i="83"/>
  <c r="V191" i="83"/>
  <c r="T193" i="83"/>
  <c r="AY193" i="83"/>
  <c r="AP201" i="83"/>
  <c r="AO8" i="81"/>
  <c r="AO9" i="81" s="1"/>
  <c r="AY8" i="81"/>
  <c r="AY9" i="81" s="1"/>
  <c r="AY14" i="81" s="1"/>
  <c r="C255" i="81" s="1"/>
  <c r="AQ163" i="83"/>
  <c r="V163" i="83"/>
  <c r="AG163" i="83"/>
  <c r="AP164" i="83"/>
  <c r="AE165" i="83"/>
  <c r="AZ169" i="83"/>
  <c r="AZ198" i="83"/>
  <c r="AG160" i="83"/>
  <c r="AP163" i="83"/>
  <c r="AF164" i="83"/>
  <c r="T165" i="83"/>
  <c r="AP169" i="83"/>
  <c r="V199" i="83"/>
  <c r="AQ190" i="82"/>
  <c r="AY168" i="83"/>
  <c r="AZ184" i="83"/>
  <c r="T189" i="83"/>
  <c r="AF197" i="83"/>
  <c r="AZ197" i="83"/>
  <c r="G254" i="82"/>
  <c r="AX86" i="82"/>
  <c r="BA203" i="82"/>
  <c r="BA184" i="82"/>
  <c r="BA204" i="82"/>
  <c r="AQ200" i="82"/>
  <c r="V198" i="82"/>
  <c r="V187" i="82"/>
  <c r="AE158" i="82"/>
  <c r="AO158" i="82"/>
  <c r="AY158" i="82"/>
  <c r="AQ165" i="82"/>
  <c r="AG165" i="82"/>
  <c r="V165" i="82"/>
  <c r="AY173" i="82"/>
  <c r="AE173" i="82"/>
  <c r="T173" i="82"/>
  <c r="AY175" i="82"/>
  <c r="T175" i="82"/>
  <c r="AE175" i="82"/>
  <c r="AZ188" i="82"/>
  <c r="U188" i="82"/>
  <c r="AF188" i="82"/>
  <c r="U25" i="82"/>
  <c r="AO196" i="82"/>
  <c r="AO162" i="82"/>
  <c r="AO169" i="82"/>
  <c r="AO197" i="82"/>
  <c r="AO160" i="82"/>
  <c r="AO179" i="82"/>
  <c r="AO189" i="82"/>
  <c r="BA192" i="82"/>
  <c r="AG192" i="82"/>
  <c r="AQ192" i="82"/>
  <c r="V192" i="82"/>
  <c r="AO159" i="82"/>
  <c r="AQ173" i="82"/>
  <c r="T170" i="82"/>
  <c r="AE170" i="82"/>
  <c r="Y13" i="82"/>
  <c r="AY169" i="82"/>
  <c r="AY177" i="82"/>
  <c r="AY198" i="82"/>
  <c r="T186" i="82"/>
  <c r="AE186" i="82"/>
  <c r="AO186" i="82"/>
  <c r="BA196" i="82"/>
  <c r="AG196" i="82"/>
  <c r="V196" i="82"/>
  <c r="AQ196" i="82"/>
  <c r="V205" i="82"/>
  <c r="AQ205" i="82"/>
  <c r="BA205" i="82"/>
  <c r="AY170" i="82"/>
  <c r="AO190" i="82"/>
  <c r="AO163" i="82"/>
  <c r="AO174" i="82"/>
  <c r="AZ186" i="82"/>
  <c r="U186" i="82"/>
  <c r="AP186" i="82"/>
  <c r="AF186" i="82"/>
  <c r="T158" i="82"/>
  <c r="AY168" i="82"/>
  <c r="AY186" i="82"/>
  <c r="T197" i="82"/>
  <c r="U163" i="82"/>
  <c r="AF163" i="82"/>
  <c r="AZ163" i="82"/>
  <c r="AP163" i="82"/>
  <c r="X33" i="82"/>
  <c r="U197" i="82"/>
  <c r="AO185" i="82"/>
  <c r="AE185" i="82"/>
  <c r="T185" i="82"/>
  <c r="AY185" i="82"/>
  <c r="BA186" i="82"/>
  <c r="AG186" i="82"/>
  <c r="AQ186" i="82"/>
  <c r="V186" i="82"/>
  <c r="U158" i="82"/>
  <c r="AY203" i="82"/>
  <c r="AJ13" i="82"/>
  <c r="AG163" i="82"/>
  <c r="AQ163" i="82"/>
  <c r="V163" i="82"/>
  <c r="AS33" i="82"/>
  <c r="AF185" i="82"/>
  <c r="U185" i="82"/>
  <c r="AZ185" i="82"/>
  <c r="T172" i="82"/>
  <c r="AG175" i="82"/>
  <c r="AO178" i="82"/>
  <c r="V162" i="82"/>
  <c r="AQ162" i="82"/>
  <c r="AG162" i="82"/>
  <c r="T176" i="82"/>
  <c r="T205" i="82"/>
  <c r="T165" i="82"/>
  <c r="T168" i="82"/>
  <c r="T179" i="82"/>
  <c r="AO175" i="82"/>
  <c r="AO167" i="82"/>
  <c r="T167" i="82"/>
  <c r="AE167" i="82"/>
  <c r="AP192" i="82"/>
  <c r="U192" i="82"/>
  <c r="AZ192" i="82"/>
  <c r="BA188" i="82"/>
  <c r="AG188" i="82"/>
  <c r="AQ188" i="82"/>
  <c r="V188" i="82"/>
  <c r="AX22" i="82"/>
  <c r="AI38" i="82"/>
  <c r="BA185" i="82"/>
  <c r="AG185" i="82"/>
  <c r="V185" i="82"/>
  <c r="AY199" i="82"/>
  <c r="AE199" i="82"/>
  <c r="T199" i="82"/>
  <c r="AO199" i="82"/>
  <c r="BA202" i="82"/>
  <c r="AQ202" i="82"/>
  <c r="T204" i="82"/>
  <c r="AY204" i="82"/>
  <c r="AE204" i="82"/>
  <c r="AQ161" i="82"/>
  <c r="AY165" i="82"/>
  <c r="U172" i="82"/>
  <c r="V202" i="82"/>
  <c r="T201" i="82"/>
  <c r="AY201" i="82"/>
  <c r="AO201" i="82"/>
  <c r="AE201" i="82"/>
  <c r="AP190" i="82"/>
  <c r="U190" i="82"/>
  <c r="AZ190" i="82"/>
  <c r="AF190" i="82"/>
  <c r="AO173" i="82"/>
  <c r="AF192" i="82"/>
  <c r="AF164" i="82"/>
  <c r="AZ164" i="82"/>
  <c r="AN22" i="82"/>
  <c r="AQ179" i="82"/>
  <c r="BA190" i="82"/>
  <c r="AG190" i="82"/>
  <c r="V190" i="82"/>
  <c r="C111" i="82"/>
  <c r="P9" i="82" s="1"/>
  <c r="C128" i="82" s="1"/>
  <c r="AQ167" i="82"/>
  <c r="AG167" i="82"/>
  <c r="BA167" i="82"/>
  <c r="X25" i="82"/>
  <c r="AO170" i="82"/>
  <c r="AF170" i="82"/>
  <c r="AZ170" i="82"/>
  <c r="U170" i="82"/>
  <c r="AP170" i="82"/>
  <c r="AZ197" i="82"/>
  <c r="AZ189" i="82"/>
  <c r="BC33" i="82"/>
  <c r="AZ178" i="82"/>
  <c r="U199" i="82"/>
  <c r="AP199" i="82"/>
  <c r="AZ199" i="82"/>
  <c r="AF199" i="82"/>
  <c r="AZ204" i="82"/>
  <c r="AF204" i="82"/>
  <c r="AP204" i="82"/>
  <c r="U204" i="82"/>
  <c r="AN86" i="82"/>
  <c r="BA165" i="82"/>
  <c r="T169" i="82"/>
  <c r="AG202" i="82"/>
  <c r="BA171" i="82"/>
  <c r="AG171" i="82"/>
  <c r="V171" i="82"/>
  <c r="AQ171" i="82"/>
  <c r="AQ170" i="82"/>
  <c r="AQ166" i="82"/>
  <c r="AD22" i="82"/>
  <c r="AI34" i="82" s="1"/>
  <c r="AQ176" i="82"/>
  <c r="AP167" i="82"/>
  <c r="AZ167" i="82"/>
  <c r="U167" i="82"/>
  <c r="AF167" i="82"/>
  <c r="AY187" i="82"/>
  <c r="AE187" i="82"/>
  <c r="AO187" i="82"/>
  <c r="AQ177" i="82"/>
  <c r="AP187" i="82"/>
  <c r="AF187" i="82"/>
  <c r="U187" i="82"/>
  <c r="AZ187" i="82"/>
  <c r="T203" i="82"/>
  <c r="AP162" i="82"/>
  <c r="AF162" i="82"/>
  <c r="U162" i="82"/>
  <c r="U171" i="82"/>
  <c r="AZ171" i="82"/>
  <c r="AP171" i="82"/>
  <c r="AF171" i="82"/>
  <c r="BA199" i="82"/>
  <c r="AG199" i="82"/>
  <c r="AQ199" i="82"/>
  <c r="V199" i="82"/>
  <c r="AQ204" i="82"/>
  <c r="AG204" i="82"/>
  <c r="V204" i="82"/>
  <c r="AY161" i="82"/>
  <c r="U169" i="82"/>
  <c r="AY194" i="82"/>
  <c r="AP176" i="82"/>
  <c r="U176" i="82"/>
  <c r="AZ176" i="82"/>
  <c r="AF176" i="82"/>
  <c r="BA172" i="82"/>
  <c r="BA161" i="82"/>
  <c r="AY193" i="82"/>
  <c r="AE193" i="82"/>
  <c r="T193" i="82"/>
  <c r="AZ201" i="82"/>
  <c r="AF201" i="82"/>
  <c r="AP201" i="82"/>
  <c r="AG158" i="82"/>
  <c r="BA158" i="82"/>
  <c r="AQ158" i="82"/>
  <c r="AY159" i="82"/>
  <c r="AE159" i="82"/>
  <c r="T159" i="82"/>
  <c r="AO166" i="82"/>
  <c r="T166" i="82"/>
  <c r="AY166" i="82"/>
  <c r="AE166" i="82"/>
  <c r="AZ169" i="82"/>
  <c r="AF169" i="82"/>
  <c r="AP169" i="82"/>
  <c r="T178" i="82"/>
  <c r="AE178" i="82"/>
  <c r="BA189" i="82"/>
  <c r="AG189" i="82"/>
  <c r="AQ189" i="82"/>
  <c r="V189" i="82"/>
  <c r="BA191" i="82"/>
  <c r="AG191" i="82"/>
  <c r="V191" i="82"/>
  <c r="AQ191" i="82"/>
  <c r="AZ193" i="82"/>
  <c r="AP193" i="82"/>
  <c r="T198" i="82"/>
  <c r="AO198" i="82"/>
  <c r="AE200" i="82"/>
  <c r="AY200" i="82"/>
  <c r="AO200" i="82"/>
  <c r="T200" i="82"/>
  <c r="V201" i="82"/>
  <c r="AQ201" i="82"/>
  <c r="AG201" i="82"/>
  <c r="AP158" i="82"/>
  <c r="BA200" i="82"/>
  <c r="U159" i="82"/>
  <c r="AZ159" i="82"/>
  <c r="AE160" i="82"/>
  <c r="T160" i="82"/>
  <c r="AZ166" i="82"/>
  <c r="U166" i="82"/>
  <c r="AF166" i="82"/>
  <c r="AE168" i="82"/>
  <c r="AO168" i="82"/>
  <c r="BA169" i="82"/>
  <c r="AG169" i="82"/>
  <c r="AQ169" i="82"/>
  <c r="AF178" i="82"/>
  <c r="U178" i="82"/>
  <c r="AY179" i="82"/>
  <c r="T184" i="82"/>
  <c r="AO184" i="82"/>
  <c r="AE184" i="82"/>
  <c r="BA193" i="82"/>
  <c r="AG193" i="82"/>
  <c r="V193" i="82"/>
  <c r="AZ198" i="82"/>
  <c r="U198" i="82"/>
  <c r="AF198" i="82"/>
  <c r="AZ200" i="82"/>
  <c r="AF200" i="82"/>
  <c r="AP200" i="82"/>
  <c r="U200" i="82"/>
  <c r="AF159" i="82"/>
  <c r="AP166" i="82"/>
  <c r="U201" i="82"/>
  <c r="BA159" i="82"/>
  <c r="AQ159" i="82"/>
  <c r="AP179" i="82"/>
  <c r="AZ179" i="82"/>
  <c r="U179" i="82"/>
  <c r="AF179" i="82"/>
  <c r="T195" i="82"/>
  <c r="AY195" i="82"/>
  <c r="AE195" i="82"/>
  <c r="AO195" i="82"/>
  <c r="BA198" i="82"/>
  <c r="AG198" i="82"/>
  <c r="AQ198" i="82"/>
  <c r="AG159" i="82"/>
  <c r="AO193" i="82"/>
  <c r="T8" i="81"/>
  <c r="T9" i="81" s="1"/>
  <c r="AE8" i="81"/>
  <c r="AE9" i="81" s="1"/>
  <c r="AE13" i="81" s="1"/>
  <c r="AQ160" i="82"/>
  <c r="V160" i="82"/>
  <c r="BA160" i="82"/>
  <c r="AG160" i="82"/>
  <c r="AO161" i="82"/>
  <c r="T161" i="82"/>
  <c r="AE161" i="82"/>
  <c r="V168" i="82"/>
  <c r="BA168" i="82"/>
  <c r="AQ168" i="82"/>
  <c r="AG168" i="82"/>
  <c r="AE172" i="82"/>
  <c r="AY172" i="82"/>
  <c r="AO172" i="82"/>
  <c r="AE174" i="82"/>
  <c r="T174" i="82"/>
  <c r="AY174" i="82"/>
  <c r="AP177" i="82"/>
  <c r="U177" i="82"/>
  <c r="AZ177" i="82"/>
  <c r="BA179" i="82"/>
  <c r="AG179" i="82"/>
  <c r="V179" i="82"/>
  <c r="AF195" i="82"/>
  <c r="U195" i="82"/>
  <c r="AQ193" i="82"/>
  <c r="AZ195" i="82"/>
  <c r="U161" i="82"/>
  <c r="AZ161" i="82"/>
  <c r="AY163" i="82"/>
  <c r="AE163" i="82"/>
  <c r="T163" i="82"/>
  <c r="AY164" i="82"/>
  <c r="AE164" i="82"/>
  <c r="T164" i="82"/>
  <c r="AO164" i="82"/>
  <c r="AP165" i="82"/>
  <c r="AZ165" i="82"/>
  <c r="AF165" i="82"/>
  <c r="U165" i="82"/>
  <c r="AE171" i="82"/>
  <c r="AY171" i="82"/>
  <c r="T171" i="82"/>
  <c r="AZ172" i="82"/>
  <c r="AF172" i="82"/>
  <c r="AF174" i="82"/>
  <c r="AZ174" i="82"/>
  <c r="BA177" i="82"/>
  <c r="AG177" i="82"/>
  <c r="V177" i="82"/>
  <c r="T188" i="82"/>
  <c r="AY188" i="82"/>
  <c r="AY190" i="82"/>
  <c r="AE190" i="82"/>
  <c r="T190" i="82"/>
  <c r="T192" i="82"/>
  <c r="AO192" i="82"/>
  <c r="AE192" i="82"/>
  <c r="AY192" i="82"/>
  <c r="BA195" i="82"/>
  <c r="AG195" i="82"/>
  <c r="AQ195" i="82"/>
  <c r="V195" i="82"/>
  <c r="AP205" i="82"/>
  <c r="U205" i="82"/>
  <c r="AZ205" i="82"/>
  <c r="AZ158" i="82"/>
  <c r="AO171" i="82"/>
  <c r="U160" i="82"/>
  <c r="AZ160" i="82"/>
  <c r="U168" i="82"/>
  <c r="AP168" i="82"/>
  <c r="BA187" i="82"/>
  <c r="AG187" i="82"/>
  <c r="AO194" i="82"/>
  <c r="T194" i="82"/>
  <c r="AG200" i="82"/>
  <c r="V200" i="82"/>
  <c r="AO203" i="82"/>
  <c r="AF168" i="82"/>
  <c r="AZ194" i="82"/>
  <c r="AP194" i="82"/>
  <c r="AE197" i="82"/>
  <c r="AF191" i="82"/>
  <c r="U194" i="82"/>
  <c r="AF196" i="82"/>
  <c r="AY197" i="82"/>
  <c r="T189" i="82"/>
  <c r="AY189" i="82"/>
  <c r="AY191" i="82"/>
  <c r="T191" i="82"/>
  <c r="BA194" i="82"/>
  <c r="AG194" i="82"/>
  <c r="AQ194" i="82"/>
  <c r="AE202" i="82"/>
  <c r="AO202" i="82"/>
  <c r="V203" i="82"/>
  <c r="AG203" i="82"/>
  <c r="AQ203" i="82"/>
  <c r="V194" i="82"/>
  <c r="AY202" i="82"/>
  <c r="AZ173" i="82"/>
  <c r="AF173" i="82"/>
  <c r="U173" i="82"/>
  <c r="AP173" i="82"/>
  <c r="AP175" i="82"/>
  <c r="U175" i="82"/>
  <c r="AZ175" i="82"/>
  <c r="AZ184" i="82"/>
  <c r="U184" i="82"/>
  <c r="AG161" i="82"/>
  <c r="T162" i="82"/>
  <c r="AG173" i="82"/>
  <c r="V173" i="82"/>
  <c r="BA173" i="82"/>
  <c r="AQ175" i="82"/>
  <c r="V175" i="82"/>
  <c r="BA175" i="82"/>
  <c r="AY176" i="82"/>
  <c r="AO176" i="82"/>
  <c r="AQ184" i="82"/>
  <c r="AG184" i="82"/>
  <c r="AP189" i="82"/>
  <c r="U189" i="82"/>
  <c r="AZ191" i="82"/>
  <c r="U191" i="82"/>
  <c r="AY196" i="82"/>
  <c r="T196" i="82"/>
  <c r="BA197" i="82"/>
  <c r="AG197" i="82"/>
  <c r="V197" i="82"/>
  <c r="AQ197" i="82"/>
  <c r="U202" i="82"/>
  <c r="AO205" i="82"/>
  <c r="AY205" i="82"/>
  <c r="V161" i="82"/>
  <c r="AO191" i="82"/>
  <c r="AP197" i="82"/>
  <c r="AP203" i="82"/>
  <c r="U203" i="82"/>
  <c r="AF197" i="82"/>
  <c r="AG164" i="82"/>
  <c r="BA164" i="82"/>
  <c r="AO165" i="82"/>
  <c r="AG166" i="82"/>
  <c r="V166" i="82"/>
  <c r="BA170" i="82"/>
  <c r="AG170" i="82"/>
  <c r="V172" i="82"/>
  <c r="AQ174" i="82"/>
  <c r="V174" i="82"/>
  <c r="AE177" i="82"/>
  <c r="T177" i="82"/>
  <c r="BA178" i="82"/>
  <c r="AG178" i="82"/>
  <c r="AE179" i="82"/>
  <c r="AZ196" i="82"/>
  <c r="AZ202" i="82"/>
  <c r="AF202" i="82"/>
  <c r="AQ164" i="82"/>
  <c r="AE165" i="82"/>
  <c r="AQ172" i="82"/>
  <c r="AO177" i="82"/>
  <c r="AP196" i="82"/>
  <c r="AZ203" i="82"/>
  <c r="AG174" i="82"/>
  <c r="AG194" i="81"/>
  <c r="AQ194" i="81"/>
  <c r="AQ192" i="81"/>
  <c r="AQ184" i="81"/>
  <c r="V194" i="81"/>
  <c r="BA195" i="81"/>
  <c r="V197" i="81"/>
  <c r="V193" i="81"/>
  <c r="BA191" i="81"/>
  <c r="AG200" i="81"/>
  <c r="AG204" i="81"/>
  <c r="AG205" i="81"/>
  <c r="AG189" i="81"/>
  <c r="AG191" i="81"/>
  <c r="AG197" i="81"/>
  <c r="AG184" i="81"/>
  <c r="AG199" i="81"/>
  <c r="V184" i="81"/>
  <c r="V199" i="81"/>
  <c r="V185" i="81"/>
  <c r="AG179" i="81"/>
  <c r="AG178" i="81"/>
  <c r="AZ187" i="81"/>
  <c r="U187" i="81"/>
  <c r="AP187" i="81"/>
  <c r="AF187" i="81"/>
  <c r="V187" i="81"/>
  <c r="AQ187" i="81"/>
  <c r="BA187" i="81"/>
  <c r="AG187" i="81"/>
  <c r="AY201" i="81"/>
  <c r="AE201" i="81"/>
  <c r="AO201" i="81"/>
  <c r="T201" i="81"/>
  <c r="AO162" i="81"/>
  <c r="AE162" i="81"/>
  <c r="T162" i="81"/>
  <c r="AE198" i="81"/>
  <c r="AE204" i="81"/>
  <c r="AE184" i="81"/>
  <c r="AE171" i="81"/>
  <c r="AE196" i="81"/>
  <c r="AE192" i="81"/>
  <c r="AE191" i="81"/>
  <c r="AE188" i="81"/>
  <c r="AE199" i="81"/>
  <c r="AE190" i="81"/>
  <c r="AE165" i="81"/>
  <c r="AE200" i="81"/>
  <c r="AE172" i="81"/>
  <c r="AE186" i="81"/>
  <c r="AE174" i="81"/>
  <c r="AO185" i="81"/>
  <c r="AE185" i="81"/>
  <c r="T185" i="81"/>
  <c r="AG158" i="81"/>
  <c r="BD13" i="81"/>
  <c r="AZ162" i="81"/>
  <c r="AP162" i="81"/>
  <c r="AF162" i="81"/>
  <c r="U162" i="81"/>
  <c r="U164" i="81"/>
  <c r="AP164" i="81"/>
  <c r="AF164" i="81"/>
  <c r="AO198" i="81"/>
  <c r="AO192" i="81"/>
  <c r="AO186" i="81"/>
  <c r="AO196" i="81"/>
  <c r="AO188" i="81"/>
  <c r="AO172" i="81"/>
  <c r="AO205" i="81"/>
  <c r="AO171" i="81"/>
  <c r="AO164" i="81"/>
  <c r="AO159" i="81"/>
  <c r="AO189" i="81"/>
  <c r="AO197" i="81"/>
  <c r="AO173" i="81"/>
  <c r="AO202" i="81"/>
  <c r="AO174" i="81"/>
  <c r="AO193" i="81"/>
  <c r="AO175" i="81"/>
  <c r="AO169" i="81"/>
  <c r="U185" i="81"/>
  <c r="AP185" i="81"/>
  <c r="AF185" i="81"/>
  <c r="AZ185" i="81"/>
  <c r="AO177" i="81"/>
  <c r="AE193" i="81"/>
  <c r="T202" i="81"/>
  <c r="AQ164" i="81"/>
  <c r="V164" i="81"/>
  <c r="AG164" i="81"/>
  <c r="BA164" i="81"/>
  <c r="AY204" i="81"/>
  <c r="AY205" i="81"/>
  <c r="AY190" i="81"/>
  <c r="AY198" i="81"/>
  <c r="AY171" i="81"/>
  <c r="AY160" i="81"/>
  <c r="AY172" i="81"/>
  <c r="AY192" i="81"/>
  <c r="AY166" i="81"/>
  <c r="AY188" i="81"/>
  <c r="AY174" i="81"/>
  <c r="AY175" i="81"/>
  <c r="AY197" i="81"/>
  <c r="AY167" i="81"/>
  <c r="AY176" i="81"/>
  <c r="AY178" i="81"/>
  <c r="AY170" i="81"/>
  <c r="AG196" i="81"/>
  <c r="BA196" i="81"/>
  <c r="V196" i="81"/>
  <c r="AQ196" i="81"/>
  <c r="AG169" i="81"/>
  <c r="AO184" i="81"/>
  <c r="T174" i="81"/>
  <c r="AZ159" i="81"/>
  <c r="AF159" i="81"/>
  <c r="U159" i="81"/>
  <c r="AP159" i="81"/>
  <c r="AY162" i="81"/>
  <c r="AE167" i="81"/>
  <c r="AO190" i="81"/>
  <c r="T161" i="81"/>
  <c r="AE161" i="81"/>
  <c r="AY161" i="81"/>
  <c r="AO161" i="81"/>
  <c r="AO163" i="81"/>
  <c r="AE163" i="81"/>
  <c r="T163" i="81"/>
  <c r="AE178" i="81"/>
  <c r="AO199" i="81"/>
  <c r="U204" i="81"/>
  <c r="AP204" i="81"/>
  <c r="AZ204" i="81"/>
  <c r="AE160" i="81"/>
  <c r="T175" i="81"/>
  <c r="U163" i="81"/>
  <c r="AP163" i="81"/>
  <c r="AF163" i="81"/>
  <c r="AG188" i="81"/>
  <c r="BA188" i="81"/>
  <c r="V188" i="81"/>
  <c r="AQ188" i="81"/>
  <c r="AQ204" i="81"/>
  <c r="V204" i="81"/>
  <c r="BA204" i="81"/>
  <c r="AE175" i="81"/>
  <c r="AQ163" i="81"/>
  <c r="V163" i="81"/>
  <c r="AG163" i="81"/>
  <c r="BA163" i="81"/>
  <c r="AQ165" i="81"/>
  <c r="BA165" i="81"/>
  <c r="AG165" i="81"/>
  <c r="V165" i="81"/>
  <c r="T187" i="81"/>
  <c r="AO187" i="81"/>
  <c r="AY187" i="81"/>
  <c r="AE187" i="81"/>
  <c r="AO191" i="81"/>
  <c r="AY163" i="81"/>
  <c r="AY185" i="81"/>
  <c r="AY191" i="81"/>
  <c r="AE205" i="81"/>
  <c r="BA177" i="81"/>
  <c r="AG177" i="81"/>
  <c r="V177" i="81"/>
  <c r="AQ177" i="81"/>
  <c r="T204" i="81"/>
  <c r="T190" i="81"/>
  <c r="T189" i="81"/>
  <c r="T184" i="81"/>
  <c r="T177" i="81"/>
  <c r="T171" i="81"/>
  <c r="T191" i="81"/>
  <c r="T196" i="81"/>
  <c r="T205" i="81"/>
  <c r="T179" i="81"/>
  <c r="AP186" i="81"/>
  <c r="AF186" i="81"/>
  <c r="AZ186" i="81"/>
  <c r="U186" i="81"/>
  <c r="T188" i="81"/>
  <c r="V160" i="81"/>
  <c r="AG160" i="81"/>
  <c r="BA160" i="81"/>
  <c r="AG162" i="81"/>
  <c r="BA162" i="81"/>
  <c r="AQ171" i="81"/>
  <c r="V171" i="81"/>
  <c r="BA171" i="81"/>
  <c r="AZ172" i="81"/>
  <c r="AF172" i="81"/>
  <c r="AP172" i="81"/>
  <c r="U172" i="81"/>
  <c r="U174" i="81"/>
  <c r="AF174" i="81"/>
  <c r="AP174" i="81"/>
  <c r="AG186" i="81"/>
  <c r="BA186" i="81"/>
  <c r="T193" i="81"/>
  <c r="AP198" i="81"/>
  <c r="U198" i="81"/>
  <c r="AZ198" i="81"/>
  <c r="AF201" i="81"/>
  <c r="AZ201" i="81"/>
  <c r="AP201" i="81"/>
  <c r="U167" i="81"/>
  <c r="AP167" i="81"/>
  <c r="AZ167" i="81"/>
  <c r="AQ172" i="81"/>
  <c r="AG172" i="81"/>
  <c r="AQ174" i="81"/>
  <c r="AG174" i="81"/>
  <c r="U193" i="81"/>
  <c r="AZ193" i="81"/>
  <c r="V198" i="81"/>
  <c r="AG198" i="81"/>
  <c r="BA198" i="81"/>
  <c r="AY200" i="81"/>
  <c r="AO200" i="81"/>
  <c r="BA201" i="81"/>
  <c r="AG201" i="81"/>
  <c r="V201" i="81"/>
  <c r="AQ201" i="81"/>
  <c r="Y13" i="81"/>
  <c r="AG167" i="81"/>
  <c r="BA167" i="81"/>
  <c r="AQ167" i="81"/>
  <c r="U168" i="81"/>
  <c r="X33" i="81"/>
  <c r="U189" i="81"/>
  <c r="U160" i="81"/>
  <c r="V189" i="81"/>
  <c r="BA189" i="81"/>
  <c r="AE195" i="81"/>
  <c r="AY195" i="81"/>
  <c r="AO195" i="81"/>
  <c r="AQ166" i="81"/>
  <c r="V172" i="81"/>
  <c r="AQ175" i="81"/>
  <c r="V191" i="81"/>
  <c r="AP193" i="81"/>
  <c r="T195" i="81"/>
  <c r="AZ200" i="81"/>
  <c r="C214" i="81"/>
  <c r="P11" i="81" s="1"/>
  <c r="C231" i="81" s="1"/>
  <c r="AO166" i="81"/>
  <c r="T166" i="81"/>
  <c r="AE166" i="81"/>
  <c r="AE169" i="81"/>
  <c r="AY169" i="81"/>
  <c r="T169" i="81"/>
  <c r="AG170" i="81"/>
  <c r="AQ170" i="81"/>
  <c r="AZ195" i="81"/>
  <c r="AF195" i="81"/>
  <c r="V200" i="81"/>
  <c r="BA200" i="81"/>
  <c r="AQ200" i="81"/>
  <c r="AE203" i="81"/>
  <c r="AY203" i="81"/>
  <c r="AO203" i="81"/>
  <c r="S85" i="81"/>
  <c r="AQ159" i="81"/>
  <c r="V162" i="81"/>
  <c r="U170" i="81"/>
  <c r="BA176" i="81"/>
  <c r="T178" i="81"/>
  <c r="U179" i="81"/>
  <c r="V186" i="81"/>
  <c r="U195" i="81"/>
  <c r="AJ13" i="81"/>
  <c r="AG195" i="81"/>
  <c r="AQ195" i="81"/>
  <c r="AZ203" i="81"/>
  <c r="AF203" i="81"/>
  <c r="AP160" i="81"/>
  <c r="V170" i="81"/>
  <c r="V195" i="81"/>
  <c r="AG166" i="81"/>
  <c r="BA166" i="81"/>
  <c r="BA169" i="81"/>
  <c r="V169" i="81"/>
  <c r="AQ169" i="81"/>
  <c r="AE173" i="81"/>
  <c r="AY173" i="81"/>
  <c r="T173" i="81"/>
  <c r="T176" i="81"/>
  <c r="AO176" i="81"/>
  <c r="AZ171" i="81"/>
  <c r="AZ160" i="81"/>
  <c r="BC33" i="81"/>
  <c r="AZ177" i="81"/>
  <c r="T192" i="81"/>
  <c r="T197" i="81"/>
  <c r="AE197" i="81"/>
  <c r="AF205" i="81"/>
  <c r="AZ205" i="81"/>
  <c r="U205" i="81"/>
  <c r="AP205" i="81"/>
  <c r="AQ160" i="81"/>
  <c r="AG171" i="81"/>
  <c r="V178" i="81"/>
  <c r="AF198" i="81"/>
  <c r="U201" i="81"/>
  <c r="AG161" i="81"/>
  <c r="BA161" i="81"/>
  <c r="V161" i="81"/>
  <c r="AO158" i="81"/>
  <c r="T158" i="81"/>
  <c r="AE158" i="81"/>
  <c r="AY158" i="81"/>
  <c r="AP175" i="81"/>
  <c r="AF175" i="81"/>
  <c r="AZ175" i="81"/>
  <c r="U175" i="81"/>
  <c r="T194" i="81"/>
  <c r="AY194" i="81"/>
  <c r="AO194" i="81"/>
  <c r="AN86" i="81"/>
  <c r="U169" i="81"/>
  <c r="AZ174" i="81"/>
  <c r="AQ186" i="81"/>
  <c r="AP158" i="81"/>
  <c r="U158" i="81"/>
  <c r="AY165" i="81"/>
  <c r="T165" i="81"/>
  <c r="AO165" i="81"/>
  <c r="AG175" i="81"/>
  <c r="BA175" i="81"/>
  <c r="V175" i="81"/>
  <c r="AF184" i="81"/>
  <c r="AZ184" i="81"/>
  <c r="U184" i="81"/>
  <c r="AF190" i="81"/>
  <c r="AZ190" i="81"/>
  <c r="U190" i="81"/>
  <c r="AP190" i="81"/>
  <c r="AZ194" i="81"/>
  <c r="AP194" i="81"/>
  <c r="AY199" i="81"/>
  <c r="T199" i="81"/>
  <c r="AG202" i="81"/>
  <c r="BA202" i="81"/>
  <c r="V202" i="81"/>
  <c r="AQ202" i="81"/>
  <c r="AQ162" i="81"/>
  <c r="V167" i="81"/>
  <c r="BA174" i="81"/>
  <c r="AQ179" i="81"/>
  <c r="AQ191" i="81"/>
  <c r="AE194" i="81"/>
  <c r="U197" i="81"/>
  <c r="AZ161" i="81"/>
  <c r="AF161" i="81"/>
  <c r="AP161" i="81"/>
  <c r="AO170" i="81"/>
  <c r="AE170" i="81"/>
  <c r="AO168" i="81"/>
  <c r="AE168" i="81"/>
  <c r="AZ173" i="81"/>
  <c r="AF173" i="81"/>
  <c r="U173" i="81"/>
  <c r="AP176" i="81"/>
  <c r="U176" i="81"/>
  <c r="AQ199" i="81"/>
  <c r="AQ193" i="81"/>
  <c r="AQ203" i="81"/>
  <c r="AQ205" i="81"/>
  <c r="AQ185" i="81"/>
  <c r="AP192" i="81"/>
  <c r="AZ192" i="81"/>
  <c r="AQ161" i="81"/>
  <c r="T168" i="81"/>
  <c r="AQ173" i="81"/>
  <c r="AN24" i="81"/>
  <c r="AR188" i="81" s="1"/>
  <c r="V173" i="81"/>
  <c r="AG173" i="81"/>
  <c r="BA173" i="81"/>
  <c r="AQ176" i="81"/>
  <c r="AG176" i="81"/>
  <c r="AO178" i="81"/>
  <c r="AE179" i="81"/>
  <c r="AO179" i="81"/>
  <c r="AY179" i="81"/>
  <c r="V192" i="81"/>
  <c r="AG192" i="81"/>
  <c r="BA158" i="81"/>
  <c r="V158" i="81"/>
  <c r="AY159" i="81"/>
  <c r="AE159" i="81"/>
  <c r="T159" i="81"/>
  <c r="AY164" i="81"/>
  <c r="T164" i="81"/>
  <c r="AE164" i="81"/>
  <c r="AP165" i="81"/>
  <c r="U165" i="81"/>
  <c r="AF165" i="81"/>
  <c r="AZ165" i="81"/>
  <c r="AG168" i="81"/>
  <c r="AF178" i="81"/>
  <c r="AZ178" i="81"/>
  <c r="AZ179" i="81"/>
  <c r="AF179" i="81"/>
  <c r="BA205" i="81"/>
  <c r="BA199" i="81"/>
  <c r="BA185" i="81"/>
  <c r="BA203" i="81"/>
  <c r="BA184" i="81"/>
  <c r="BA197" i="81"/>
  <c r="AF188" i="81"/>
  <c r="AZ188" i="81"/>
  <c r="AP188" i="81"/>
  <c r="AG190" i="81"/>
  <c r="BA190" i="81"/>
  <c r="V190" i="81"/>
  <c r="AQ190" i="81"/>
  <c r="AF196" i="81"/>
  <c r="AP196" i="81"/>
  <c r="U199" i="81"/>
  <c r="AZ199" i="81"/>
  <c r="AP199" i="81"/>
  <c r="AF158" i="81"/>
  <c r="AF169" i="81"/>
  <c r="AP170" i="81"/>
  <c r="BA192" i="81"/>
  <c r="AF194" i="81"/>
  <c r="AQ198" i="81"/>
  <c r="T200" i="81"/>
  <c r="AG159" i="81"/>
  <c r="AO160" i="81"/>
  <c r="T160" i="81"/>
  <c r="S24" i="81"/>
  <c r="AY177" i="81"/>
  <c r="AE177" i="81"/>
  <c r="AP197" i="81"/>
  <c r="BA179" i="81"/>
  <c r="AY193" i="81"/>
  <c r="AO167" i="81"/>
  <c r="T167" i="81"/>
  <c r="AD22" i="81"/>
  <c r="AI34" i="81" s="1"/>
  <c r="U171" i="81"/>
  <c r="AP171" i="81"/>
  <c r="T172" i="81"/>
  <c r="AP177" i="81"/>
  <c r="U177" i="81"/>
  <c r="AY184" i="81"/>
  <c r="AE189" i="81"/>
  <c r="AY189" i="81"/>
  <c r="AQ197" i="81"/>
  <c r="AF202" i="81"/>
  <c r="AZ202" i="81"/>
  <c r="U202" i="81"/>
  <c r="V159" i="81"/>
  <c r="AO204" i="81"/>
  <c r="BA194" i="81"/>
  <c r="AF197" i="81"/>
  <c r="AZ189" i="81"/>
  <c r="AE202" i="81"/>
  <c r="V203" i="81"/>
  <c r="AG193" i="81"/>
  <c r="AY196" i="81"/>
  <c r="AG203" i="81"/>
  <c r="AP189" i="81"/>
  <c r="AY202" i="81"/>
  <c r="AT13" i="49"/>
  <c r="AN86" i="49" s="1"/>
  <c r="AJ13" i="49"/>
  <c r="AD86" i="49" s="1"/>
  <c r="Y13" i="49"/>
  <c r="S86" i="49" s="1"/>
  <c r="BD13" i="1"/>
  <c r="AX86" i="1" s="1"/>
  <c r="AJ13" i="1"/>
  <c r="AD86" i="1" s="1"/>
  <c r="Y13" i="1"/>
  <c r="S86" i="1" s="1"/>
  <c r="BD13" i="50"/>
  <c r="AX86" i="50" s="1"/>
  <c r="AT13" i="50"/>
  <c r="AN86" i="50" s="1"/>
  <c r="AJ13" i="50"/>
  <c r="AD86" i="50" s="1"/>
  <c r="BD13" i="48"/>
  <c r="AX86" i="48" s="1"/>
  <c r="AT13" i="48"/>
  <c r="AN86" i="48" s="1"/>
  <c r="AJ13" i="48"/>
  <c r="AD86" i="48" s="1"/>
  <c r="AT13" i="24"/>
  <c r="AN86" i="24" s="1"/>
  <c r="AJ13" i="24"/>
  <c r="AD86" i="24" s="1"/>
  <c r="Y13" i="24"/>
  <c r="S86" i="24" s="1"/>
  <c r="E102" i="77"/>
  <c r="E99" i="77"/>
  <c r="E98" i="77"/>
  <c r="E48" i="77"/>
  <c r="E47" i="77"/>
  <c r="E46" i="77"/>
  <c r="E45" i="77"/>
  <c r="E44" i="77"/>
  <c r="E43" i="77"/>
  <c r="T92" i="77"/>
  <c r="E101" i="77" s="1"/>
  <c r="T91" i="77"/>
  <c r="T90" i="77"/>
  <c r="T89" i="77"/>
  <c r="T88" i="77"/>
  <c r="E103" i="77" s="1"/>
  <c r="T71" i="77"/>
  <c r="T66" i="77"/>
  <c r="T65" i="77"/>
  <c r="T15" i="77"/>
  <c r="T10" i="77"/>
  <c r="T9" i="77"/>
  <c r="T144" i="77"/>
  <c r="T141" i="77"/>
  <c r="B63" i="80"/>
  <c r="B62" i="80"/>
  <c r="B53" i="80"/>
  <c r="B52" i="80"/>
  <c r="B42" i="80"/>
  <c r="B41" i="80"/>
  <c r="E80" i="77"/>
  <c r="F80" i="77"/>
  <c r="G80" i="77"/>
  <c r="H80" i="77"/>
  <c r="I80" i="77"/>
  <c r="J80" i="77"/>
  <c r="K80" i="77"/>
  <c r="L80" i="77"/>
  <c r="M80" i="77"/>
  <c r="N80" i="77"/>
  <c r="E81" i="77"/>
  <c r="F81" i="77"/>
  <c r="G81" i="77"/>
  <c r="H81" i="77"/>
  <c r="I81" i="77"/>
  <c r="J81" i="77"/>
  <c r="K81" i="77"/>
  <c r="L81" i="77"/>
  <c r="M81" i="77"/>
  <c r="N81" i="77"/>
  <c r="E82" i="77"/>
  <c r="F82" i="77"/>
  <c r="G82" i="77"/>
  <c r="H82" i="77"/>
  <c r="I82" i="77"/>
  <c r="J82" i="77"/>
  <c r="K82" i="77"/>
  <c r="L82" i="77"/>
  <c r="M82" i="77"/>
  <c r="N82" i="77"/>
  <c r="E83" i="77"/>
  <c r="F83" i="77"/>
  <c r="G83" i="77"/>
  <c r="H83" i="77"/>
  <c r="I83" i="77"/>
  <c r="J83" i="77"/>
  <c r="K83" i="77"/>
  <c r="L83" i="77"/>
  <c r="M83" i="77"/>
  <c r="N83" i="77"/>
  <c r="E84" i="77"/>
  <c r="F84" i="77"/>
  <c r="G84" i="77"/>
  <c r="H84" i="77"/>
  <c r="I84" i="77"/>
  <c r="J84" i="77"/>
  <c r="K84" i="77"/>
  <c r="L84" i="77"/>
  <c r="M84" i="77"/>
  <c r="N84" i="77"/>
  <c r="E85" i="77"/>
  <c r="F85" i="77"/>
  <c r="G85" i="77"/>
  <c r="H85" i="77"/>
  <c r="I85" i="77"/>
  <c r="J85" i="77"/>
  <c r="K85" i="77"/>
  <c r="L85" i="77"/>
  <c r="M85" i="77"/>
  <c r="N85" i="77"/>
  <c r="E86" i="77"/>
  <c r="F86" i="77"/>
  <c r="G86" i="77"/>
  <c r="H86" i="77"/>
  <c r="I86" i="77"/>
  <c r="J86" i="77"/>
  <c r="K86" i="77"/>
  <c r="L86" i="77"/>
  <c r="M86" i="77"/>
  <c r="N86" i="77"/>
  <c r="E87" i="77"/>
  <c r="F87" i="77"/>
  <c r="G87" i="77"/>
  <c r="H87" i="77"/>
  <c r="I87" i="77"/>
  <c r="J87" i="77"/>
  <c r="K87" i="77"/>
  <c r="L87" i="77"/>
  <c r="M87" i="77"/>
  <c r="N87" i="77"/>
  <c r="E88" i="77"/>
  <c r="F88" i="77"/>
  <c r="G88" i="77"/>
  <c r="H88" i="77"/>
  <c r="I88" i="77"/>
  <c r="J88" i="77"/>
  <c r="K88" i="77"/>
  <c r="L88" i="77"/>
  <c r="M88" i="77"/>
  <c r="N88" i="77"/>
  <c r="E89" i="77"/>
  <c r="F89" i="77"/>
  <c r="G89" i="77"/>
  <c r="H89" i="77"/>
  <c r="I89" i="77"/>
  <c r="J89" i="77"/>
  <c r="K89" i="77"/>
  <c r="L89" i="77"/>
  <c r="M89" i="77"/>
  <c r="N89" i="77"/>
  <c r="I69" i="77"/>
  <c r="I68" i="77"/>
  <c r="E25" i="77"/>
  <c r="F25" i="77"/>
  <c r="G25" i="77"/>
  <c r="H25" i="77"/>
  <c r="I25" i="77"/>
  <c r="J25" i="77"/>
  <c r="K25" i="77"/>
  <c r="L25" i="77"/>
  <c r="M25" i="77"/>
  <c r="N25" i="77"/>
  <c r="E26" i="77"/>
  <c r="F26" i="77"/>
  <c r="G26" i="77"/>
  <c r="H26" i="77"/>
  <c r="I26" i="77"/>
  <c r="J26" i="77"/>
  <c r="K26" i="77"/>
  <c r="L26" i="77"/>
  <c r="M26" i="77"/>
  <c r="N26" i="77"/>
  <c r="E27" i="77"/>
  <c r="F27" i="77"/>
  <c r="G27" i="77"/>
  <c r="H27" i="77"/>
  <c r="I27" i="77"/>
  <c r="J27" i="77"/>
  <c r="K27" i="77"/>
  <c r="L27" i="77"/>
  <c r="M27" i="77"/>
  <c r="N27" i="77"/>
  <c r="E28" i="77"/>
  <c r="F28" i="77"/>
  <c r="G28" i="77"/>
  <c r="H28" i="77"/>
  <c r="I28" i="77"/>
  <c r="J28" i="77"/>
  <c r="K28" i="77"/>
  <c r="L28" i="77"/>
  <c r="M28" i="77"/>
  <c r="N28" i="77"/>
  <c r="E29" i="77"/>
  <c r="F29" i="77"/>
  <c r="G29" i="77"/>
  <c r="H29" i="77"/>
  <c r="I29" i="77"/>
  <c r="J29" i="77"/>
  <c r="K29" i="77"/>
  <c r="L29" i="77"/>
  <c r="M29" i="77"/>
  <c r="N29" i="77"/>
  <c r="E30" i="77"/>
  <c r="F30" i="77"/>
  <c r="G30" i="77"/>
  <c r="H30" i="77"/>
  <c r="I30" i="77"/>
  <c r="J30" i="77"/>
  <c r="K30" i="77"/>
  <c r="L30" i="77"/>
  <c r="M30" i="77"/>
  <c r="N30" i="77"/>
  <c r="E31" i="77"/>
  <c r="F31" i="77"/>
  <c r="G31" i="77"/>
  <c r="H31" i="77"/>
  <c r="I31" i="77"/>
  <c r="J31" i="77"/>
  <c r="K31" i="77"/>
  <c r="L31" i="77"/>
  <c r="M31" i="77"/>
  <c r="N31" i="77"/>
  <c r="E32" i="77"/>
  <c r="F32" i="77"/>
  <c r="G32" i="77"/>
  <c r="H32" i="77"/>
  <c r="I32" i="77"/>
  <c r="J32" i="77"/>
  <c r="K32" i="77"/>
  <c r="L32" i="77"/>
  <c r="M32" i="77"/>
  <c r="N32" i="77"/>
  <c r="E33" i="77"/>
  <c r="F33" i="77"/>
  <c r="G33" i="77"/>
  <c r="H33" i="77"/>
  <c r="I33" i="77"/>
  <c r="J33" i="77"/>
  <c r="K33" i="77"/>
  <c r="L33" i="77"/>
  <c r="M33" i="77"/>
  <c r="N33" i="77"/>
  <c r="E34" i="77"/>
  <c r="F34" i="77"/>
  <c r="G34" i="77"/>
  <c r="H34" i="77"/>
  <c r="I34" i="77"/>
  <c r="J34" i="77"/>
  <c r="K34" i="77"/>
  <c r="L34" i="77"/>
  <c r="M34" i="77"/>
  <c r="N34" i="77"/>
  <c r="AV181" i="49"/>
  <c r="AL181" i="49"/>
  <c r="AB181" i="49"/>
  <c r="Q181" i="49"/>
  <c r="AV155" i="49"/>
  <c r="AL155" i="49"/>
  <c r="AB155" i="49"/>
  <c r="Q155" i="49"/>
  <c r="AX147" i="49"/>
  <c r="AN147" i="49"/>
  <c r="AD147" i="49"/>
  <c r="S147" i="49"/>
  <c r="AX146" i="49"/>
  <c r="AN146" i="49"/>
  <c r="AD146" i="49"/>
  <c r="S146" i="49"/>
  <c r="AX139" i="49"/>
  <c r="AN139" i="49"/>
  <c r="AD139" i="49"/>
  <c r="S139" i="49"/>
  <c r="AX137" i="49"/>
  <c r="AN137" i="49"/>
  <c r="AD137" i="49"/>
  <c r="S137" i="49"/>
  <c r="AX64" i="49"/>
  <c r="AN64" i="49"/>
  <c r="AD64" i="49"/>
  <c r="S64" i="49"/>
  <c r="AX54" i="49"/>
  <c r="AN54" i="49"/>
  <c r="AD54" i="49"/>
  <c r="S54" i="49"/>
  <c r="AX41" i="49"/>
  <c r="AN41" i="49"/>
  <c r="AD41" i="49"/>
  <c r="S41" i="49"/>
  <c r="AX40" i="49"/>
  <c r="AN40" i="49"/>
  <c r="AD40" i="49"/>
  <c r="S40" i="49"/>
  <c r="BC39" i="49"/>
  <c r="AS39" i="49"/>
  <c r="AI39" i="49"/>
  <c r="X39" i="49"/>
  <c r="AX38" i="49"/>
  <c r="AN38" i="49"/>
  <c r="AD38" i="49"/>
  <c r="S38" i="49"/>
  <c r="BC37" i="49"/>
  <c r="AX37" i="49"/>
  <c r="AS37" i="49"/>
  <c r="AN37" i="49"/>
  <c r="AI37" i="49"/>
  <c r="AD37" i="49"/>
  <c r="X37" i="49"/>
  <c r="S37" i="49"/>
  <c r="AX33" i="49"/>
  <c r="AN33" i="49"/>
  <c r="AD33" i="49"/>
  <c r="S33" i="49"/>
  <c r="BC32" i="49"/>
  <c r="BC36" i="49" s="1"/>
  <c r="AS32" i="49"/>
  <c r="AS36" i="49" s="1"/>
  <c r="AI32" i="49"/>
  <c r="AI36" i="49" s="1"/>
  <c r="X32" i="49"/>
  <c r="X36" i="49" s="1"/>
  <c r="BC31" i="49"/>
  <c r="AS31" i="49"/>
  <c r="AI31" i="49"/>
  <c r="X31" i="49"/>
  <c r="BC30" i="49"/>
  <c r="AX30" i="49"/>
  <c r="AS30" i="49"/>
  <c r="AN30" i="49"/>
  <c r="AI30" i="49"/>
  <c r="AD30" i="49"/>
  <c r="X30" i="49"/>
  <c r="S30" i="49"/>
  <c r="BC29" i="49"/>
  <c r="BC33" i="49" s="1"/>
  <c r="AS29" i="49"/>
  <c r="AI29" i="49"/>
  <c r="X29" i="49"/>
  <c r="AX23" i="49"/>
  <c r="AN23" i="49"/>
  <c r="AD23" i="49"/>
  <c r="S23" i="49"/>
  <c r="S22" i="49"/>
  <c r="AD22" i="49" s="1"/>
  <c r="AI25" i="49" s="1"/>
  <c r="O12" i="49"/>
  <c r="O11" i="49"/>
  <c r="O10" i="49"/>
  <c r="O9" i="49"/>
  <c r="AY7" i="49"/>
  <c r="AO7" i="49"/>
  <c r="AE7" i="49"/>
  <c r="T7" i="49"/>
  <c r="AY6" i="49"/>
  <c r="AO6" i="49"/>
  <c r="AE6" i="49"/>
  <c r="T6" i="49"/>
  <c r="AY4" i="49"/>
  <c r="BD13" i="49" s="1"/>
  <c r="AX86" i="49" s="1"/>
  <c r="AO4" i="49"/>
  <c r="AE4" i="49"/>
  <c r="T4" i="49"/>
  <c r="S22" i="1"/>
  <c r="AV181" i="1"/>
  <c r="AL181" i="1"/>
  <c r="AB181" i="1"/>
  <c r="Q181" i="1"/>
  <c r="AV155" i="1"/>
  <c r="AL155" i="1"/>
  <c r="AB155" i="1"/>
  <c r="Q155" i="1"/>
  <c r="AX147" i="1"/>
  <c r="AN147" i="1"/>
  <c r="AD147" i="1"/>
  <c r="S147" i="1"/>
  <c r="AX146" i="1"/>
  <c r="AN146" i="1"/>
  <c r="AD146" i="1"/>
  <c r="S146" i="1"/>
  <c r="AX139" i="1"/>
  <c r="AN139" i="1"/>
  <c r="AD139" i="1"/>
  <c r="S139" i="1"/>
  <c r="AX137" i="1"/>
  <c r="AN137" i="1"/>
  <c r="AD137" i="1"/>
  <c r="S137" i="1"/>
  <c r="AX64" i="1"/>
  <c r="AN64" i="1"/>
  <c r="AD64" i="1"/>
  <c r="S64" i="1"/>
  <c r="AX54" i="1"/>
  <c r="AN54" i="1"/>
  <c r="AD54" i="1"/>
  <c r="S54" i="1"/>
  <c r="AX41" i="1"/>
  <c r="AN41" i="1"/>
  <c r="AD41" i="1"/>
  <c r="S41" i="1"/>
  <c r="AX40" i="1"/>
  <c r="AN40" i="1"/>
  <c r="AD40" i="1"/>
  <c r="S40" i="1"/>
  <c r="BC39" i="1"/>
  <c r="AS39" i="1"/>
  <c r="AI39" i="1"/>
  <c r="X39" i="1"/>
  <c r="AX38" i="1"/>
  <c r="AN38" i="1"/>
  <c r="AD38" i="1"/>
  <c r="S38" i="1"/>
  <c r="BC37" i="1"/>
  <c r="AX37" i="1"/>
  <c r="AS37" i="1"/>
  <c r="AN37" i="1"/>
  <c r="AI37" i="1"/>
  <c r="AD37" i="1"/>
  <c r="X37" i="1"/>
  <c r="S37" i="1"/>
  <c r="AX33" i="1"/>
  <c r="AN33" i="1"/>
  <c r="AD33" i="1"/>
  <c r="S33" i="1"/>
  <c r="BC32" i="1"/>
  <c r="BC36" i="1" s="1"/>
  <c r="AS32" i="1"/>
  <c r="AS36" i="1" s="1"/>
  <c r="AI32" i="1"/>
  <c r="AI36" i="1" s="1"/>
  <c r="X32" i="1"/>
  <c r="X36" i="1" s="1"/>
  <c r="BC31" i="1"/>
  <c r="AS31" i="1"/>
  <c r="AI31" i="1"/>
  <c r="X31" i="1"/>
  <c r="BC30" i="1"/>
  <c r="AX30" i="1"/>
  <c r="AS30" i="1"/>
  <c r="AN30" i="1"/>
  <c r="AI30" i="1"/>
  <c r="AD30" i="1"/>
  <c r="X30" i="1"/>
  <c r="S30" i="1"/>
  <c r="BC29" i="1"/>
  <c r="BC33" i="1" s="1"/>
  <c r="AS29" i="1"/>
  <c r="AS33" i="1" s="1"/>
  <c r="AI29" i="1"/>
  <c r="X29" i="1"/>
  <c r="AX23" i="1"/>
  <c r="AN23" i="1"/>
  <c r="AD23" i="1"/>
  <c r="S23" i="1"/>
  <c r="S24" i="1" s="1"/>
  <c r="O12" i="1"/>
  <c r="O11" i="1"/>
  <c r="O10" i="1"/>
  <c r="O9" i="1"/>
  <c r="AY7" i="1"/>
  <c r="AO7" i="1"/>
  <c r="AE7" i="1"/>
  <c r="T7" i="1"/>
  <c r="AY6" i="1"/>
  <c r="AO6" i="1"/>
  <c r="AE6" i="1"/>
  <c r="T6" i="1"/>
  <c r="AY4" i="1"/>
  <c r="AO4" i="1"/>
  <c r="AT13" i="1" s="1"/>
  <c r="AN86" i="1" s="1"/>
  <c r="AE4" i="1"/>
  <c r="T4" i="1"/>
  <c r="AV181" i="50"/>
  <c r="AL181" i="50"/>
  <c r="AB181" i="50"/>
  <c r="Q181" i="50"/>
  <c r="AV155" i="50"/>
  <c r="AL155" i="50"/>
  <c r="AB155" i="50"/>
  <c r="Q155" i="50"/>
  <c r="AX147" i="50"/>
  <c r="AN147" i="50"/>
  <c r="AD147" i="50"/>
  <c r="S147" i="50"/>
  <c r="AX146" i="50"/>
  <c r="AN146" i="50"/>
  <c r="AD146" i="50"/>
  <c r="S146" i="50"/>
  <c r="AX139" i="50"/>
  <c r="AN139" i="50"/>
  <c r="AD139" i="50"/>
  <c r="S139" i="50"/>
  <c r="AX137" i="50"/>
  <c r="AN137" i="50"/>
  <c r="AD137" i="50"/>
  <c r="S137" i="50"/>
  <c r="AX64" i="50"/>
  <c r="AN64" i="50"/>
  <c r="AD64" i="50"/>
  <c r="S64" i="50"/>
  <c r="AX54" i="50"/>
  <c r="AN54" i="50"/>
  <c r="AD54" i="50"/>
  <c r="S54" i="50"/>
  <c r="AX41" i="50"/>
  <c r="AN41" i="50"/>
  <c r="AD41" i="50"/>
  <c r="S41" i="50"/>
  <c r="AX40" i="50"/>
  <c r="AN40" i="50"/>
  <c r="AD40" i="50"/>
  <c r="S40" i="50"/>
  <c r="BC39" i="50"/>
  <c r="AS39" i="50"/>
  <c r="AI39" i="50"/>
  <c r="X39" i="50"/>
  <c r="AX38" i="50"/>
  <c r="AN38" i="50"/>
  <c r="AD38" i="50"/>
  <c r="S38" i="50"/>
  <c r="BC37" i="50"/>
  <c r="AX37" i="50"/>
  <c r="AS37" i="50"/>
  <c r="AN37" i="50"/>
  <c r="AI37" i="50"/>
  <c r="AD37" i="50"/>
  <c r="X37" i="50"/>
  <c r="S37" i="50"/>
  <c r="AX33" i="50"/>
  <c r="AN33" i="50"/>
  <c r="AD33" i="50"/>
  <c r="S33" i="50"/>
  <c r="BC32" i="50"/>
  <c r="BC36" i="50" s="1"/>
  <c r="AS32" i="50"/>
  <c r="AS36" i="50" s="1"/>
  <c r="AI32" i="50"/>
  <c r="AI36" i="50" s="1"/>
  <c r="X32" i="50"/>
  <c r="X36" i="50" s="1"/>
  <c r="BC31" i="50"/>
  <c r="AS31" i="50"/>
  <c r="AI31" i="50"/>
  <c r="X31" i="50"/>
  <c r="BC30" i="50"/>
  <c r="AX30" i="50"/>
  <c r="AS30" i="50"/>
  <c r="AN30" i="50"/>
  <c r="AI30" i="50"/>
  <c r="AD30" i="50"/>
  <c r="X30" i="50"/>
  <c r="S30" i="50"/>
  <c r="BC29" i="50"/>
  <c r="AS29" i="50"/>
  <c r="AI29" i="50"/>
  <c r="X29" i="50"/>
  <c r="AX23" i="50"/>
  <c r="AN23" i="50"/>
  <c r="AD23" i="50"/>
  <c r="S23" i="50"/>
  <c r="S22" i="50"/>
  <c r="AN22" i="50" s="1"/>
  <c r="O12" i="50"/>
  <c r="O11" i="50"/>
  <c r="O10" i="50"/>
  <c r="O9" i="50"/>
  <c r="AY7" i="50"/>
  <c r="AO7" i="50"/>
  <c r="AE7" i="50"/>
  <c r="T7" i="50"/>
  <c r="AY6" i="50"/>
  <c r="AO6" i="50"/>
  <c r="AE6" i="50"/>
  <c r="T6" i="50"/>
  <c r="AY4" i="50"/>
  <c r="AO4" i="50"/>
  <c r="AE4" i="50"/>
  <c r="T4" i="50"/>
  <c r="Y13" i="50" s="1"/>
  <c r="S86" i="50" s="1"/>
  <c r="AV181" i="48"/>
  <c r="AL181" i="48"/>
  <c r="AB181" i="48"/>
  <c r="Q181" i="48"/>
  <c r="AV155" i="48"/>
  <c r="AL155" i="48"/>
  <c r="AB155" i="48"/>
  <c r="Q155" i="48"/>
  <c r="AX147" i="48"/>
  <c r="AN147" i="48"/>
  <c r="AD147" i="48"/>
  <c r="S147" i="48"/>
  <c r="AX146" i="48"/>
  <c r="AN146" i="48"/>
  <c r="AD146" i="48"/>
  <c r="S146" i="48"/>
  <c r="AX139" i="48"/>
  <c r="AN139" i="48"/>
  <c r="AD139" i="48"/>
  <c r="S139" i="48"/>
  <c r="AX137" i="48"/>
  <c r="AN137" i="48"/>
  <c r="AD137" i="48"/>
  <c r="S137" i="48"/>
  <c r="AX64" i="48"/>
  <c r="AN64" i="48"/>
  <c r="AD64" i="48"/>
  <c r="S64" i="48"/>
  <c r="AX54" i="48"/>
  <c r="AN54" i="48"/>
  <c r="AD54" i="48"/>
  <c r="S54" i="48"/>
  <c r="AX41" i="48"/>
  <c r="AN41" i="48"/>
  <c r="AD41" i="48"/>
  <c r="S41" i="48"/>
  <c r="AX40" i="48"/>
  <c r="AN40" i="48"/>
  <c r="AD40" i="48"/>
  <c r="S40" i="48"/>
  <c r="BC39" i="48"/>
  <c r="AS39" i="48"/>
  <c r="AI39" i="48"/>
  <c r="X39" i="48"/>
  <c r="AX38" i="48"/>
  <c r="AN38" i="48"/>
  <c r="AD38" i="48"/>
  <c r="S38" i="48"/>
  <c r="BC37" i="48"/>
  <c r="AX37" i="48"/>
  <c r="AS37" i="48"/>
  <c r="AN37" i="48"/>
  <c r="AI37" i="48"/>
  <c r="AD37" i="48"/>
  <c r="X37" i="48"/>
  <c r="S37" i="48"/>
  <c r="AI36" i="48"/>
  <c r="AX33" i="48"/>
  <c r="AN33" i="48"/>
  <c r="AD33" i="48"/>
  <c r="S33" i="48"/>
  <c r="BC32" i="48"/>
  <c r="BC36" i="48" s="1"/>
  <c r="AS32" i="48"/>
  <c r="AS36" i="48" s="1"/>
  <c r="AI32" i="48"/>
  <c r="X32" i="48"/>
  <c r="X36" i="48" s="1"/>
  <c r="BC31" i="48"/>
  <c r="AS31" i="48"/>
  <c r="AI31" i="48"/>
  <c r="X31" i="48"/>
  <c r="BC30" i="48"/>
  <c r="AX30" i="48"/>
  <c r="AS30" i="48"/>
  <c r="AN30" i="48"/>
  <c r="AI30" i="48"/>
  <c r="AD30" i="48"/>
  <c r="X30" i="48"/>
  <c r="S30" i="48"/>
  <c r="BC29" i="48"/>
  <c r="AS29" i="48"/>
  <c r="AI29" i="48"/>
  <c r="X29" i="48"/>
  <c r="AX23" i="48"/>
  <c r="AN23" i="48"/>
  <c r="AD23" i="48"/>
  <c r="S23" i="48"/>
  <c r="S22" i="48"/>
  <c r="U25" i="48" s="1"/>
  <c r="S85" i="48" s="1"/>
  <c r="O12" i="48"/>
  <c r="O11" i="48"/>
  <c r="O10" i="48"/>
  <c r="O9" i="48"/>
  <c r="AY7" i="48"/>
  <c r="AO7" i="48"/>
  <c r="AE7" i="48"/>
  <c r="T7" i="48"/>
  <c r="AY6" i="48"/>
  <c r="AO6" i="48"/>
  <c r="AE6" i="48"/>
  <c r="T6" i="48"/>
  <c r="AY4" i="48"/>
  <c r="AO4" i="48"/>
  <c r="AE4" i="48"/>
  <c r="T4" i="48"/>
  <c r="Y13" i="48" s="1"/>
  <c r="S86" i="48" s="1"/>
  <c r="S22" i="24"/>
  <c r="AD22" i="24" s="1"/>
  <c r="AV181" i="24"/>
  <c r="AL181" i="24"/>
  <c r="AB181" i="24"/>
  <c r="Q181" i="24"/>
  <c r="AV155" i="24"/>
  <c r="AL155" i="24"/>
  <c r="AB155" i="24"/>
  <c r="Q155" i="24"/>
  <c r="AX147" i="24"/>
  <c r="AN147" i="24"/>
  <c r="AD147" i="24"/>
  <c r="S147" i="24"/>
  <c r="AX146" i="24"/>
  <c r="AN146" i="24"/>
  <c r="AD146" i="24"/>
  <c r="S146" i="24"/>
  <c r="AX139" i="24"/>
  <c r="AN139" i="24"/>
  <c r="AD139" i="24"/>
  <c r="S139" i="24"/>
  <c r="AX137" i="24"/>
  <c r="AN137" i="24"/>
  <c r="AD137" i="24"/>
  <c r="S137" i="24"/>
  <c r="AX64" i="24"/>
  <c r="AN64" i="24"/>
  <c r="AD64" i="24"/>
  <c r="S64" i="24"/>
  <c r="AX54" i="24"/>
  <c r="AN54" i="24"/>
  <c r="AD54" i="24"/>
  <c r="S54" i="24"/>
  <c r="AX41" i="24"/>
  <c r="AN41" i="24"/>
  <c r="AD41" i="24"/>
  <c r="S41" i="24"/>
  <c r="AX40" i="24"/>
  <c r="AN40" i="24"/>
  <c r="AD40" i="24"/>
  <c r="S40" i="24"/>
  <c r="BC39" i="24"/>
  <c r="AS39" i="24"/>
  <c r="AI39" i="24"/>
  <c r="X39" i="24"/>
  <c r="AX38" i="24"/>
  <c r="AN38" i="24"/>
  <c r="AD38" i="24"/>
  <c r="S38" i="24"/>
  <c r="BC37" i="24"/>
  <c r="AX37" i="24"/>
  <c r="AS37" i="24"/>
  <c r="AN37" i="24"/>
  <c r="AI37" i="24"/>
  <c r="AD37" i="24"/>
  <c r="X37" i="24"/>
  <c r="S37" i="24"/>
  <c r="AX33" i="24"/>
  <c r="AN33" i="24"/>
  <c r="AD33" i="24"/>
  <c r="S33" i="24"/>
  <c r="BC32" i="24"/>
  <c r="BC36" i="24" s="1"/>
  <c r="AS32" i="24"/>
  <c r="AS36" i="24" s="1"/>
  <c r="AI32" i="24"/>
  <c r="AI36" i="24" s="1"/>
  <c r="X32" i="24"/>
  <c r="X36" i="24" s="1"/>
  <c r="BC31" i="24"/>
  <c r="AS31" i="24"/>
  <c r="AI31" i="24"/>
  <c r="X31" i="24"/>
  <c r="BC30" i="24"/>
  <c r="AX30" i="24"/>
  <c r="AS30" i="24"/>
  <c r="AN30" i="24"/>
  <c r="AI30" i="24"/>
  <c r="AD30" i="24"/>
  <c r="X30" i="24"/>
  <c r="S30" i="24"/>
  <c r="BC29" i="24"/>
  <c r="AS29" i="24"/>
  <c r="AS33" i="24" s="1"/>
  <c r="AI29" i="24"/>
  <c r="X29" i="24"/>
  <c r="AX23" i="24"/>
  <c r="AN23" i="24"/>
  <c r="AD23" i="24"/>
  <c r="S23" i="24"/>
  <c r="O12" i="24"/>
  <c r="O11" i="24"/>
  <c r="O10" i="24"/>
  <c r="O9" i="24"/>
  <c r="AY7" i="24"/>
  <c r="AO7" i="24"/>
  <c r="AE7" i="24"/>
  <c r="T7" i="24"/>
  <c r="AY6" i="24"/>
  <c r="AO6" i="24"/>
  <c r="AE6" i="24"/>
  <c r="T6" i="24"/>
  <c r="AY4" i="24"/>
  <c r="BD13" i="24" s="1"/>
  <c r="AX86" i="24" s="1"/>
  <c r="AO4" i="24"/>
  <c r="AE4" i="24"/>
  <c r="T4" i="24"/>
  <c r="AV181" i="47"/>
  <c r="AL181" i="47"/>
  <c r="AB181" i="47"/>
  <c r="Q181" i="47"/>
  <c r="AV155" i="47"/>
  <c r="AL155" i="47"/>
  <c r="AB155" i="47"/>
  <c r="Q155" i="47"/>
  <c r="AX40" i="47"/>
  <c r="AN40" i="47"/>
  <c r="AD40" i="47"/>
  <c r="S40" i="47"/>
  <c r="BC39" i="47"/>
  <c r="AS39" i="47"/>
  <c r="AI39" i="47"/>
  <c r="X39" i="47"/>
  <c r="AX38" i="47"/>
  <c r="AN38" i="47"/>
  <c r="AD38" i="47"/>
  <c r="S38" i="47"/>
  <c r="BC37" i="47"/>
  <c r="AX37" i="47"/>
  <c r="AS37" i="47"/>
  <c r="AN37" i="47"/>
  <c r="AI37" i="47"/>
  <c r="AD37" i="47"/>
  <c r="X37" i="47"/>
  <c r="S37" i="47"/>
  <c r="AX33" i="47"/>
  <c r="AN33" i="47"/>
  <c r="AD33" i="47"/>
  <c r="S33" i="47"/>
  <c r="BC32" i="47"/>
  <c r="BC36" i="47" s="1"/>
  <c r="AS32" i="47"/>
  <c r="AS36" i="47" s="1"/>
  <c r="AI32" i="47"/>
  <c r="AI36" i="47" s="1"/>
  <c r="X32" i="47"/>
  <c r="X36" i="47" s="1"/>
  <c r="BC31" i="47"/>
  <c r="AS31" i="47"/>
  <c r="AI31" i="47"/>
  <c r="X31" i="47"/>
  <c r="BC30" i="47"/>
  <c r="AX30" i="47"/>
  <c r="AS30" i="47"/>
  <c r="AN30" i="47"/>
  <c r="AI30" i="47"/>
  <c r="AD30" i="47"/>
  <c r="X30" i="47"/>
  <c r="S30" i="47"/>
  <c r="BC29" i="47"/>
  <c r="AS29" i="47"/>
  <c r="AI29" i="47"/>
  <c r="X29" i="47"/>
  <c r="Y15" i="86" l="1"/>
  <c r="G104" i="86" s="1"/>
  <c r="AE14" i="84"/>
  <c r="C157" i="84" s="1"/>
  <c r="BC25" i="81"/>
  <c r="BC203" i="84"/>
  <c r="C264" i="84"/>
  <c r="AO13" i="84"/>
  <c r="C205" i="84" s="1"/>
  <c r="W169" i="85"/>
  <c r="AY15" i="86"/>
  <c r="C256" i="86" s="1"/>
  <c r="AD24" i="86"/>
  <c r="AH162" i="86" s="1"/>
  <c r="W169" i="86"/>
  <c r="BB205" i="84"/>
  <c r="BB164" i="84"/>
  <c r="W161" i="84"/>
  <c r="W177" i="85"/>
  <c r="W184" i="85"/>
  <c r="W164" i="86"/>
  <c r="AY13" i="86"/>
  <c r="AX134" i="86" s="1"/>
  <c r="C263" i="81"/>
  <c r="P12" i="81" s="1"/>
  <c r="C280" i="81" s="1"/>
  <c r="AO15" i="83"/>
  <c r="C207" i="83" s="1"/>
  <c r="BC200" i="84"/>
  <c r="BC197" i="84"/>
  <c r="W166" i="84"/>
  <c r="BC159" i="84"/>
  <c r="BC174" i="84"/>
  <c r="BB172" i="84"/>
  <c r="BB166" i="84"/>
  <c r="BC198" i="84"/>
  <c r="BC204" i="84"/>
  <c r="BB171" i="84"/>
  <c r="BB195" i="84"/>
  <c r="BC171" i="84"/>
  <c r="BB159" i="84"/>
  <c r="BB185" i="84"/>
  <c r="BB193" i="84"/>
  <c r="BC161" i="84"/>
  <c r="W186" i="86"/>
  <c r="W161" i="86"/>
  <c r="W177" i="86"/>
  <c r="W204" i="86"/>
  <c r="AX24" i="81"/>
  <c r="BB169" i="81" s="1"/>
  <c r="W171" i="84"/>
  <c r="BC172" i="84"/>
  <c r="BB184" i="84"/>
  <c r="W191" i="86"/>
  <c r="W201" i="86"/>
  <c r="W165" i="86"/>
  <c r="BB165" i="86"/>
  <c r="BB174" i="86"/>
  <c r="BB168" i="86"/>
  <c r="BB162" i="86"/>
  <c r="BB196" i="86"/>
  <c r="BB203" i="86"/>
  <c r="BB184" i="86"/>
  <c r="BB166" i="86"/>
  <c r="BB171" i="86"/>
  <c r="BB202" i="86"/>
  <c r="BB189" i="86"/>
  <c r="BB172" i="86"/>
  <c r="BB195" i="86"/>
  <c r="BB159" i="86"/>
  <c r="BB185" i="86"/>
  <c r="BB164" i="86"/>
  <c r="BB187" i="86"/>
  <c r="BB177" i="86"/>
  <c r="BB167" i="86"/>
  <c r="BB178" i="86"/>
  <c r="BB160" i="86"/>
  <c r="BB169" i="86"/>
  <c r="BB205" i="86"/>
  <c r="BB190" i="86"/>
  <c r="BB173" i="86"/>
  <c r="BB176" i="86"/>
  <c r="BB197" i="86"/>
  <c r="BB170" i="86"/>
  <c r="BB192" i="86"/>
  <c r="BB175" i="86"/>
  <c r="BB200" i="86"/>
  <c r="AS203" i="81"/>
  <c r="AH178" i="86"/>
  <c r="AH165" i="86"/>
  <c r="AH192" i="86"/>
  <c r="AH197" i="86"/>
  <c r="AZ25" i="86"/>
  <c r="AX85" i="86" s="1"/>
  <c r="AP25" i="81"/>
  <c r="AN85" i="81" s="1"/>
  <c r="BC202" i="84"/>
  <c r="BC166" i="84"/>
  <c r="BC173" i="84"/>
  <c r="BB196" i="84"/>
  <c r="BC191" i="84"/>
  <c r="AH185" i="86"/>
  <c r="W185" i="83"/>
  <c r="BB186" i="84"/>
  <c r="BB178" i="84"/>
  <c r="BB191" i="84"/>
  <c r="BC189" i="84"/>
  <c r="BB160" i="84"/>
  <c r="AH189" i="86"/>
  <c r="AI25" i="86"/>
  <c r="AD48" i="86" s="1"/>
  <c r="AS34" i="81"/>
  <c r="BC187" i="84"/>
  <c r="BC186" i="84"/>
  <c r="BB167" i="84"/>
  <c r="BB162" i="84"/>
  <c r="BC195" i="84"/>
  <c r="BB179" i="84"/>
  <c r="BB203" i="84"/>
  <c r="BB176" i="84"/>
  <c r="BC196" i="84"/>
  <c r="W160" i="84"/>
  <c r="AE13" i="85"/>
  <c r="W200" i="84"/>
  <c r="BC185" i="84"/>
  <c r="W193" i="84"/>
  <c r="W173" i="84"/>
  <c r="BB165" i="84"/>
  <c r="BB199" i="84"/>
  <c r="BC201" i="84"/>
  <c r="AE15" i="85"/>
  <c r="AD29" i="85" s="1"/>
  <c r="BC161" i="86"/>
  <c r="AH184" i="86"/>
  <c r="BC169" i="84"/>
  <c r="BC194" i="84"/>
  <c r="BC205" i="84"/>
  <c r="BB200" i="84"/>
  <c r="BB173" i="84"/>
  <c r="BB175" i="84"/>
  <c r="BB170" i="84"/>
  <c r="BB163" i="84"/>
  <c r="X177" i="85"/>
  <c r="AH172" i="86"/>
  <c r="AF25" i="86"/>
  <c r="AD85" i="86" s="1"/>
  <c r="BB194" i="84"/>
  <c r="BC184" i="84"/>
  <c r="BC170" i="84"/>
  <c r="BC176" i="84"/>
  <c r="BC160" i="84"/>
  <c r="BB158" i="84"/>
  <c r="AE12" i="85"/>
  <c r="AJ15" i="85" s="1"/>
  <c r="G158" i="85" s="1"/>
  <c r="X167" i="85"/>
  <c r="AH142" i="84" a="1"/>
  <c r="AH142" i="84" s="1"/>
  <c r="C178" i="84" s="1"/>
  <c r="AH77" i="82" a="1"/>
  <c r="AH77" i="82" s="1"/>
  <c r="C172" i="82" s="1"/>
  <c r="AH142" i="85" a="1"/>
  <c r="AH142" i="85" s="1"/>
  <c r="S134" i="86"/>
  <c r="C101" i="86"/>
  <c r="W178" i="85"/>
  <c r="W201" i="85"/>
  <c r="AX22" i="24"/>
  <c r="BC25" i="24" s="1"/>
  <c r="AX48" i="24" s="1"/>
  <c r="W202" i="85"/>
  <c r="W158" i="85"/>
  <c r="W171" i="85"/>
  <c r="W165" i="85"/>
  <c r="W185" i="85"/>
  <c r="BB194" i="86"/>
  <c r="AH188" i="86"/>
  <c r="AH168" i="86"/>
  <c r="BB199" i="86"/>
  <c r="C263" i="86"/>
  <c r="P12" i="86" s="1"/>
  <c r="C280" i="86" s="1"/>
  <c r="BC25" i="86"/>
  <c r="BB202" i="81"/>
  <c r="BC164" i="84"/>
  <c r="BB174" i="84"/>
  <c r="BC162" i="84"/>
  <c r="BC188" i="84"/>
  <c r="BC165" i="84"/>
  <c r="BC158" i="84"/>
  <c r="W205" i="85"/>
  <c r="W204" i="85"/>
  <c r="W200" i="85"/>
  <c r="W172" i="85"/>
  <c r="BB163" i="86"/>
  <c r="BB201" i="86"/>
  <c r="C264" i="86"/>
  <c r="S24" i="48"/>
  <c r="AX48" i="86"/>
  <c r="W198" i="85"/>
  <c r="X186" i="85"/>
  <c r="W187" i="85"/>
  <c r="X190" i="85"/>
  <c r="AX48" i="81"/>
  <c r="W163" i="85"/>
  <c r="W179" i="83"/>
  <c r="W166" i="85"/>
  <c r="X162" i="85"/>
  <c r="W162" i="85"/>
  <c r="BB158" i="86"/>
  <c r="AH161" i="86"/>
  <c r="BB198" i="86"/>
  <c r="BB186" i="86"/>
  <c r="BB193" i="86"/>
  <c r="X25" i="24"/>
  <c r="S48" i="24" s="1"/>
  <c r="W202" i="84"/>
  <c r="BB187" i="84"/>
  <c r="BB188" i="84"/>
  <c r="BC167" i="84"/>
  <c r="X184" i="85"/>
  <c r="BB191" i="86"/>
  <c r="BB188" i="86"/>
  <c r="BB179" i="86"/>
  <c r="BB204" i="86"/>
  <c r="BC34" i="86"/>
  <c r="BB161" i="86"/>
  <c r="BC199" i="86"/>
  <c r="BC170" i="86"/>
  <c r="BC196" i="86"/>
  <c r="BC191" i="86"/>
  <c r="BC168" i="86"/>
  <c r="BC169" i="86"/>
  <c r="BC176" i="86"/>
  <c r="BC189" i="86"/>
  <c r="BC203" i="86"/>
  <c r="BC185" i="86"/>
  <c r="BC179" i="86"/>
  <c r="BC202" i="86"/>
  <c r="BC192" i="86"/>
  <c r="BC175" i="86"/>
  <c r="BC166" i="86"/>
  <c r="BC160" i="86"/>
  <c r="BC190" i="86"/>
  <c r="BC204" i="86"/>
  <c r="BC173" i="86"/>
  <c r="BC163" i="86"/>
  <c r="BC167" i="86"/>
  <c r="BC164" i="86"/>
  <c r="BC198" i="86"/>
  <c r="BC188" i="86"/>
  <c r="BC158" i="86"/>
  <c r="BC193" i="86"/>
  <c r="BC184" i="86"/>
  <c r="BC159" i="86"/>
  <c r="BC174" i="86"/>
  <c r="BC200" i="86"/>
  <c r="BC186" i="86"/>
  <c r="BC177" i="86"/>
  <c r="BC178" i="86"/>
  <c r="BC171" i="86"/>
  <c r="BC172" i="86"/>
  <c r="BC165" i="86"/>
  <c r="AR150" i="86" a="1"/>
  <c r="AR150" i="86" s="1"/>
  <c r="C229" i="86" s="1"/>
  <c r="AD134" i="86"/>
  <c r="AJ15" i="86"/>
  <c r="G158" i="86" s="1"/>
  <c r="AH150" i="86" a="1"/>
  <c r="AH150" i="86" s="1"/>
  <c r="C180" i="86" s="1"/>
  <c r="C207" i="86"/>
  <c r="AN29" i="86"/>
  <c r="AO11" i="86"/>
  <c r="C203" i="86" s="1"/>
  <c r="AO12" i="84"/>
  <c r="C204" i="84" s="1"/>
  <c r="AE12" i="84"/>
  <c r="C155" i="84" s="1"/>
  <c r="AO168" i="86"/>
  <c r="AO162" i="86"/>
  <c r="AO179" i="86"/>
  <c r="AO165" i="86"/>
  <c r="AH142" i="86" a="1"/>
  <c r="AH142" i="86" s="1"/>
  <c r="BB142" i="86" a="1"/>
  <c r="BB142" i="86" s="1"/>
  <c r="AO14" i="84"/>
  <c r="C206" i="84" s="1"/>
  <c r="T13" i="83"/>
  <c r="S134" i="83" s="1"/>
  <c r="C214" i="86"/>
  <c r="P11" i="86" s="1"/>
  <c r="C231" i="86" s="1"/>
  <c r="AS25" i="86"/>
  <c r="AN48" i="86" s="1"/>
  <c r="AN24" i="86"/>
  <c r="AP25" i="86"/>
  <c r="C104" i="86"/>
  <c r="Y17" i="86"/>
  <c r="G106" i="86" s="1"/>
  <c r="T11" i="86"/>
  <c r="C100" i="86" s="1"/>
  <c r="S29" i="86"/>
  <c r="AE20" i="86"/>
  <c r="AJ14" i="86" s="1"/>
  <c r="C205" i="86"/>
  <c r="AS34" i="86"/>
  <c r="AS38" i="86"/>
  <c r="G254" i="86"/>
  <c r="AX86" i="86"/>
  <c r="AO199" i="86"/>
  <c r="AO189" i="86"/>
  <c r="AO184" i="86"/>
  <c r="AO185" i="86"/>
  <c r="AO178" i="86"/>
  <c r="AO170" i="86"/>
  <c r="W77" i="86" a="1"/>
  <c r="W77" i="86" s="1"/>
  <c r="C118" i="86" s="1"/>
  <c r="T12" i="83"/>
  <c r="Y15" i="83" s="1"/>
  <c r="G104" i="83" s="1"/>
  <c r="W158" i="84"/>
  <c r="X199" i="85"/>
  <c r="W191" i="85"/>
  <c r="W170" i="85"/>
  <c r="W161" i="85"/>
  <c r="BC201" i="86"/>
  <c r="W150" i="86" a="1"/>
  <c r="W150" i="86" s="1"/>
  <c r="C126" i="86" s="1"/>
  <c r="BC197" i="86"/>
  <c r="AO177" i="86"/>
  <c r="BC194" i="86"/>
  <c r="AO160" i="86"/>
  <c r="AO167" i="86"/>
  <c r="AH204" i="86"/>
  <c r="BC205" i="86"/>
  <c r="AO187" i="86"/>
  <c r="AH77" i="86" a="1"/>
  <c r="AH77" i="86" s="1"/>
  <c r="C172" i="86" s="1"/>
  <c r="T15" i="83"/>
  <c r="S29" i="83" s="1"/>
  <c r="W186" i="85"/>
  <c r="X176" i="85"/>
  <c r="X164" i="85"/>
  <c r="W174" i="85"/>
  <c r="AI34" i="86"/>
  <c r="AI38" i="86"/>
  <c r="AI189" i="86" s="1"/>
  <c r="C158" i="86"/>
  <c r="AE11" i="86"/>
  <c r="C154" i="86" s="1"/>
  <c r="AD29" i="86"/>
  <c r="AJ17" i="86"/>
  <c r="G160" i="86" s="1"/>
  <c r="C166" i="86"/>
  <c r="AH173" i="86"/>
  <c r="AO198" i="86"/>
  <c r="AO161" i="86"/>
  <c r="AO186" i="86"/>
  <c r="AR77" i="86" a="1"/>
  <c r="AR77" i="86" s="1"/>
  <c r="C221" i="86" s="1"/>
  <c r="AO190" i="86"/>
  <c r="AH160" i="86"/>
  <c r="BB77" i="86" a="1"/>
  <c r="BB77" i="86" s="1"/>
  <c r="C270" i="86" s="1"/>
  <c r="C254" i="86"/>
  <c r="AE15" i="84"/>
  <c r="C158" i="84" s="1"/>
  <c r="AO197" i="86"/>
  <c r="X189" i="83"/>
  <c r="X179" i="83"/>
  <c r="W170" i="83"/>
  <c r="X196" i="85"/>
  <c r="W175" i="85"/>
  <c r="W176" i="85"/>
  <c r="AH191" i="86"/>
  <c r="BC162" i="86"/>
  <c r="BC195" i="86"/>
  <c r="BC187" i="86"/>
  <c r="AO163" i="86"/>
  <c r="X38" i="86"/>
  <c r="X34" i="86"/>
  <c r="AH179" i="86"/>
  <c r="AH193" i="86"/>
  <c r="T20" i="86"/>
  <c r="AO205" i="86"/>
  <c r="W190" i="85"/>
  <c r="W173" i="85"/>
  <c r="W195" i="85"/>
  <c r="W160" i="85"/>
  <c r="BB150" i="86" a="1"/>
  <c r="BB150" i="86" s="1"/>
  <c r="C278" i="86" s="1"/>
  <c r="C156" i="86"/>
  <c r="AY11" i="86"/>
  <c r="C252" i="86" s="1"/>
  <c r="AO201" i="86"/>
  <c r="AO192" i="86"/>
  <c r="T12" i="84"/>
  <c r="AO204" i="86"/>
  <c r="AO176" i="86"/>
  <c r="AO159" i="86"/>
  <c r="AO200" i="86"/>
  <c r="AO195" i="86"/>
  <c r="C102" i="86"/>
  <c r="AO158" i="86"/>
  <c r="AO169" i="86"/>
  <c r="AO193" i="86"/>
  <c r="AO172" i="86"/>
  <c r="AO174" i="86"/>
  <c r="AY20" i="86"/>
  <c r="BD15" i="86"/>
  <c r="G256" i="86" s="1"/>
  <c r="C253" i="86"/>
  <c r="AO175" i="86"/>
  <c r="W142" i="86" a="1"/>
  <c r="W142" i="86" s="1"/>
  <c r="C204" i="86"/>
  <c r="AT15" i="86"/>
  <c r="G207" i="86" s="1"/>
  <c r="AO20" i="86"/>
  <c r="AT11" i="86" s="1"/>
  <c r="AN134" i="86"/>
  <c r="G205" i="85"/>
  <c r="AN86" i="85"/>
  <c r="X198" i="85"/>
  <c r="X188" i="85"/>
  <c r="X165" i="85"/>
  <c r="X169" i="85"/>
  <c r="X193" i="85"/>
  <c r="X192" i="85"/>
  <c r="X178" i="85"/>
  <c r="X174" i="85"/>
  <c r="X194" i="85"/>
  <c r="X200" i="85"/>
  <c r="X187" i="85"/>
  <c r="X201" i="85"/>
  <c r="X179" i="85"/>
  <c r="X203" i="85"/>
  <c r="X195" i="85"/>
  <c r="X161" i="85"/>
  <c r="X202" i="85"/>
  <c r="X173" i="85"/>
  <c r="X158" i="85"/>
  <c r="W166" i="81"/>
  <c r="W203" i="81"/>
  <c r="C178" i="85"/>
  <c r="G102" i="85"/>
  <c r="S86" i="85"/>
  <c r="W169" i="83"/>
  <c r="X167" i="83"/>
  <c r="W167" i="83"/>
  <c r="X193" i="83"/>
  <c r="AH150" i="85" a="1"/>
  <c r="AH150" i="85" s="1"/>
  <c r="C180" i="85" s="1"/>
  <c r="AS34" i="85"/>
  <c r="AS38" i="85"/>
  <c r="AR193" i="81"/>
  <c r="AO15" i="82"/>
  <c r="C207" i="82" s="1"/>
  <c r="W194" i="83"/>
  <c r="X205" i="83"/>
  <c r="X178" i="83"/>
  <c r="S85" i="85"/>
  <c r="W150" i="85" a="1"/>
  <c r="W150" i="85" s="1"/>
  <c r="C126" i="85" s="1"/>
  <c r="AS197" i="81"/>
  <c r="AY13" i="82"/>
  <c r="C254" i="82" s="1"/>
  <c r="AY14" i="82"/>
  <c r="C255" i="82" s="1"/>
  <c r="X186" i="83"/>
  <c r="X176" i="83"/>
  <c r="X205" i="84"/>
  <c r="W165" i="84"/>
  <c r="X197" i="84"/>
  <c r="X204" i="84"/>
  <c r="W196" i="85"/>
  <c r="W142" i="85" a="1"/>
  <c r="W142" i="85" s="1"/>
  <c r="W203" i="85"/>
  <c r="W192" i="85"/>
  <c r="X175" i="85"/>
  <c r="W193" i="85"/>
  <c r="X159" i="85"/>
  <c r="AO11" i="85"/>
  <c r="C203" i="85" s="1"/>
  <c r="AH77" i="85" a="1"/>
  <c r="AH77" i="85" s="1"/>
  <c r="C172" i="85" s="1"/>
  <c r="C102" i="85"/>
  <c r="AD24" i="85"/>
  <c r="AI25" i="85"/>
  <c r="AD48" i="85" s="1"/>
  <c r="AF25" i="85"/>
  <c r="C165" i="85"/>
  <c r="P10" i="85" s="1"/>
  <c r="C182" i="85" s="1"/>
  <c r="C254" i="85"/>
  <c r="C204" i="85"/>
  <c r="AN134" i="85"/>
  <c r="AO20" i="85"/>
  <c r="AT14" i="85" s="1"/>
  <c r="AT15" i="85"/>
  <c r="G207" i="85" s="1"/>
  <c r="BB77" i="85" a="1"/>
  <c r="BB77" i="85" s="1"/>
  <c r="C270" i="85" s="1"/>
  <c r="AX86" i="85"/>
  <c r="G254" i="85"/>
  <c r="C205" i="85"/>
  <c r="AY15" i="85"/>
  <c r="AY14" i="85"/>
  <c r="C255" i="85" s="1"/>
  <c r="X202" i="83"/>
  <c r="X175" i="83"/>
  <c r="W198" i="84"/>
  <c r="W189" i="83"/>
  <c r="X194" i="83"/>
  <c r="W164" i="84"/>
  <c r="W195" i="84"/>
  <c r="W179" i="84"/>
  <c r="X205" i="85"/>
  <c r="X160" i="85"/>
  <c r="AR142" i="85" a="1"/>
  <c r="AR142" i="85" s="1"/>
  <c r="C263" i="85"/>
  <c r="P12" i="85" s="1"/>
  <c r="C280" i="85" s="1"/>
  <c r="BC25" i="85"/>
  <c r="AX48" i="85" s="1"/>
  <c r="AZ25" i="85"/>
  <c r="AX24" i="85"/>
  <c r="C214" i="85"/>
  <c r="P11" i="85" s="1"/>
  <c r="C231" i="85" s="1"/>
  <c r="AP25" i="85"/>
  <c r="AN24" i="85"/>
  <c r="AS25" i="85"/>
  <c r="AN48" i="85" s="1"/>
  <c r="AR77" i="85" a="1"/>
  <c r="AR77" i="85" s="1"/>
  <c r="C221" i="85" s="1"/>
  <c r="X163" i="85"/>
  <c r="AN29" i="85"/>
  <c r="W159" i="85"/>
  <c r="W194" i="85"/>
  <c r="AS162" i="81"/>
  <c r="X188" i="83"/>
  <c r="W197" i="83"/>
  <c r="X158" i="83"/>
  <c r="W201" i="84"/>
  <c r="W199" i="84"/>
  <c r="X196" i="84"/>
  <c r="W197" i="85"/>
  <c r="S48" i="85"/>
  <c r="X204" i="85"/>
  <c r="BB150" i="85" a="1"/>
  <c r="BB150" i="85" s="1"/>
  <c r="C278" i="85" s="1"/>
  <c r="W200" i="83"/>
  <c r="T15" i="85"/>
  <c r="T12" i="85"/>
  <c r="T14" i="85"/>
  <c r="C103" i="85" s="1"/>
  <c r="W160" i="83"/>
  <c r="X203" i="83"/>
  <c r="BB173" i="81"/>
  <c r="X199" i="83"/>
  <c r="W201" i="83"/>
  <c r="X159" i="83"/>
  <c r="X198" i="83"/>
  <c r="X189" i="85"/>
  <c r="X185" i="85"/>
  <c r="X197" i="85"/>
  <c r="X191" i="85"/>
  <c r="W199" i="85"/>
  <c r="C112" i="85"/>
  <c r="X170" i="85"/>
  <c r="W188" i="85"/>
  <c r="X168" i="85"/>
  <c r="W168" i="85"/>
  <c r="W164" i="85"/>
  <c r="X166" i="85"/>
  <c r="W179" i="85"/>
  <c r="X171" i="85"/>
  <c r="BC38" i="85"/>
  <c r="BC34" i="85"/>
  <c r="AI34" i="85"/>
  <c r="BB142" i="85" a="1"/>
  <c r="BB142" i="85" s="1"/>
  <c r="AR150" i="85" a="1"/>
  <c r="AR150" i="85" s="1"/>
  <c r="C229" i="85" s="1"/>
  <c r="W192" i="83"/>
  <c r="W168" i="84"/>
  <c r="W162" i="83"/>
  <c r="X187" i="83"/>
  <c r="W205" i="84"/>
  <c r="W77" i="85" a="1"/>
  <c r="W77" i="85" s="1"/>
  <c r="C118" i="85" s="1"/>
  <c r="AY12" i="85"/>
  <c r="G156" i="85"/>
  <c r="AD86" i="85"/>
  <c r="X172" i="85"/>
  <c r="X201" i="84"/>
  <c r="X198" i="84"/>
  <c r="X175" i="84"/>
  <c r="X200" i="84"/>
  <c r="X168" i="84"/>
  <c r="X174" i="84"/>
  <c r="X172" i="84"/>
  <c r="X195" i="84"/>
  <c r="X177" i="84"/>
  <c r="X193" i="84"/>
  <c r="X191" i="84"/>
  <c r="X179" i="84"/>
  <c r="AH150" i="84" a="1"/>
  <c r="AH150" i="84" s="1"/>
  <c r="C180" i="84" s="1"/>
  <c r="X176" i="84"/>
  <c r="X188" i="84"/>
  <c r="AI38" i="84"/>
  <c r="AI34" i="84"/>
  <c r="AE14" i="82"/>
  <c r="C157" i="82" s="1"/>
  <c r="AE12" i="82"/>
  <c r="C155" i="82" s="1"/>
  <c r="AE13" i="82"/>
  <c r="C156" i="82" s="1"/>
  <c r="AO14" i="83"/>
  <c r="C206" i="83" s="1"/>
  <c r="AO13" i="83"/>
  <c r="AN134" i="83" s="1"/>
  <c r="C207" i="84"/>
  <c r="X164" i="84"/>
  <c r="S85" i="84"/>
  <c r="BB77" i="84" a="1"/>
  <c r="BB77" i="84" s="1"/>
  <c r="C270" i="84" s="1"/>
  <c r="AX85" i="84"/>
  <c r="AD86" i="84"/>
  <c r="G156" i="84"/>
  <c r="W142" i="84" a="1"/>
  <c r="W142" i="84" s="1"/>
  <c r="C102" i="84"/>
  <c r="AR150" i="84" a="1"/>
  <c r="AR150" i="84" s="1"/>
  <c r="C229" i="84" s="1"/>
  <c r="X163" i="84"/>
  <c r="X194" i="84"/>
  <c r="X192" i="84"/>
  <c r="AF25" i="84"/>
  <c r="AI25" i="84"/>
  <c r="AD48" i="84" s="1"/>
  <c r="C165" i="84"/>
  <c r="P10" i="84" s="1"/>
  <c r="C182" i="84" s="1"/>
  <c r="AD24" i="84"/>
  <c r="W77" i="84" a="1"/>
  <c r="W77" i="84" s="1"/>
  <c r="C118" i="84" s="1"/>
  <c r="T15" i="84"/>
  <c r="T14" i="84"/>
  <c r="C103" i="84" s="1"/>
  <c r="W178" i="84"/>
  <c r="X171" i="84"/>
  <c r="W150" i="84" a="1"/>
  <c r="W150" i="84" s="1"/>
  <c r="C126" i="84" s="1"/>
  <c r="C156" i="84"/>
  <c r="AH77" i="84" a="1"/>
  <c r="AH77" i="84" s="1"/>
  <c r="C172" i="84" s="1"/>
  <c r="X170" i="84"/>
  <c r="AY8" i="1"/>
  <c r="AP25" i="84"/>
  <c r="AN24" i="84"/>
  <c r="AS25" i="84"/>
  <c r="AN48" i="84" s="1"/>
  <c r="C214" i="84"/>
  <c r="P11" i="84" s="1"/>
  <c r="C231" i="84" s="1"/>
  <c r="X158" i="84"/>
  <c r="W162" i="84"/>
  <c r="AR77" i="84" a="1"/>
  <c r="AR77" i="84" s="1"/>
  <c r="C221" i="84" s="1"/>
  <c r="X167" i="84"/>
  <c r="W204" i="84"/>
  <c r="C101" i="84"/>
  <c r="S134" i="84"/>
  <c r="AR142" i="84" a="1"/>
  <c r="AR142" i="84" s="1"/>
  <c r="X203" i="84"/>
  <c r="W177" i="84"/>
  <c r="C112" i="84"/>
  <c r="X199" i="84"/>
  <c r="W197" i="84"/>
  <c r="W167" i="84"/>
  <c r="W187" i="84"/>
  <c r="W185" i="84"/>
  <c r="W172" i="84"/>
  <c r="X162" i="84"/>
  <c r="X184" i="84"/>
  <c r="X190" i="84"/>
  <c r="W184" i="84"/>
  <c r="X185" i="84"/>
  <c r="X187" i="84"/>
  <c r="W188" i="84"/>
  <c r="X173" i="84"/>
  <c r="W169" i="84"/>
  <c r="X159" i="84"/>
  <c r="W163" i="84"/>
  <c r="BB150" i="84" a="1"/>
  <c r="BB150" i="84" s="1"/>
  <c r="C278" i="84" s="1"/>
  <c r="W192" i="84"/>
  <c r="AY13" i="84"/>
  <c r="AY12" i="84"/>
  <c r="AY14" i="84"/>
  <c r="C255" i="84" s="1"/>
  <c r="BB142" i="84" a="1"/>
  <c r="BB142" i="84" s="1"/>
  <c r="W196" i="84"/>
  <c r="W191" i="84"/>
  <c r="X189" i="84"/>
  <c r="X178" i="84"/>
  <c r="X161" i="84"/>
  <c r="C256" i="84"/>
  <c r="AS185" i="81"/>
  <c r="X202" i="84"/>
  <c r="W174" i="84"/>
  <c r="X186" i="84"/>
  <c r="W170" i="84"/>
  <c r="X165" i="84"/>
  <c r="W190" i="84"/>
  <c r="W175" i="84"/>
  <c r="W159" i="84"/>
  <c r="X160" i="84"/>
  <c r="X169" i="84"/>
  <c r="X166" i="84"/>
  <c r="BB150" i="83" a="1"/>
  <c r="BB150" i="83" s="1"/>
  <c r="C278" i="83" s="1"/>
  <c r="AR150" i="83" a="1"/>
  <c r="AR150" i="83" s="1"/>
  <c r="C229" i="83" s="1"/>
  <c r="AH150" i="83" a="1"/>
  <c r="AH150" i="83" s="1"/>
  <c r="C180" i="83" s="1"/>
  <c r="S48" i="83"/>
  <c r="W191" i="82"/>
  <c r="W196" i="82"/>
  <c r="W201" i="82"/>
  <c r="W166" i="82"/>
  <c r="W190" i="82"/>
  <c r="W200" i="82"/>
  <c r="W173" i="82"/>
  <c r="W195" i="82"/>
  <c r="W179" i="82"/>
  <c r="W176" i="82"/>
  <c r="W188" i="82"/>
  <c r="W192" i="82"/>
  <c r="W197" i="82"/>
  <c r="W189" i="82"/>
  <c r="W198" i="82"/>
  <c r="W159" i="82"/>
  <c r="W164" i="82"/>
  <c r="W172" i="82"/>
  <c r="W186" i="82"/>
  <c r="W158" i="82"/>
  <c r="W168" i="82"/>
  <c r="W205" i="82"/>
  <c r="W162" i="82"/>
  <c r="W160" i="82"/>
  <c r="W194" i="82"/>
  <c r="W203" i="82"/>
  <c r="W171" i="82"/>
  <c r="W161" i="82"/>
  <c r="W185" i="82"/>
  <c r="W204" i="82"/>
  <c r="W165" i="82"/>
  <c r="W199" i="82"/>
  <c r="W167" i="82"/>
  <c r="W184" i="82"/>
  <c r="W187" i="82"/>
  <c r="W170" i="82"/>
  <c r="C112" i="82"/>
  <c r="W175" i="82"/>
  <c r="W178" i="82"/>
  <c r="W169" i="82"/>
  <c r="W163" i="82"/>
  <c r="W174" i="82"/>
  <c r="W202" i="82"/>
  <c r="T13" i="81"/>
  <c r="C102" i="81" s="1"/>
  <c r="T12" i="81"/>
  <c r="AY15" i="81"/>
  <c r="AX29" i="81" s="1"/>
  <c r="AY13" i="81"/>
  <c r="AY12" i="81"/>
  <c r="AY20" i="81" s="1"/>
  <c r="W177" i="82"/>
  <c r="AE13" i="83"/>
  <c r="AE15" i="83"/>
  <c r="AE12" i="83"/>
  <c r="AE14" i="83"/>
  <c r="C157" i="83" s="1"/>
  <c r="AH142" i="83" a="1"/>
  <c r="AH142" i="83" s="1"/>
  <c r="AN86" i="83"/>
  <c r="G205" i="83"/>
  <c r="BB142" i="83" a="1"/>
  <c r="BB142" i="83" s="1"/>
  <c r="C204" i="83"/>
  <c r="AT15" i="83"/>
  <c r="G207" i="83" s="1"/>
  <c r="AX24" i="83"/>
  <c r="BC25" i="83"/>
  <c r="AX48" i="83" s="1"/>
  <c r="AZ25" i="83"/>
  <c r="C263" i="83"/>
  <c r="P12" i="83" s="1"/>
  <c r="C280" i="83" s="1"/>
  <c r="AO13" i="82"/>
  <c r="C205" i="82" s="1"/>
  <c r="S85" i="83"/>
  <c r="AS174" i="81"/>
  <c r="AS190" i="81"/>
  <c r="W193" i="83"/>
  <c r="X177" i="83"/>
  <c r="X168" i="83"/>
  <c r="X201" i="83"/>
  <c r="W187" i="83"/>
  <c r="X170" i="83"/>
  <c r="X169" i="83"/>
  <c r="C112" i="83"/>
  <c r="X185" i="83"/>
  <c r="W163" i="83"/>
  <c r="W199" i="83"/>
  <c r="W173" i="83"/>
  <c r="W176" i="83"/>
  <c r="X165" i="83"/>
  <c r="X162" i="83"/>
  <c r="X192" i="83"/>
  <c r="W165" i="83"/>
  <c r="W186" i="83"/>
  <c r="X173" i="83"/>
  <c r="AR205" i="81"/>
  <c r="AR170" i="81"/>
  <c r="AS175" i="81"/>
  <c r="X197" i="83"/>
  <c r="W196" i="83"/>
  <c r="W188" i="83"/>
  <c r="W190" i="83"/>
  <c r="AN24" i="83"/>
  <c r="C214" i="83"/>
  <c r="P11" i="83" s="1"/>
  <c r="C231" i="83" s="1"/>
  <c r="AS25" i="83"/>
  <c r="AN48" i="83" s="1"/>
  <c r="AP25" i="83"/>
  <c r="BB174" i="81"/>
  <c r="AS165" i="81"/>
  <c r="T12" i="82"/>
  <c r="T20" i="82" s="1"/>
  <c r="W204" i="83"/>
  <c r="W184" i="83"/>
  <c r="W177" i="83"/>
  <c r="W202" i="83"/>
  <c r="W158" i="83"/>
  <c r="W198" i="83"/>
  <c r="AF25" i="83"/>
  <c r="C165" i="83"/>
  <c r="P10" i="83" s="1"/>
  <c r="C182" i="83" s="1"/>
  <c r="AD24" i="83"/>
  <c r="AI25" i="83"/>
  <c r="AD48" i="83" s="1"/>
  <c r="W195" i="83"/>
  <c r="W203" i="83"/>
  <c r="AS187" i="81"/>
  <c r="AS164" i="81"/>
  <c r="AS172" i="81"/>
  <c r="AS201" i="81"/>
  <c r="AR172" i="81"/>
  <c r="AR158" i="81"/>
  <c r="AR199" i="81"/>
  <c r="X196" i="83"/>
  <c r="W205" i="83"/>
  <c r="X200" i="83"/>
  <c r="W178" i="83"/>
  <c r="W175" i="83"/>
  <c r="X166" i="83"/>
  <c r="W174" i="83"/>
  <c r="AY15" i="83"/>
  <c r="AY13" i="83"/>
  <c r="AY12" i="83"/>
  <c r="AI34" i="83"/>
  <c r="AI38" i="83"/>
  <c r="BC38" i="83"/>
  <c r="BC34" i="83"/>
  <c r="T15" i="82"/>
  <c r="BB77" i="83" a="1"/>
  <c r="BB77" i="83" s="1"/>
  <c r="C270" i="83" s="1"/>
  <c r="T13" i="82"/>
  <c r="BB205" i="81"/>
  <c r="AR195" i="81"/>
  <c r="AR187" i="81"/>
  <c r="AR162" i="81"/>
  <c r="BB166" i="81"/>
  <c r="AR160" i="81"/>
  <c r="AO14" i="82"/>
  <c r="C206" i="82" s="1"/>
  <c r="X174" i="83"/>
  <c r="W191" i="83"/>
  <c r="W168" i="83"/>
  <c r="X163" i="83"/>
  <c r="AR142" i="83" a="1"/>
  <c r="AR142" i="83" s="1"/>
  <c r="W77" i="83" a="1"/>
  <c r="W77" i="83" s="1"/>
  <c r="C118" i="83" s="1"/>
  <c r="X160" i="83"/>
  <c r="X171" i="83"/>
  <c r="AS34" i="83"/>
  <c r="AR200" i="81"/>
  <c r="AH77" i="83" a="1"/>
  <c r="AH77" i="83" s="1"/>
  <c r="C172" i="83" s="1"/>
  <c r="AR77" i="83" a="1"/>
  <c r="AR77" i="83" s="1"/>
  <c r="C221" i="83" s="1"/>
  <c r="AR165" i="81"/>
  <c r="AY15" i="82"/>
  <c r="C256" i="82" s="1"/>
  <c r="BB178" i="81"/>
  <c r="AR194" i="81"/>
  <c r="AS161" i="81"/>
  <c r="AR192" i="81"/>
  <c r="AS195" i="81"/>
  <c r="W161" i="83"/>
  <c r="X164" i="83"/>
  <c r="W164" i="83"/>
  <c r="X190" i="83"/>
  <c r="S86" i="83"/>
  <c r="G102" i="83"/>
  <c r="X204" i="83"/>
  <c r="X184" i="83"/>
  <c r="BB176" i="81"/>
  <c r="AS191" i="81"/>
  <c r="AY8" i="49"/>
  <c r="AY9" i="49" s="1"/>
  <c r="AR203" i="81"/>
  <c r="AR176" i="81"/>
  <c r="AS166" i="81"/>
  <c r="X161" i="83"/>
  <c r="X191" i="83"/>
  <c r="X172" i="83"/>
  <c r="AY14" i="83"/>
  <c r="C255" i="83" s="1"/>
  <c r="W159" i="83"/>
  <c r="W166" i="83"/>
  <c r="W142" i="83" a="1"/>
  <c r="W142" i="83" s="1"/>
  <c r="W150" i="83" a="1"/>
  <c r="W150" i="83" s="1"/>
  <c r="C126" i="83" s="1"/>
  <c r="W171" i="83"/>
  <c r="W172" i="83"/>
  <c r="AR150" i="82" a="1"/>
  <c r="AR150" i="82" s="1"/>
  <c r="C229" i="82" s="1"/>
  <c r="S48" i="82"/>
  <c r="W150" i="82" a="1"/>
  <c r="W150" i="82" s="1"/>
  <c r="C126" i="82" s="1"/>
  <c r="BB150" i="82" a="1"/>
  <c r="BB150" i="82" s="1"/>
  <c r="C278" i="82" s="1"/>
  <c r="W142" i="82" a="1"/>
  <c r="W142" i="82" s="1"/>
  <c r="W77" i="82" a="1"/>
  <c r="W77" i="82" s="1"/>
  <c r="C118" i="82" s="1"/>
  <c r="AH142" i="82" a="1"/>
  <c r="AH142" i="82" s="1"/>
  <c r="AS34" i="82"/>
  <c r="AS38" i="82"/>
  <c r="T8" i="48"/>
  <c r="AS200" i="81"/>
  <c r="AR173" i="81"/>
  <c r="AR161" i="81"/>
  <c r="AS171" i="81"/>
  <c r="AR184" i="81"/>
  <c r="BB77" i="82" a="1"/>
  <c r="BB77" i="82" s="1"/>
  <c r="C270" i="82" s="1"/>
  <c r="C263" i="82"/>
  <c r="P12" i="82" s="1"/>
  <c r="C280" i="82" s="1"/>
  <c r="AX24" i="82"/>
  <c r="BC25" i="82"/>
  <c r="AX48" i="82" s="1"/>
  <c r="AZ25" i="82"/>
  <c r="AE15" i="82"/>
  <c r="X34" i="82"/>
  <c r="X38" i="82"/>
  <c r="AH150" i="82" a="1"/>
  <c r="AH150" i="82" s="1"/>
  <c r="C180" i="82" s="1"/>
  <c r="AO8" i="50"/>
  <c r="AO9" i="50" s="1"/>
  <c r="AS168" i="81"/>
  <c r="AR196" i="81"/>
  <c r="AR175" i="81"/>
  <c r="AD86" i="82"/>
  <c r="G156" i="82"/>
  <c r="G102" i="82"/>
  <c r="S86" i="82"/>
  <c r="BB142" i="82" a="1"/>
  <c r="BB142" i="82" s="1"/>
  <c r="C214" i="82"/>
  <c r="P11" i="82" s="1"/>
  <c r="C231" i="82" s="1"/>
  <c r="AS25" i="82"/>
  <c r="AN48" i="82" s="1"/>
  <c r="AP25" i="82"/>
  <c r="AN24" i="82"/>
  <c r="AE8" i="48"/>
  <c r="AR191" i="81"/>
  <c r="AR204" i="81"/>
  <c r="AS158" i="81"/>
  <c r="C204" i="82"/>
  <c r="AR142" i="82" a="1"/>
  <c r="AR142" i="82" s="1"/>
  <c r="AR77" i="82" a="1"/>
  <c r="AR77" i="82" s="1"/>
  <c r="C221" i="82" s="1"/>
  <c r="C165" i="82"/>
  <c r="P10" i="82" s="1"/>
  <c r="C182" i="82" s="1"/>
  <c r="AF25" i="82"/>
  <c r="AD24" i="82"/>
  <c r="AI25" i="82"/>
  <c r="AD48" i="82" s="1"/>
  <c r="S85" i="82"/>
  <c r="AO8" i="24"/>
  <c r="BC34" i="82"/>
  <c r="BC38" i="82"/>
  <c r="C253" i="82"/>
  <c r="AR150" i="81" a="1"/>
  <c r="AR150" i="81" s="1"/>
  <c r="C229" i="81" s="1"/>
  <c r="W178" i="81"/>
  <c r="W174" i="81"/>
  <c r="W202" i="81"/>
  <c r="W159" i="81"/>
  <c r="C112" i="81"/>
  <c r="W193" i="81"/>
  <c r="W173" i="81"/>
  <c r="W189" i="81"/>
  <c r="W200" i="81"/>
  <c r="W172" i="81"/>
  <c r="W179" i="81"/>
  <c r="W191" i="81"/>
  <c r="W160" i="81"/>
  <c r="W163" i="81"/>
  <c r="W175" i="81"/>
  <c r="W198" i="81"/>
  <c r="W197" i="81"/>
  <c r="W185" i="81"/>
  <c r="W192" i="81"/>
  <c r="W190" i="81"/>
  <c r="W165" i="81"/>
  <c r="W201" i="81"/>
  <c r="W204" i="81"/>
  <c r="W168" i="81"/>
  <c r="W167" i="81"/>
  <c r="W170" i="81"/>
  <c r="W176" i="81"/>
  <c r="W171" i="81"/>
  <c r="W162" i="81"/>
  <c r="W194" i="81"/>
  <c r="W184" i="81"/>
  <c r="W187" i="81"/>
  <c r="W199" i="81"/>
  <c r="W196" i="81"/>
  <c r="W161" i="81"/>
  <c r="W186" i="81"/>
  <c r="W195" i="81"/>
  <c r="W158" i="81"/>
  <c r="W188" i="81"/>
  <c r="W177" i="81"/>
  <c r="W205" i="81"/>
  <c r="W169" i="81"/>
  <c r="W142" i="81" a="1"/>
  <c r="W142" i="81" s="1"/>
  <c r="W164" i="81"/>
  <c r="C156" i="81"/>
  <c r="AR142" i="81" a="1"/>
  <c r="AR142" i="81" s="1"/>
  <c r="AH150" i="81" a="1"/>
  <c r="AH150" i="81" s="1"/>
  <c r="C180" i="81" s="1"/>
  <c r="W150" i="81" a="1"/>
  <c r="W150" i="81" s="1"/>
  <c r="C126" i="81" s="1"/>
  <c r="W77" i="81" a="1"/>
  <c r="W77" i="81" s="1"/>
  <c r="C118" i="81" s="1"/>
  <c r="BB163" i="81"/>
  <c r="BB158" i="81"/>
  <c r="BB150" i="81" a="1"/>
  <c r="BB150" i="81" s="1"/>
  <c r="C278" i="81" s="1"/>
  <c r="AR77" i="81" a="1"/>
  <c r="AR77" i="81" s="1"/>
  <c r="C221" i="81" s="1"/>
  <c r="BB193" i="81"/>
  <c r="T14" i="81"/>
  <c r="C103" i="81" s="1"/>
  <c r="T15" i="81"/>
  <c r="BB188" i="81"/>
  <c r="BB184" i="81"/>
  <c r="BB197" i="81"/>
  <c r="BB160" i="81"/>
  <c r="AH142" i="81" a="1"/>
  <c r="AH142" i="81" s="1"/>
  <c r="AH77" i="81" a="1"/>
  <c r="AH77" i="81" s="1"/>
  <c r="C172" i="81" s="1"/>
  <c r="C215" i="81"/>
  <c r="AR178" i="81"/>
  <c r="AR159" i="81"/>
  <c r="AS186" i="81"/>
  <c r="AR179" i="81"/>
  <c r="AS205" i="81"/>
  <c r="AS204" i="81"/>
  <c r="AR197" i="81"/>
  <c r="AS196" i="81"/>
  <c r="AS193" i="81"/>
  <c r="AS189" i="81"/>
  <c r="AR171" i="81"/>
  <c r="AR185" i="81"/>
  <c r="AS179" i="81"/>
  <c r="AS170" i="81"/>
  <c r="AS198" i="81"/>
  <c r="AR201" i="81"/>
  <c r="S86" i="81"/>
  <c r="G102" i="81"/>
  <c r="S48" i="81"/>
  <c r="BB204" i="81"/>
  <c r="AS194" i="81"/>
  <c r="AR168" i="81"/>
  <c r="AS173" i="81"/>
  <c r="AS188" i="81"/>
  <c r="AO8" i="48"/>
  <c r="AO9" i="48" s="1"/>
  <c r="BB186" i="81"/>
  <c r="AS169" i="81"/>
  <c r="BB162" i="81"/>
  <c r="BB200" i="81"/>
  <c r="AS167" i="81"/>
  <c r="AR198" i="81"/>
  <c r="AR190" i="81"/>
  <c r="AO15" i="81"/>
  <c r="AO14" i="81"/>
  <c r="C206" i="81" s="1"/>
  <c r="AO13" i="81"/>
  <c r="AO12" i="81"/>
  <c r="AR166" i="81"/>
  <c r="AS199" i="81"/>
  <c r="AE15" i="81"/>
  <c r="AE12" i="81"/>
  <c r="BB199" i="81"/>
  <c r="BB196" i="81"/>
  <c r="BB195" i="81"/>
  <c r="BB201" i="81"/>
  <c r="AE14" i="81"/>
  <c r="C157" i="81" s="1"/>
  <c r="AS202" i="81"/>
  <c r="BB179" i="81"/>
  <c r="AF25" i="81"/>
  <c r="C165" i="81"/>
  <c r="P10" i="81" s="1"/>
  <c r="C182" i="81" s="1"/>
  <c r="AD24" i="81"/>
  <c r="AI25" i="81"/>
  <c r="AD48" i="81" s="1"/>
  <c r="BB175" i="81"/>
  <c r="BB189" i="81"/>
  <c r="AR167" i="81"/>
  <c r="X34" i="81"/>
  <c r="X38" i="81"/>
  <c r="X186" i="81" s="1"/>
  <c r="AR177" i="81"/>
  <c r="BB165" i="81"/>
  <c r="BB190" i="81"/>
  <c r="BB168" i="81"/>
  <c r="BB164" i="81"/>
  <c r="BB77" i="81" a="1"/>
  <c r="BB77" i="81" s="1"/>
  <c r="C270" i="81" s="1"/>
  <c r="AY8" i="48"/>
  <c r="AY9" i="48" s="1"/>
  <c r="AR202" i="81"/>
  <c r="BB192" i="81"/>
  <c r="AR186" i="81"/>
  <c r="BB142" i="81" a="1"/>
  <c r="BB142" i="81" s="1"/>
  <c r="BB167" i="81"/>
  <c r="AS177" i="81"/>
  <c r="AS184" i="81"/>
  <c r="AS178" i="81"/>
  <c r="G254" i="81"/>
  <c r="AX86" i="81"/>
  <c r="C264" i="81"/>
  <c r="BB203" i="81"/>
  <c r="BB194" i="81"/>
  <c r="BB185" i="81"/>
  <c r="BB191" i="81"/>
  <c r="BB198" i="81"/>
  <c r="BB170" i="81"/>
  <c r="BB171" i="81"/>
  <c r="BB172" i="81"/>
  <c r="BB161" i="81"/>
  <c r="BB159" i="81"/>
  <c r="BB187" i="81"/>
  <c r="T8" i="24"/>
  <c r="T9" i="24" s="1"/>
  <c r="AY8" i="50"/>
  <c r="AY9" i="50" s="1"/>
  <c r="AS176" i="81"/>
  <c r="AS160" i="81"/>
  <c r="AR163" i="81"/>
  <c r="BC34" i="81"/>
  <c r="BC38" i="81"/>
  <c r="BC171" i="81" s="1"/>
  <c r="AR169" i="81"/>
  <c r="G156" i="81"/>
  <c r="AD86" i="81"/>
  <c r="AR189" i="81"/>
  <c r="AR174" i="81"/>
  <c r="AS163" i="81"/>
  <c r="AS159" i="81"/>
  <c r="BB177" i="81"/>
  <c r="AS192" i="81"/>
  <c r="AR164" i="81"/>
  <c r="U25" i="24"/>
  <c r="S85" i="24" s="1"/>
  <c r="E100" i="77"/>
  <c r="BC33" i="24"/>
  <c r="T145" i="77"/>
  <c r="T146" i="77"/>
  <c r="T150" i="77"/>
  <c r="I90" i="77" a="1"/>
  <c r="I90" i="77" s="1"/>
  <c r="H90" i="77" a="1"/>
  <c r="H90" i="77" s="1"/>
  <c r="G90" i="77" a="1"/>
  <c r="G90" i="77" s="1"/>
  <c r="H35" i="77" a="1"/>
  <c r="H35" i="77" s="1"/>
  <c r="F90" i="77" a="1"/>
  <c r="F90" i="77" s="1"/>
  <c r="E90" i="77" a="1"/>
  <c r="E90" i="77" s="1"/>
  <c r="M90" i="77" a="1"/>
  <c r="M90" i="77" s="1"/>
  <c r="J90" i="77" a="1"/>
  <c r="J90" i="77" s="1"/>
  <c r="N90" i="77" a="1"/>
  <c r="N90" i="77" s="1"/>
  <c r="K90" i="77" a="1"/>
  <c r="K90" i="77" s="1"/>
  <c r="L90" i="77" a="1"/>
  <c r="L90" i="77" s="1"/>
  <c r="I35" i="77" a="1"/>
  <c r="I35" i="77" s="1"/>
  <c r="K35" i="77" a="1"/>
  <c r="K35" i="77" s="1"/>
  <c r="F35" i="77" a="1"/>
  <c r="F35" i="77" s="1"/>
  <c r="L35" i="77" a="1"/>
  <c r="L35" i="77" s="1"/>
  <c r="J35" i="77" a="1"/>
  <c r="J35" i="77" s="1"/>
  <c r="N35" i="77" a="1"/>
  <c r="N35" i="77" s="1"/>
  <c r="G35" i="77" a="1"/>
  <c r="G35" i="77" s="1"/>
  <c r="E35" i="77" a="1"/>
  <c r="E35" i="77" s="1"/>
  <c r="M35" i="77" a="1"/>
  <c r="M35" i="77" s="1"/>
  <c r="AD48" i="49"/>
  <c r="AO8" i="1"/>
  <c r="AO9" i="1" s="1"/>
  <c r="T8" i="49"/>
  <c r="T9" i="49" s="1"/>
  <c r="AE8" i="1"/>
  <c r="AE9" i="1" s="1"/>
  <c r="AI33" i="50"/>
  <c r="AI38" i="50" s="1"/>
  <c r="AE8" i="24"/>
  <c r="AE9" i="24" s="1"/>
  <c r="T8" i="50"/>
  <c r="T9" i="50" s="1"/>
  <c r="AY8" i="24"/>
  <c r="AY9" i="24" s="1"/>
  <c r="T8" i="1"/>
  <c r="T9" i="1" s="1"/>
  <c r="AO8" i="49"/>
  <c r="AO9" i="49" s="1"/>
  <c r="AN22" i="49"/>
  <c r="AN22" i="24"/>
  <c r="AN24" i="24" s="1"/>
  <c r="AX22" i="49"/>
  <c r="BC25" i="49" s="1"/>
  <c r="AX48" i="49" s="1"/>
  <c r="X25" i="50"/>
  <c r="S48" i="50" s="1"/>
  <c r="U25" i="49"/>
  <c r="S85" i="49" s="1"/>
  <c r="S84" i="49" s="1"/>
  <c r="BC34" i="49"/>
  <c r="BC38" i="49"/>
  <c r="AF25" i="49"/>
  <c r="AD24" i="49"/>
  <c r="AE8" i="49"/>
  <c r="AE9" i="49" s="1"/>
  <c r="X33" i="49"/>
  <c r="S24" i="49"/>
  <c r="X25" i="49"/>
  <c r="S48" i="49" s="1"/>
  <c r="AS33" i="49"/>
  <c r="AI33" i="49"/>
  <c r="AS38" i="1"/>
  <c r="AD22" i="1"/>
  <c r="AN22" i="1"/>
  <c r="X33" i="1"/>
  <c r="AY9" i="1"/>
  <c r="AX22" i="1"/>
  <c r="BC38" i="1"/>
  <c r="U25" i="1"/>
  <c r="X25" i="1"/>
  <c r="S48" i="1" s="1"/>
  <c r="AI33" i="1"/>
  <c r="X33" i="50"/>
  <c r="AS25" i="50"/>
  <c r="AN48" i="50" s="1"/>
  <c r="AN24" i="50"/>
  <c r="AP25" i="50"/>
  <c r="AD22" i="50"/>
  <c r="AS33" i="50"/>
  <c r="AX22" i="50"/>
  <c r="S24" i="50"/>
  <c r="AE8" i="50"/>
  <c r="AE9" i="50" s="1"/>
  <c r="U25" i="50"/>
  <c r="BC33" i="50"/>
  <c r="AI33" i="48"/>
  <c r="X33" i="48"/>
  <c r="S84" i="48"/>
  <c r="AE9" i="48"/>
  <c r="AX22" i="48"/>
  <c r="X25" i="48"/>
  <c r="S48" i="48" s="1"/>
  <c r="AN22" i="48"/>
  <c r="AD22" i="48"/>
  <c r="BC33" i="48"/>
  <c r="T9" i="48"/>
  <c r="AS33" i="48"/>
  <c r="AD24" i="24"/>
  <c r="AI25" i="24"/>
  <c r="AD48" i="24" s="1"/>
  <c r="AF25" i="24"/>
  <c r="AZ25" i="24"/>
  <c r="AX24" i="24"/>
  <c r="AS38" i="24"/>
  <c r="AO9" i="24"/>
  <c r="X33" i="24"/>
  <c r="AI33" i="24"/>
  <c r="S24" i="24"/>
  <c r="C111" i="24"/>
  <c r="P9" i="24" s="1"/>
  <c r="AI33" i="47"/>
  <c r="BC33" i="47"/>
  <c r="AS33" i="47"/>
  <c r="AS38" i="47" s="1"/>
  <c r="X33" i="47"/>
  <c r="BD17" i="86" l="1"/>
  <c r="G258" i="86" s="1"/>
  <c r="AX29" i="86"/>
  <c r="AX36" i="86" s="1"/>
  <c r="AD134" i="85"/>
  <c r="W125" i="86" a="1"/>
  <c r="W125" i="86" s="1"/>
  <c r="C122" i="86" s="1"/>
  <c r="AH199" i="86"/>
  <c r="AH200" i="86"/>
  <c r="AH203" i="86"/>
  <c r="AH174" i="86"/>
  <c r="AH177" i="86"/>
  <c r="AH175" i="86"/>
  <c r="AX24" i="49"/>
  <c r="AH176" i="86"/>
  <c r="C155" i="85"/>
  <c r="AH169" i="86"/>
  <c r="AH166" i="86"/>
  <c r="AP25" i="24"/>
  <c r="AN85" i="24" s="1"/>
  <c r="AS34" i="24"/>
  <c r="AE20" i="85"/>
  <c r="BD14" i="86"/>
  <c r="AH190" i="86"/>
  <c r="AH196" i="86"/>
  <c r="AH195" i="86"/>
  <c r="AH171" i="86"/>
  <c r="AH164" i="86"/>
  <c r="AH158" i="86"/>
  <c r="AH159" i="86"/>
  <c r="AH202" i="86"/>
  <c r="AI185" i="86"/>
  <c r="AH163" i="86"/>
  <c r="AH170" i="86"/>
  <c r="AS25" i="24"/>
  <c r="AN48" i="24" s="1"/>
  <c r="AZ25" i="49"/>
  <c r="AH201" i="86"/>
  <c r="AH186" i="86"/>
  <c r="AH194" i="86"/>
  <c r="AH167" i="86"/>
  <c r="AH198" i="86"/>
  <c r="AH205" i="86"/>
  <c r="AH187" i="86"/>
  <c r="BB125" i="84" a="1"/>
  <c r="BB125" i="84" s="1"/>
  <c r="C274" i="84" s="1"/>
  <c r="C156" i="85"/>
  <c r="C205" i="83"/>
  <c r="C101" i="83"/>
  <c r="AJ15" i="84"/>
  <c r="G158" i="84" s="1"/>
  <c r="AE20" i="84"/>
  <c r="AE19" i="84" s="1"/>
  <c r="AD82" i="84" s="1"/>
  <c r="G182" i="84" s="1"/>
  <c r="I182" i="84" s="1"/>
  <c r="T20" i="83"/>
  <c r="T19" i="83" s="1"/>
  <c r="C108" i="83" s="1"/>
  <c r="C158" i="85"/>
  <c r="AY20" i="82"/>
  <c r="BD18" i="82" s="1"/>
  <c r="AE11" i="85"/>
  <c r="C154" i="85" s="1"/>
  <c r="T11" i="82"/>
  <c r="C100" i="82" s="1"/>
  <c r="BB116" i="84" a="1"/>
  <c r="BB116" i="84" s="1"/>
  <c r="C272" i="84" s="1"/>
  <c r="BB125" i="86" a="1"/>
  <c r="BB125" i="86" s="1"/>
  <c r="C274" i="86" s="1"/>
  <c r="AD134" i="84"/>
  <c r="C102" i="83"/>
  <c r="AE11" i="84"/>
  <c r="C154" i="84" s="1"/>
  <c r="AO11" i="84"/>
  <c r="C203" i="84" s="1"/>
  <c r="AJ17" i="85"/>
  <c r="G160" i="85" s="1"/>
  <c r="AT15" i="84"/>
  <c r="G207" i="84" s="1"/>
  <c r="AN134" i="82"/>
  <c r="AN134" i="84"/>
  <c r="AO20" i="84"/>
  <c r="AT14" i="84" s="1"/>
  <c r="G206" i="84" s="1"/>
  <c r="BB116" i="86" a="1"/>
  <c r="BB116" i="86" s="1"/>
  <c r="C272" i="86" s="1"/>
  <c r="AT17" i="86"/>
  <c r="G209" i="86" s="1"/>
  <c r="G203" i="86"/>
  <c r="AT12" i="86"/>
  <c r="G157" i="86"/>
  <c r="AD120" i="86"/>
  <c r="G255" i="86"/>
  <c r="AX120" i="86"/>
  <c r="T16" i="86"/>
  <c r="R209" i="86" s="1"/>
  <c r="Z6" i="86" s="1"/>
  <c r="C109" i="86"/>
  <c r="Y18" i="86"/>
  <c r="AI178" i="86"/>
  <c r="BD11" i="86"/>
  <c r="AT14" i="86"/>
  <c r="T11" i="83"/>
  <c r="C100" i="83" s="1"/>
  <c r="AD29" i="84"/>
  <c r="C124" i="86"/>
  <c r="AR142" i="86" a="1"/>
  <c r="AR142" i="86" s="1"/>
  <c r="AE19" i="86"/>
  <c r="C276" i="86"/>
  <c r="AN36" i="86"/>
  <c r="AO30" i="86"/>
  <c r="AN66" i="86"/>
  <c r="C261" i="86"/>
  <c r="BD18" i="86"/>
  <c r="AY16" i="86"/>
  <c r="AW209" i="86" s="1"/>
  <c r="BE6" i="86" s="1"/>
  <c r="AI177" i="86"/>
  <c r="AI169" i="86"/>
  <c r="AI179" i="86"/>
  <c r="AI196" i="86"/>
  <c r="AI188" i="86"/>
  <c r="AI164" i="86"/>
  <c r="AI194" i="86"/>
  <c r="AI170" i="86"/>
  <c r="AI197" i="86"/>
  <c r="AI159" i="86"/>
  <c r="AI158" i="86"/>
  <c r="AI161" i="86"/>
  <c r="AI187" i="86"/>
  <c r="AI195" i="86"/>
  <c r="AI162" i="86"/>
  <c r="AI176" i="86"/>
  <c r="AI205" i="86"/>
  <c r="AI203" i="86"/>
  <c r="AI201" i="86"/>
  <c r="AI168" i="86"/>
  <c r="AI174" i="86"/>
  <c r="AI175" i="86"/>
  <c r="AI166" i="86"/>
  <c r="AI165" i="86"/>
  <c r="AI204" i="86"/>
  <c r="AI186" i="86"/>
  <c r="AI198" i="86"/>
  <c r="AI191" i="86"/>
  <c r="AI199" i="86"/>
  <c r="AI192" i="86"/>
  <c r="AI200" i="86"/>
  <c r="AI171" i="86"/>
  <c r="AI202" i="86"/>
  <c r="AI167" i="86"/>
  <c r="C104" i="83"/>
  <c r="AI160" i="86"/>
  <c r="AI190" i="86"/>
  <c r="AD84" i="86"/>
  <c r="C178" i="86"/>
  <c r="S134" i="81"/>
  <c r="AJ11" i="86"/>
  <c r="AN85" i="86"/>
  <c r="Y11" i="86"/>
  <c r="AD36" i="86"/>
  <c r="AE30" i="86"/>
  <c r="AD66" i="86"/>
  <c r="C215" i="86"/>
  <c r="AS178" i="86"/>
  <c r="AS200" i="86"/>
  <c r="AS164" i="86"/>
  <c r="AS162" i="86"/>
  <c r="AR162" i="86"/>
  <c r="AS158" i="86"/>
  <c r="AR179" i="86"/>
  <c r="AR159" i="86"/>
  <c r="AS167" i="86"/>
  <c r="AR171" i="86"/>
  <c r="AR172" i="86"/>
  <c r="AR177" i="86"/>
  <c r="AR202" i="86"/>
  <c r="AR195" i="86"/>
  <c r="AR193" i="86"/>
  <c r="AS161" i="86"/>
  <c r="AS190" i="86"/>
  <c r="AS188" i="86"/>
  <c r="AS176" i="86"/>
  <c r="AR174" i="86"/>
  <c r="AR196" i="86"/>
  <c r="AS205" i="86"/>
  <c r="AS202" i="86"/>
  <c r="AR188" i="86"/>
  <c r="AR199" i="86"/>
  <c r="AS201" i="86"/>
  <c r="AS169" i="86"/>
  <c r="AS179" i="86"/>
  <c r="AS196" i="86"/>
  <c r="AR194" i="86"/>
  <c r="AR205" i="86"/>
  <c r="AS170" i="86"/>
  <c r="AR165" i="86"/>
  <c r="AR189" i="86"/>
  <c r="AR176" i="86"/>
  <c r="AR187" i="86"/>
  <c r="AR200" i="86"/>
  <c r="AR190" i="86"/>
  <c r="AR201" i="86"/>
  <c r="AR167" i="86"/>
  <c r="AS189" i="86"/>
  <c r="AR160" i="86"/>
  <c r="AS185" i="86"/>
  <c r="AS163" i="86"/>
  <c r="AS160" i="86"/>
  <c r="AR161" i="86"/>
  <c r="AS195" i="86"/>
  <c r="AS203" i="86"/>
  <c r="AS172" i="86"/>
  <c r="AR175" i="86"/>
  <c r="AR204" i="86"/>
  <c r="AS165" i="86"/>
  <c r="AS166" i="86"/>
  <c r="AS199" i="86"/>
  <c r="AR178" i="86"/>
  <c r="AS177" i="86"/>
  <c r="AR173" i="86"/>
  <c r="AR166" i="86"/>
  <c r="AS193" i="86"/>
  <c r="AS187" i="86"/>
  <c r="AS173" i="86"/>
  <c r="AR168" i="86"/>
  <c r="AR191" i="86"/>
  <c r="AR184" i="86"/>
  <c r="AS194" i="86"/>
  <c r="AR203" i="86"/>
  <c r="AS197" i="86"/>
  <c r="AS174" i="86"/>
  <c r="AR169" i="86"/>
  <c r="AR198" i="86"/>
  <c r="AS192" i="86"/>
  <c r="AS184" i="86"/>
  <c r="AR164" i="86"/>
  <c r="AR192" i="86"/>
  <c r="AS175" i="86"/>
  <c r="AR185" i="86"/>
  <c r="AR186" i="86"/>
  <c r="AS204" i="86"/>
  <c r="AS186" i="86"/>
  <c r="AS198" i="86"/>
  <c r="AS191" i="86"/>
  <c r="AR163" i="86"/>
  <c r="AR158" i="86"/>
  <c r="AS159" i="86"/>
  <c r="AS168" i="86"/>
  <c r="AS171" i="86"/>
  <c r="AR197" i="86"/>
  <c r="AR170" i="86"/>
  <c r="C212" i="86"/>
  <c r="AO16" i="86"/>
  <c r="AT18" i="86"/>
  <c r="AI163" i="86"/>
  <c r="AN29" i="84"/>
  <c r="AN66" i="84" s="1"/>
  <c r="T19" i="86"/>
  <c r="AI193" i="86"/>
  <c r="AI184" i="86"/>
  <c r="Y14" i="86"/>
  <c r="AY30" i="86"/>
  <c r="AX66" i="86"/>
  <c r="AO19" i="86"/>
  <c r="AI173" i="86"/>
  <c r="AY19" i="86"/>
  <c r="T30" i="86"/>
  <c r="S66" i="86"/>
  <c r="S36" i="86"/>
  <c r="C163" i="86"/>
  <c r="AE16" i="86"/>
  <c r="AJ18" i="86"/>
  <c r="X159" i="86"/>
  <c r="X168" i="86"/>
  <c r="X197" i="86"/>
  <c r="X177" i="86"/>
  <c r="X176" i="86"/>
  <c r="X170" i="86"/>
  <c r="X204" i="86"/>
  <c r="X169" i="86"/>
  <c r="X179" i="86"/>
  <c r="X196" i="86"/>
  <c r="X158" i="86"/>
  <c r="X198" i="86"/>
  <c r="X161" i="86"/>
  <c r="X188" i="86"/>
  <c r="X166" i="86"/>
  <c r="X164" i="86"/>
  <c r="X205" i="86"/>
  <c r="X193" i="86"/>
  <c r="X186" i="86"/>
  <c r="X190" i="86"/>
  <c r="X194" i="86"/>
  <c r="X160" i="86"/>
  <c r="X172" i="86"/>
  <c r="X178" i="86"/>
  <c r="X163" i="86"/>
  <c r="X187" i="86"/>
  <c r="X162" i="86"/>
  <c r="X189" i="86"/>
  <c r="X203" i="86"/>
  <c r="X167" i="86"/>
  <c r="X192" i="86"/>
  <c r="X171" i="86"/>
  <c r="X185" i="86"/>
  <c r="X201" i="86"/>
  <c r="X195" i="86"/>
  <c r="X199" i="86"/>
  <c r="X165" i="86"/>
  <c r="X184" i="86"/>
  <c r="X174" i="86"/>
  <c r="X175" i="86"/>
  <c r="X173" i="86"/>
  <c r="X200" i="86"/>
  <c r="X191" i="86"/>
  <c r="X202" i="86"/>
  <c r="AI172" i="86"/>
  <c r="AX84" i="86"/>
  <c r="AT11" i="85"/>
  <c r="G203" i="85" s="1"/>
  <c r="AO19" i="85"/>
  <c r="C211" i="85" s="1"/>
  <c r="W116" i="85" a="1"/>
  <c r="W116" i="85" s="1"/>
  <c r="C120" i="85" s="1"/>
  <c r="W125" i="85" a="1"/>
  <c r="W125" i="85" s="1"/>
  <c r="C122" i="85" s="1"/>
  <c r="G206" i="85"/>
  <c r="AN120" i="85"/>
  <c r="AE16" i="85"/>
  <c r="AJ18" i="85"/>
  <c r="C163" i="85"/>
  <c r="C215" i="85"/>
  <c r="AS194" i="85"/>
  <c r="AR186" i="85"/>
  <c r="AS191" i="85"/>
  <c r="AS199" i="85"/>
  <c r="AS166" i="85"/>
  <c r="AS189" i="85"/>
  <c r="AS178" i="85"/>
  <c r="AS164" i="85"/>
  <c r="AR184" i="85"/>
  <c r="AS158" i="85"/>
  <c r="AS185" i="85"/>
  <c r="AR161" i="85"/>
  <c r="AR193" i="85"/>
  <c r="AR168" i="85"/>
  <c r="AS205" i="85"/>
  <c r="AR200" i="85"/>
  <c r="AR190" i="85"/>
  <c r="AR178" i="85"/>
  <c r="AS170" i="85"/>
  <c r="AR205" i="85"/>
  <c r="AS162" i="85"/>
  <c r="AR185" i="85"/>
  <c r="AR173" i="85"/>
  <c r="AS202" i="85"/>
  <c r="AR191" i="85"/>
  <c r="AS184" i="85"/>
  <c r="AS174" i="85"/>
  <c r="AS204" i="85"/>
  <c r="AR158" i="85"/>
  <c r="AS163" i="85"/>
  <c r="AR171" i="85"/>
  <c r="AS196" i="85"/>
  <c r="AR194" i="85"/>
  <c r="AR179" i="85"/>
  <c r="AR199" i="85"/>
  <c r="AS188" i="85"/>
  <c r="AR164" i="85"/>
  <c r="AS161" i="85"/>
  <c r="AS190" i="85"/>
  <c r="AR187" i="85"/>
  <c r="AR174" i="85"/>
  <c r="AR204" i="85"/>
  <c r="AR197" i="85"/>
  <c r="AS175" i="85"/>
  <c r="AS192" i="85"/>
  <c r="AR203" i="85"/>
  <c r="AR192" i="85"/>
  <c r="AR166" i="85"/>
  <c r="AS200" i="85"/>
  <c r="AR201" i="85"/>
  <c r="AR198" i="85"/>
  <c r="AS173" i="85"/>
  <c r="AS176" i="85"/>
  <c r="AR165" i="85"/>
  <c r="AR176" i="85"/>
  <c r="AR162" i="85"/>
  <c r="AS179" i="85"/>
  <c r="AS177" i="85"/>
  <c r="AS198" i="85"/>
  <c r="AR167" i="85"/>
  <c r="AS169" i="85"/>
  <c r="AR177" i="85"/>
  <c r="AS201" i="85"/>
  <c r="AR172" i="85"/>
  <c r="AR170" i="85"/>
  <c r="AS193" i="85"/>
  <c r="AS172" i="85"/>
  <c r="AS160" i="85"/>
  <c r="AS186" i="85"/>
  <c r="AS159" i="85"/>
  <c r="AR195" i="85"/>
  <c r="AS165" i="85"/>
  <c r="AR175" i="85"/>
  <c r="AS187" i="85"/>
  <c r="AS197" i="85"/>
  <c r="AR189" i="85"/>
  <c r="AS167" i="85"/>
  <c r="AR159" i="85"/>
  <c r="AS168" i="85"/>
  <c r="AS203" i="85"/>
  <c r="AS195" i="85"/>
  <c r="AR160" i="85"/>
  <c r="AR202" i="85"/>
  <c r="AR163" i="85"/>
  <c r="AR196" i="85"/>
  <c r="AR169" i="85"/>
  <c r="AR188" i="85"/>
  <c r="AS171" i="85"/>
  <c r="C227" i="85"/>
  <c r="C253" i="85"/>
  <c r="BD15" i="85"/>
  <c r="G256" i="85" s="1"/>
  <c r="AX134" i="85"/>
  <c r="AY20" i="85"/>
  <c r="BD14" i="85" s="1"/>
  <c r="C253" i="81"/>
  <c r="BD15" i="81"/>
  <c r="G256" i="81" s="1"/>
  <c r="AJ11" i="84"/>
  <c r="AJ12" i="84" s="1"/>
  <c r="AN85" i="85"/>
  <c r="C124" i="85"/>
  <c r="AT17" i="85"/>
  <c r="G209" i="85" s="1"/>
  <c r="AX85" i="85"/>
  <c r="AE19" i="85"/>
  <c r="AD85" i="85"/>
  <c r="S84" i="85"/>
  <c r="C264" i="85"/>
  <c r="BB160" i="85"/>
  <c r="BB173" i="85"/>
  <c r="BB159" i="85"/>
  <c r="BB158" i="85"/>
  <c r="BC161" i="85"/>
  <c r="BB165" i="85"/>
  <c r="BB194" i="85"/>
  <c r="BC164" i="85"/>
  <c r="BB197" i="85"/>
  <c r="BC173" i="85"/>
  <c r="BB174" i="85"/>
  <c r="BC189" i="85"/>
  <c r="BC202" i="85"/>
  <c r="BB186" i="85"/>
  <c r="BC176" i="85"/>
  <c r="BC194" i="85"/>
  <c r="BB170" i="85"/>
  <c r="BC205" i="85"/>
  <c r="BB172" i="85"/>
  <c r="BB200" i="85"/>
  <c r="BC165" i="85"/>
  <c r="BB168" i="85"/>
  <c r="BC198" i="85"/>
  <c r="BB193" i="85"/>
  <c r="BB192" i="85"/>
  <c r="BC191" i="85"/>
  <c r="BB205" i="85"/>
  <c r="BB179" i="85"/>
  <c r="BC167" i="85"/>
  <c r="BC186" i="85"/>
  <c r="BC163" i="85"/>
  <c r="BB189" i="85"/>
  <c r="BC172" i="85"/>
  <c r="BC203" i="85"/>
  <c r="BC175" i="85"/>
  <c r="BC178" i="85"/>
  <c r="BB176" i="85"/>
  <c r="BB175" i="85"/>
  <c r="BB185" i="85"/>
  <c r="BB161" i="85"/>
  <c r="BB167" i="85"/>
  <c r="BB204" i="85"/>
  <c r="BC190" i="85"/>
  <c r="BB177" i="85"/>
  <c r="BB184" i="85"/>
  <c r="BB164" i="85"/>
  <c r="BB169" i="85"/>
  <c r="BC187" i="85"/>
  <c r="BB203" i="85"/>
  <c r="BB202" i="85"/>
  <c r="BC199" i="85"/>
  <c r="BB196" i="85"/>
  <c r="BC184" i="85"/>
  <c r="BC159" i="85"/>
  <c r="BC201" i="85"/>
  <c r="BC177" i="85"/>
  <c r="BB163" i="85"/>
  <c r="BC188" i="85"/>
  <c r="BC174" i="85"/>
  <c r="BC204" i="85"/>
  <c r="BB171" i="85"/>
  <c r="BC166" i="85"/>
  <c r="BC160" i="85"/>
  <c r="BC196" i="85"/>
  <c r="BC185" i="85"/>
  <c r="BC192" i="85"/>
  <c r="BC197" i="85"/>
  <c r="BC195" i="85"/>
  <c r="BC169" i="85"/>
  <c r="BB190" i="85"/>
  <c r="BB166" i="85"/>
  <c r="BB201" i="85"/>
  <c r="BC168" i="85"/>
  <c r="BB178" i="85"/>
  <c r="BB188" i="85"/>
  <c r="BC171" i="85"/>
  <c r="BC162" i="85"/>
  <c r="BC193" i="85"/>
  <c r="BB187" i="85"/>
  <c r="BC200" i="85"/>
  <c r="BB198" i="85"/>
  <c r="BC158" i="85"/>
  <c r="BC179" i="85"/>
  <c r="BB191" i="85"/>
  <c r="BB199" i="85"/>
  <c r="BB195" i="85"/>
  <c r="BC170" i="85"/>
  <c r="BB162" i="85"/>
  <c r="AJ11" i="85"/>
  <c r="T20" i="85"/>
  <c r="Y14" i="85" s="1"/>
  <c r="Y15" i="85"/>
  <c r="G104" i="85" s="1"/>
  <c r="S134" i="85"/>
  <c r="C101" i="85"/>
  <c r="AE30" i="85"/>
  <c r="AD36" i="85"/>
  <c r="AD66" i="85"/>
  <c r="C212" i="85"/>
  <c r="AO16" i="85"/>
  <c r="AT18" i="85"/>
  <c r="C166" i="85"/>
  <c r="AH169" i="85"/>
  <c r="AH162" i="85"/>
  <c r="AH175" i="85"/>
  <c r="AH160" i="85"/>
  <c r="AI176" i="85"/>
  <c r="AI160" i="85"/>
  <c r="AH176" i="85"/>
  <c r="AH205" i="85"/>
  <c r="AI162" i="85"/>
  <c r="AI188" i="85"/>
  <c r="AI194" i="85"/>
  <c r="AI202" i="85"/>
  <c r="AI184" i="85"/>
  <c r="AH195" i="85"/>
  <c r="AH194" i="85"/>
  <c r="AH197" i="85"/>
  <c r="AI189" i="85"/>
  <c r="AH164" i="85"/>
  <c r="AI166" i="85"/>
  <c r="AI167" i="85"/>
  <c r="AH171" i="85"/>
  <c r="AH187" i="85"/>
  <c r="AH191" i="85"/>
  <c r="AI172" i="85"/>
  <c r="AH174" i="85"/>
  <c r="AI177" i="85"/>
  <c r="AH158" i="85"/>
  <c r="AI164" i="85"/>
  <c r="AI173" i="85"/>
  <c r="AH178" i="85"/>
  <c r="AI205" i="85"/>
  <c r="AH173" i="85"/>
  <c r="AI185" i="85"/>
  <c r="AI201" i="85"/>
  <c r="AI179" i="85"/>
  <c r="AI163" i="85"/>
  <c r="AI174" i="85"/>
  <c r="AI198" i="85"/>
  <c r="AI204" i="85"/>
  <c r="AH193" i="85"/>
  <c r="AH192" i="85"/>
  <c r="AI191" i="85"/>
  <c r="AI186" i="85"/>
  <c r="AH186" i="85"/>
  <c r="AI187" i="85"/>
  <c r="AI197" i="85"/>
  <c r="AH166" i="85"/>
  <c r="AH202" i="85"/>
  <c r="AI199" i="85"/>
  <c r="AH198" i="85"/>
  <c r="AI159" i="85"/>
  <c r="AH172" i="85"/>
  <c r="AH170" i="85"/>
  <c r="AH190" i="85"/>
  <c r="AH165" i="85"/>
  <c r="AI200" i="85"/>
  <c r="AI170" i="85"/>
  <c r="AH185" i="85"/>
  <c r="AH161" i="85"/>
  <c r="AI165" i="85"/>
  <c r="AH179" i="85"/>
  <c r="AH167" i="85"/>
  <c r="AH204" i="85"/>
  <c r="AI190" i="85"/>
  <c r="AH184" i="85"/>
  <c r="AI175" i="85"/>
  <c r="AI161" i="85"/>
  <c r="AI196" i="85"/>
  <c r="AI192" i="85"/>
  <c r="AH203" i="85"/>
  <c r="AH189" i="85"/>
  <c r="AI168" i="85"/>
  <c r="AH199" i="85"/>
  <c r="AH200" i="85"/>
  <c r="AH177" i="85"/>
  <c r="AI203" i="85"/>
  <c r="AI195" i="85"/>
  <c r="AI158" i="85"/>
  <c r="AI178" i="85"/>
  <c r="AH159" i="85"/>
  <c r="AH196" i="85"/>
  <c r="AI169" i="85"/>
  <c r="AH201" i="85"/>
  <c r="AH188" i="85"/>
  <c r="AI171" i="85"/>
  <c r="AI193" i="85"/>
  <c r="AH163" i="85"/>
  <c r="AH168" i="85"/>
  <c r="W125" i="82" a="1"/>
  <c r="W125" i="82" s="1"/>
  <c r="C122" i="82" s="1"/>
  <c r="AO30" i="85"/>
  <c r="AN66" i="85"/>
  <c r="AN36" i="85"/>
  <c r="AX134" i="82"/>
  <c r="AO11" i="83"/>
  <c r="C203" i="83" s="1"/>
  <c r="C276" i="85"/>
  <c r="C104" i="85"/>
  <c r="S29" i="85"/>
  <c r="T11" i="85"/>
  <c r="C100" i="85" s="1"/>
  <c r="C256" i="85"/>
  <c r="AY11" i="85"/>
  <c r="C252" i="85" s="1"/>
  <c r="AX29" i="85"/>
  <c r="AO20" i="83"/>
  <c r="AT11" i="83" s="1"/>
  <c r="G203" i="83" s="1"/>
  <c r="AI34" i="50"/>
  <c r="BD15" i="82"/>
  <c r="G256" i="82" s="1"/>
  <c r="AN29" i="83"/>
  <c r="AN36" i="83" s="1"/>
  <c r="AJ14" i="85"/>
  <c r="AJ17" i="84"/>
  <c r="G160" i="84" s="1"/>
  <c r="W125" i="84" a="1"/>
  <c r="W125" i="84" s="1"/>
  <c r="C122" i="84" s="1"/>
  <c r="S84" i="84"/>
  <c r="C254" i="84"/>
  <c r="AD134" i="82"/>
  <c r="C104" i="84"/>
  <c r="S29" i="84"/>
  <c r="T11" i="84"/>
  <c r="C100" i="84" s="1"/>
  <c r="AX84" i="84"/>
  <c r="C276" i="84"/>
  <c r="T19" i="82"/>
  <c r="S82" i="82" s="1"/>
  <c r="G128" i="82" s="1"/>
  <c r="I128" i="82" s="1"/>
  <c r="AN85" i="84"/>
  <c r="C163" i="84"/>
  <c r="AE20" i="82"/>
  <c r="AE16" i="82" s="1"/>
  <c r="AC209" i="82" s="1"/>
  <c r="AK6" i="82" s="1"/>
  <c r="C227" i="84"/>
  <c r="Y15" i="84"/>
  <c r="G104" i="84" s="1"/>
  <c r="C124" i="84"/>
  <c r="Y15" i="82"/>
  <c r="G104" i="82" s="1"/>
  <c r="C166" i="84"/>
  <c r="AI203" i="84"/>
  <c r="AH174" i="84"/>
  <c r="AH202" i="84"/>
  <c r="AI205" i="84"/>
  <c r="AI187" i="84"/>
  <c r="AH186" i="84"/>
  <c r="AH165" i="84"/>
  <c r="AH170" i="84"/>
  <c r="AI175" i="84"/>
  <c r="AH169" i="84"/>
  <c r="AH159" i="84"/>
  <c r="AI173" i="84"/>
  <c r="AI158" i="84"/>
  <c r="AH194" i="84"/>
  <c r="AH198" i="84"/>
  <c r="AI196" i="84"/>
  <c r="AI185" i="84"/>
  <c r="AH196" i="84"/>
  <c r="AI176" i="84"/>
  <c r="AI190" i="84"/>
  <c r="AI186" i="84"/>
  <c r="AI161" i="84"/>
  <c r="AH162" i="84"/>
  <c r="AI162" i="84"/>
  <c r="AI188" i="84"/>
  <c r="AI199" i="84"/>
  <c r="AH203" i="84"/>
  <c r="AI174" i="84"/>
  <c r="AH187" i="84"/>
  <c r="AH185" i="84"/>
  <c r="AH175" i="84"/>
  <c r="AH184" i="84"/>
  <c r="AI165" i="84"/>
  <c r="AH172" i="84"/>
  <c r="AH168" i="84"/>
  <c r="AI195" i="84"/>
  <c r="AI160" i="84"/>
  <c r="AI171" i="84"/>
  <c r="AH195" i="84"/>
  <c r="AI166" i="84"/>
  <c r="AH189" i="84"/>
  <c r="AH176" i="84"/>
  <c r="AI192" i="84"/>
  <c r="AH179" i="84"/>
  <c r="AI172" i="84"/>
  <c r="AI179" i="84"/>
  <c r="AH167" i="84"/>
  <c r="AH163" i="84"/>
  <c r="AI198" i="84"/>
  <c r="AH166" i="84"/>
  <c r="AI167" i="84"/>
  <c r="AI184" i="84"/>
  <c r="AH205" i="84"/>
  <c r="AI191" i="84"/>
  <c r="AH178" i="84"/>
  <c r="AI164" i="84"/>
  <c r="AH177" i="84"/>
  <c r="AH161" i="84"/>
  <c r="AI204" i="84"/>
  <c r="AI163" i="84"/>
  <c r="AI201" i="84"/>
  <c r="AH201" i="84"/>
  <c r="AH173" i="84"/>
  <c r="AI170" i="84"/>
  <c r="AH158" i="84"/>
  <c r="AI159" i="84"/>
  <c r="AI189" i="84"/>
  <c r="AH204" i="84"/>
  <c r="AH199" i="84"/>
  <c r="AH171" i="84"/>
  <c r="AI194" i="84"/>
  <c r="AI177" i="84"/>
  <c r="AH188" i="84"/>
  <c r="AI197" i="84"/>
  <c r="AH197" i="84"/>
  <c r="AI193" i="84"/>
  <c r="AH190" i="84"/>
  <c r="AI169" i="84"/>
  <c r="AI168" i="84"/>
  <c r="AI178" i="84"/>
  <c r="AH191" i="84"/>
  <c r="AH160" i="84"/>
  <c r="AH192" i="84"/>
  <c r="AH164" i="84"/>
  <c r="AI200" i="84"/>
  <c r="AH200" i="84"/>
  <c r="AI202" i="84"/>
  <c r="AH193" i="84"/>
  <c r="C215" i="84"/>
  <c r="AR186" i="84"/>
  <c r="AS187" i="84"/>
  <c r="AR171" i="84"/>
  <c r="AR165" i="84"/>
  <c r="AS162" i="84"/>
  <c r="AR202" i="84"/>
  <c r="AR164" i="84"/>
  <c r="AS197" i="84"/>
  <c r="AR197" i="84"/>
  <c r="AS188" i="84"/>
  <c r="AR192" i="84"/>
  <c r="AR177" i="84"/>
  <c r="AR173" i="84"/>
  <c r="AS196" i="84"/>
  <c r="AR194" i="84"/>
  <c r="AR163" i="84"/>
  <c r="AS167" i="84"/>
  <c r="AS176" i="84"/>
  <c r="AR191" i="84"/>
  <c r="AS177" i="84"/>
  <c r="AR158" i="84"/>
  <c r="AS171" i="84"/>
  <c r="AS174" i="84"/>
  <c r="AR198" i="84"/>
  <c r="AS193" i="84"/>
  <c r="AR168" i="84"/>
  <c r="AS179" i="84"/>
  <c r="AS203" i="84"/>
  <c r="AR187" i="84"/>
  <c r="AS169" i="84"/>
  <c r="AR160" i="84"/>
  <c r="AS160" i="84"/>
  <c r="AS198" i="84"/>
  <c r="AR170" i="84"/>
  <c r="AR169" i="84"/>
  <c r="AS205" i="84"/>
  <c r="AS204" i="84"/>
  <c r="AR200" i="84"/>
  <c r="AS161" i="84"/>
  <c r="AS189" i="84"/>
  <c r="AR199" i="84"/>
  <c r="AR162" i="84"/>
  <c r="AR184" i="84"/>
  <c r="AS190" i="84"/>
  <c r="AS186" i="84"/>
  <c r="AR203" i="84"/>
  <c r="AR172" i="84"/>
  <c r="AS172" i="84"/>
  <c r="AS191" i="84"/>
  <c r="AR167" i="84"/>
  <c r="AR196" i="84"/>
  <c r="AR204" i="84"/>
  <c r="AR159" i="84"/>
  <c r="AR176" i="84"/>
  <c r="AS168" i="84"/>
  <c r="AS166" i="84"/>
  <c r="AR205" i="84"/>
  <c r="AS158" i="84"/>
  <c r="AS185" i="84"/>
  <c r="AS164" i="84"/>
  <c r="AR174" i="84"/>
  <c r="AR195" i="84"/>
  <c r="AS194" i="84"/>
  <c r="AR189" i="84"/>
  <c r="AS173" i="84"/>
  <c r="AS195" i="84"/>
  <c r="AR185" i="84"/>
  <c r="AR193" i="84"/>
  <c r="AR201" i="84"/>
  <c r="AR161" i="84"/>
  <c r="AR166" i="84"/>
  <c r="AS163" i="84"/>
  <c r="AR178" i="84"/>
  <c r="AS184" i="84"/>
  <c r="AS192" i="84"/>
  <c r="AS202" i="84"/>
  <c r="AR190" i="84"/>
  <c r="AR188" i="84"/>
  <c r="AS165" i="84"/>
  <c r="AS178" i="84"/>
  <c r="AS175" i="84"/>
  <c r="AR179" i="84"/>
  <c r="AS170" i="84"/>
  <c r="AS199" i="84"/>
  <c r="AS201" i="84"/>
  <c r="AS200" i="84"/>
  <c r="AR175" i="84"/>
  <c r="AS159" i="84"/>
  <c r="AX134" i="81"/>
  <c r="C101" i="82"/>
  <c r="AE30" i="84"/>
  <c r="AD36" i="84"/>
  <c r="AD66" i="84"/>
  <c r="AJ15" i="82"/>
  <c r="G158" i="82" s="1"/>
  <c r="C101" i="81"/>
  <c r="S29" i="82"/>
  <c r="T30" i="82" s="1"/>
  <c r="AX29" i="84"/>
  <c r="T20" i="84"/>
  <c r="T19" i="84" s="1"/>
  <c r="C253" i="84"/>
  <c r="AX134" i="84"/>
  <c r="BD15" i="84"/>
  <c r="G256" i="84" s="1"/>
  <c r="AY20" i="84"/>
  <c r="BD11" i="84" s="1"/>
  <c r="C104" i="82"/>
  <c r="AY11" i="84"/>
  <c r="C252" i="84" s="1"/>
  <c r="W116" i="84" a="1"/>
  <c r="W116" i="84" s="1"/>
  <c r="C120" i="84" s="1"/>
  <c r="AD85" i="84"/>
  <c r="AT17" i="83"/>
  <c r="G209" i="83" s="1"/>
  <c r="Y14" i="83"/>
  <c r="S120" i="83" s="1"/>
  <c r="W116" i="83" a="1"/>
  <c r="W116" i="83" s="1"/>
  <c r="C120" i="83" s="1"/>
  <c r="C102" i="82"/>
  <c r="AY11" i="81"/>
  <c r="C252" i="81" s="1"/>
  <c r="AY11" i="82"/>
  <c r="C252" i="82" s="1"/>
  <c r="C156" i="83"/>
  <c r="C256" i="83"/>
  <c r="AX29" i="83"/>
  <c r="AY11" i="83"/>
  <c r="C252" i="83" s="1"/>
  <c r="C215" i="83"/>
  <c r="AR194" i="83"/>
  <c r="AR193" i="83"/>
  <c r="AR162" i="83"/>
  <c r="AR178" i="83"/>
  <c r="AR163" i="83"/>
  <c r="AR199" i="83"/>
  <c r="AR160" i="83"/>
  <c r="AS196" i="83"/>
  <c r="AR173" i="83"/>
  <c r="AR197" i="83"/>
  <c r="AR170" i="83"/>
  <c r="AS170" i="83"/>
  <c r="AS191" i="83"/>
  <c r="AR191" i="83"/>
  <c r="AS198" i="83"/>
  <c r="AS187" i="83"/>
  <c r="AR164" i="83"/>
  <c r="AS164" i="83"/>
  <c r="AS186" i="83"/>
  <c r="AR189" i="83"/>
  <c r="AS185" i="83"/>
  <c r="AS197" i="83"/>
  <c r="AR172" i="83"/>
  <c r="AS175" i="83"/>
  <c r="AS177" i="83"/>
  <c r="AS158" i="83"/>
  <c r="AR159" i="83"/>
  <c r="AR166" i="83"/>
  <c r="AS162" i="83"/>
  <c r="AS174" i="83"/>
  <c r="AS172" i="83"/>
  <c r="AR169" i="83"/>
  <c r="AR185" i="83"/>
  <c r="AR202" i="83"/>
  <c r="AS195" i="83"/>
  <c r="AS173" i="83"/>
  <c r="AR171" i="83"/>
  <c r="AR204" i="83"/>
  <c r="AR158" i="83"/>
  <c r="AR188" i="83"/>
  <c r="AR177" i="83"/>
  <c r="AS200" i="83"/>
  <c r="AR205" i="83"/>
  <c r="AS190" i="83"/>
  <c r="AR192" i="83"/>
  <c r="AR203" i="83"/>
  <c r="AR174" i="83"/>
  <c r="AS171" i="83"/>
  <c r="AS167" i="83"/>
  <c r="AR165" i="83"/>
  <c r="AR196" i="83"/>
  <c r="AS204" i="83"/>
  <c r="AR175" i="83"/>
  <c r="AS201" i="83"/>
  <c r="AS159" i="83"/>
  <c r="AS160" i="83"/>
  <c r="AR176" i="83"/>
  <c r="AR190" i="83"/>
  <c r="AS192" i="83"/>
  <c r="AR168" i="83"/>
  <c r="AS178" i="83"/>
  <c r="AR195" i="83"/>
  <c r="AS205" i="83"/>
  <c r="AR198" i="83"/>
  <c r="AR186" i="83"/>
  <c r="AS165" i="83"/>
  <c r="AR184" i="83"/>
  <c r="AS166" i="83"/>
  <c r="AS169" i="83"/>
  <c r="AR167" i="83"/>
  <c r="AS193" i="83"/>
  <c r="AR200" i="83"/>
  <c r="AR201" i="83"/>
  <c r="AS176" i="83"/>
  <c r="AR187" i="83"/>
  <c r="AS179" i="83"/>
  <c r="AS199" i="83"/>
  <c r="AR179" i="83"/>
  <c r="AS194" i="83"/>
  <c r="AS189" i="83"/>
  <c r="AR161" i="83"/>
  <c r="AS168" i="83"/>
  <c r="AS163" i="83"/>
  <c r="AS188" i="83"/>
  <c r="AS202" i="83"/>
  <c r="AS203" i="83"/>
  <c r="AS184" i="83"/>
  <c r="AS161" i="83"/>
  <c r="C256" i="81"/>
  <c r="AX29" i="82"/>
  <c r="AY30" i="82" s="1"/>
  <c r="AN29" i="82"/>
  <c r="AN36" i="82" s="1"/>
  <c r="Y17" i="83"/>
  <c r="G106" i="83" s="1"/>
  <c r="W125" i="83" a="1"/>
  <c r="W125" i="83" s="1"/>
  <c r="C122" i="83" s="1"/>
  <c r="C264" i="83"/>
  <c r="BB194" i="83"/>
  <c r="BB189" i="83"/>
  <c r="BB161" i="83"/>
  <c r="BC200" i="83"/>
  <c r="BC168" i="83"/>
  <c r="BB184" i="83"/>
  <c r="BC177" i="83"/>
  <c r="BB169" i="83"/>
  <c r="BB178" i="83"/>
  <c r="BB188" i="83"/>
  <c r="BC201" i="83"/>
  <c r="BC163" i="83"/>
  <c r="BC171" i="83"/>
  <c r="BC158" i="83"/>
  <c r="BB193" i="83"/>
  <c r="BC167" i="83"/>
  <c r="BB199" i="83"/>
  <c r="BC161" i="83"/>
  <c r="BB171" i="83"/>
  <c r="BB174" i="83"/>
  <c r="BC175" i="83"/>
  <c r="BB166" i="83"/>
  <c r="BC204" i="83"/>
  <c r="BC196" i="83"/>
  <c r="BB162" i="83"/>
  <c r="BB203" i="83"/>
  <c r="BC199" i="83"/>
  <c r="BB192" i="83"/>
  <c r="BC159" i="83"/>
  <c r="BC162" i="83"/>
  <c r="BC184" i="83"/>
  <c r="BC192" i="83"/>
  <c r="BB202" i="83"/>
  <c r="BB164" i="83"/>
  <c r="BB163" i="83"/>
  <c r="BB176" i="83"/>
  <c r="BB204" i="83"/>
  <c r="BC189" i="83"/>
  <c r="BC173" i="83"/>
  <c r="BC164" i="83"/>
  <c r="BC160" i="83"/>
  <c r="BC185" i="83"/>
  <c r="BC202" i="83"/>
  <c r="BB198" i="83"/>
  <c r="BB167" i="83"/>
  <c r="BB158" i="83"/>
  <c r="BB159" i="83"/>
  <c r="BB177" i="83"/>
  <c r="BB191" i="83"/>
  <c r="BC178" i="83"/>
  <c r="BC197" i="83"/>
  <c r="BC187" i="83"/>
  <c r="BB196" i="83"/>
  <c r="BB168" i="83"/>
  <c r="BC174" i="83"/>
  <c r="BB160" i="83"/>
  <c r="BB175" i="83"/>
  <c r="BC169" i="83"/>
  <c r="BB165" i="83"/>
  <c r="BB186" i="83"/>
  <c r="BC193" i="83"/>
  <c r="BB200" i="83"/>
  <c r="BB201" i="83"/>
  <c r="BC176" i="83"/>
  <c r="BC179" i="83"/>
  <c r="BC195" i="83"/>
  <c r="BB205" i="83"/>
  <c r="BB190" i="83"/>
  <c r="BB187" i="83"/>
  <c r="BC194" i="83"/>
  <c r="BB195" i="83"/>
  <c r="BC170" i="83"/>
  <c r="BC188" i="83"/>
  <c r="BB185" i="83"/>
  <c r="BC198" i="83"/>
  <c r="BC203" i="83"/>
  <c r="BB197" i="83"/>
  <c r="BB179" i="83"/>
  <c r="BC205" i="83"/>
  <c r="BC186" i="83"/>
  <c r="BC166" i="83"/>
  <c r="BC191" i="83"/>
  <c r="BB170" i="83"/>
  <c r="BB172" i="83"/>
  <c r="BC165" i="83"/>
  <c r="BC190" i="83"/>
  <c r="BB173" i="83"/>
  <c r="BC172" i="83"/>
  <c r="C124" i="83"/>
  <c r="C254" i="81"/>
  <c r="Y11" i="82"/>
  <c r="G100" i="82" s="1"/>
  <c r="C155" i="83"/>
  <c r="AJ15" i="83"/>
  <c r="G158" i="83" s="1"/>
  <c r="AE20" i="83"/>
  <c r="AE19" i="83" s="1"/>
  <c r="AD134" i="83"/>
  <c r="C227" i="83"/>
  <c r="AO11" i="82"/>
  <c r="C203" i="82" s="1"/>
  <c r="C166" i="83"/>
  <c r="AI202" i="83"/>
  <c r="AH194" i="83"/>
  <c r="AH184" i="83"/>
  <c r="AH191" i="83"/>
  <c r="AH163" i="83"/>
  <c r="AH162" i="83"/>
  <c r="AH164" i="83"/>
  <c r="AH179" i="83"/>
  <c r="AH165" i="83"/>
  <c r="AH199" i="83"/>
  <c r="AH166" i="83"/>
  <c r="AH193" i="83"/>
  <c r="AI168" i="83"/>
  <c r="AI167" i="83"/>
  <c r="AI160" i="83"/>
  <c r="AH190" i="83"/>
  <c r="AI190" i="83"/>
  <c r="AI175" i="83"/>
  <c r="AI162" i="83"/>
  <c r="AH170" i="83"/>
  <c r="AI200" i="83"/>
  <c r="AI176" i="83"/>
  <c r="AI173" i="83"/>
  <c r="AH197" i="83"/>
  <c r="AI201" i="83"/>
  <c r="AH171" i="83"/>
  <c r="AI171" i="83"/>
  <c r="AH175" i="83"/>
  <c r="AH189" i="83"/>
  <c r="AH203" i="83"/>
  <c r="AH172" i="83"/>
  <c r="AH174" i="83"/>
  <c r="AH198" i="83"/>
  <c r="AH158" i="83"/>
  <c r="AH159" i="83"/>
  <c r="AH173" i="83"/>
  <c r="AI204" i="83"/>
  <c r="AI196" i="83"/>
  <c r="AI187" i="83"/>
  <c r="AH177" i="83"/>
  <c r="AI189" i="83"/>
  <c r="AI203" i="83"/>
  <c r="AI188" i="83"/>
  <c r="AI185" i="83"/>
  <c r="AI164" i="83"/>
  <c r="AI184" i="83"/>
  <c r="AI158" i="83"/>
  <c r="AH176" i="83"/>
  <c r="AH188" i="83"/>
  <c r="AI165" i="83"/>
  <c r="AI192" i="83"/>
  <c r="AH202" i="83"/>
  <c r="AH186" i="83"/>
  <c r="AI174" i="83"/>
  <c r="AH204" i="83"/>
  <c r="AH196" i="83"/>
  <c r="AI163" i="83"/>
  <c r="AI178" i="83"/>
  <c r="AI197" i="83"/>
  <c r="AH205" i="83"/>
  <c r="AH185" i="83"/>
  <c r="AH160" i="83"/>
  <c r="AI169" i="83"/>
  <c r="AH168" i="83"/>
  <c r="AI205" i="83"/>
  <c r="AH195" i="83"/>
  <c r="AI193" i="83"/>
  <c r="AH200" i="83"/>
  <c r="AH201" i="83"/>
  <c r="AH169" i="83"/>
  <c r="AH192" i="83"/>
  <c r="AH178" i="83"/>
  <c r="AI179" i="83"/>
  <c r="AI195" i="83"/>
  <c r="AH161" i="83"/>
  <c r="AI194" i="83"/>
  <c r="AI199" i="83"/>
  <c r="AH187" i="83"/>
  <c r="AI177" i="83"/>
  <c r="AI166" i="83"/>
  <c r="AI159" i="83"/>
  <c r="AI170" i="83"/>
  <c r="AI198" i="83"/>
  <c r="AI186" i="83"/>
  <c r="AI172" i="83"/>
  <c r="AH167" i="83"/>
  <c r="AI161" i="83"/>
  <c r="AI191" i="83"/>
  <c r="AN85" i="83"/>
  <c r="C276" i="83"/>
  <c r="S36" i="83"/>
  <c r="T30" i="83"/>
  <c r="S66" i="83"/>
  <c r="S134" i="82"/>
  <c r="AY19" i="81"/>
  <c r="C260" i="81" s="1"/>
  <c r="AT15" i="82"/>
  <c r="G207" i="82" s="1"/>
  <c r="AE11" i="83"/>
  <c r="C154" i="83" s="1"/>
  <c r="AD29" i="83"/>
  <c r="C158" i="83"/>
  <c r="AX85" i="83"/>
  <c r="AX134" i="83"/>
  <c r="AY20" i="83"/>
  <c r="C253" i="83"/>
  <c r="BD15" i="83"/>
  <c r="G256" i="83" s="1"/>
  <c r="S84" i="83"/>
  <c r="C178" i="83"/>
  <c r="AO20" i="82"/>
  <c r="AT11" i="82" s="1"/>
  <c r="G203" i="82" s="1"/>
  <c r="C254" i="83"/>
  <c r="AD85" i="83"/>
  <c r="AO15" i="50"/>
  <c r="AO12" i="50"/>
  <c r="AO13" i="50"/>
  <c r="AO14" i="50"/>
  <c r="BC177" i="82"/>
  <c r="BB169" i="82"/>
  <c r="BB187" i="82"/>
  <c r="BB196" i="82"/>
  <c r="BB179" i="82"/>
  <c r="BB158" i="82"/>
  <c r="C264" i="82"/>
  <c r="BC168" i="82"/>
  <c r="BB170" i="82"/>
  <c r="BB176" i="82"/>
  <c r="BB160" i="82"/>
  <c r="BB194" i="82"/>
  <c r="BC201" i="82"/>
  <c r="BB163" i="82"/>
  <c r="BB164" i="82"/>
  <c r="BB175" i="82"/>
  <c r="BC176" i="82"/>
  <c r="BB198" i="82"/>
  <c r="BC166" i="82"/>
  <c r="BC171" i="82"/>
  <c r="BB191" i="82"/>
  <c r="BB197" i="82"/>
  <c r="BB165" i="82"/>
  <c r="BB174" i="82"/>
  <c r="BC196" i="82"/>
  <c r="BB201" i="82"/>
  <c r="BB168" i="82"/>
  <c r="BC167" i="82"/>
  <c r="BB159" i="82"/>
  <c r="BC175" i="82"/>
  <c r="BB178" i="82"/>
  <c r="BC187" i="82"/>
  <c r="BC179" i="82"/>
  <c r="BB189" i="82"/>
  <c r="BC194" i="82"/>
  <c r="BC197" i="82"/>
  <c r="BB161" i="82"/>
  <c r="BC163" i="82"/>
  <c r="BB193" i="82"/>
  <c r="BB166" i="82"/>
  <c r="BC178" i="82"/>
  <c r="BC186" i="82"/>
  <c r="BC192" i="82"/>
  <c r="BB190" i="82"/>
  <c r="BC159" i="82"/>
  <c r="BB195" i="82"/>
  <c r="BB177" i="82"/>
  <c r="BB172" i="82"/>
  <c r="BB167" i="82"/>
  <c r="BB173" i="82"/>
  <c r="BC189" i="82"/>
  <c r="BB204" i="82"/>
  <c r="BB200" i="82"/>
  <c r="BC198" i="82"/>
  <c r="BC195" i="82"/>
  <c r="BC164" i="82"/>
  <c r="BC161" i="82"/>
  <c r="BC202" i="82"/>
  <c r="BC193" i="82"/>
  <c r="BB203" i="82"/>
  <c r="BB192" i="82"/>
  <c r="BC172" i="82"/>
  <c r="BB202" i="82"/>
  <c r="BC185" i="82"/>
  <c r="BC170" i="82"/>
  <c r="BC203" i="82"/>
  <c r="BB162" i="82"/>
  <c r="BC199" i="82"/>
  <c r="BC184" i="82"/>
  <c r="BC158" i="82"/>
  <c r="BC205" i="82"/>
  <c r="BC165" i="82"/>
  <c r="BB184" i="82"/>
  <c r="BC188" i="82"/>
  <c r="BC173" i="82"/>
  <c r="BC160" i="82"/>
  <c r="BB205" i="82"/>
  <c r="BC174" i="82"/>
  <c r="BB185" i="82"/>
  <c r="BC191" i="82"/>
  <c r="BC169" i="82"/>
  <c r="BB199" i="82"/>
  <c r="BC162" i="82"/>
  <c r="BC190" i="82"/>
  <c r="BC200" i="82"/>
  <c r="BB186" i="82"/>
  <c r="BB171" i="82"/>
  <c r="BC204" i="82"/>
  <c r="BB188" i="82"/>
  <c r="C166" i="82"/>
  <c r="AH189" i="82"/>
  <c r="AH187" i="82"/>
  <c r="AI164" i="82"/>
  <c r="AH175" i="82"/>
  <c r="AI205" i="82"/>
  <c r="AH170" i="82"/>
  <c r="AI202" i="82"/>
  <c r="AI198" i="82"/>
  <c r="AI179" i="82"/>
  <c r="AI195" i="82"/>
  <c r="AI168" i="82"/>
  <c r="AH191" i="82"/>
  <c r="AI158" i="82"/>
  <c r="AH165" i="82"/>
  <c r="AI189" i="82"/>
  <c r="AH184" i="82"/>
  <c r="AI188" i="82"/>
  <c r="AH195" i="82"/>
  <c r="AI204" i="82"/>
  <c r="AI176" i="82"/>
  <c r="AH186" i="82"/>
  <c r="AH172" i="82"/>
  <c r="AH196" i="82"/>
  <c r="AH173" i="82"/>
  <c r="AI166" i="82"/>
  <c r="AI201" i="82"/>
  <c r="AI171" i="82"/>
  <c r="AI184" i="82"/>
  <c r="AH193" i="82"/>
  <c r="AH194" i="82"/>
  <c r="AH178" i="82"/>
  <c r="AH200" i="82"/>
  <c r="AI162" i="82"/>
  <c r="AH164" i="82"/>
  <c r="AI177" i="82"/>
  <c r="AI194" i="82"/>
  <c r="AI197" i="82"/>
  <c r="AH161" i="82"/>
  <c r="AI161" i="82"/>
  <c r="AI185" i="82"/>
  <c r="AH158" i="82"/>
  <c r="AH166" i="82"/>
  <c r="AH159" i="82"/>
  <c r="AI178" i="82"/>
  <c r="AI186" i="82"/>
  <c r="AI192" i="82"/>
  <c r="AH197" i="82"/>
  <c r="AH202" i="82"/>
  <c r="AI170" i="82"/>
  <c r="AI173" i="82"/>
  <c r="AI200" i="82"/>
  <c r="AI174" i="82"/>
  <c r="AH176" i="82"/>
  <c r="AH199" i="82"/>
  <c r="AH192" i="82"/>
  <c r="AI163" i="82"/>
  <c r="AI203" i="82"/>
  <c r="AH174" i="82"/>
  <c r="AH167" i="82"/>
  <c r="AI175" i="82"/>
  <c r="AI193" i="82"/>
  <c r="AH190" i="82"/>
  <c r="AI172" i="82"/>
  <c r="AH179" i="82"/>
  <c r="AI159" i="82"/>
  <c r="AH203" i="82"/>
  <c r="AH162" i="82"/>
  <c r="AI199" i="82"/>
  <c r="AH169" i="82"/>
  <c r="AH177" i="82"/>
  <c r="AI165" i="82"/>
  <c r="AH205" i="82"/>
  <c r="AH204" i="82"/>
  <c r="AI160" i="82"/>
  <c r="AI196" i="82"/>
  <c r="AH201" i="82"/>
  <c r="AH168" i="82"/>
  <c r="AI167" i="82"/>
  <c r="AH188" i="82"/>
  <c r="AH163" i="82"/>
  <c r="AH185" i="82"/>
  <c r="AI191" i="82"/>
  <c r="AI169" i="82"/>
  <c r="AH198" i="82"/>
  <c r="AH160" i="82"/>
  <c r="AI190" i="82"/>
  <c r="AH171" i="82"/>
  <c r="AI187" i="82"/>
  <c r="C109" i="82"/>
  <c r="Y18" i="82"/>
  <c r="T16" i="82"/>
  <c r="R209" i="82" s="1"/>
  <c r="Z6" i="82" s="1"/>
  <c r="X192" i="82"/>
  <c r="X162" i="82"/>
  <c r="X170" i="82"/>
  <c r="X187" i="82"/>
  <c r="X205" i="82"/>
  <c r="X163" i="82"/>
  <c r="X190" i="82"/>
  <c r="X168" i="82"/>
  <c r="X202" i="82"/>
  <c r="X195" i="82"/>
  <c r="X172" i="82"/>
  <c r="X189" i="82"/>
  <c r="X204" i="82"/>
  <c r="X177" i="82"/>
  <c r="X169" i="82"/>
  <c r="X166" i="82"/>
  <c r="X201" i="82"/>
  <c r="X167" i="82"/>
  <c r="X184" i="82"/>
  <c r="X179" i="82"/>
  <c r="X173" i="82"/>
  <c r="X191" i="82"/>
  <c r="X176" i="82"/>
  <c r="X185" i="82"/>
  <c r="X178" i="82"/>
  <c r="X186" i="82"/>
  <c r="X171" i="82"/>
  <c r="X159" i="82"/>
  <c r="X194" i="82"/>
  <c r="X197" i="82"/>
  <c r="X161" i="82"/>
  <c r="X164" i="82"/>
  <c r="X193" i="82"/>
  <c r="X160" i="82"/>
  <c r="X158" i="82"/>
  <c r="X198" i="82"/>
  <c r="X199" i="82"/>
  <c r="X174" i="82"/>
  <c r="X165" i="82"/>
  <c r="X188" i="82"/>
  <c r="X196" i="82"/>
  <c r="X175" i="82"/>
  <c r="X200" i="82"/>
  <c r="X203" i="82"/>
  <c r="C178" i="82"/>
  <c r="C158" i="82"/>
  <c r="AD29" i="82"/>
  <c r="AE11" i="82"/>
  <c r="C154" i="82" s="1"/>
  <c r="AY19" i="82"/>
  <c r="S84" i="82"/>
  <c r="C227" i="82"/>
  <c r="Y14" i="82"/>
  <c r="C215" i="82"/>
  <c r="AS179" i="82"/>
  <c r="AS177" i="82"/>
  <c r="AS200" i="82"/>
  <c r="AR184" i="82"/>
  <c r="AS178" i="82"/>
  <c r="AR194" i="82"/>
  <c r="AR185" i="82"/>
  <c r="AR200" i="82"/>
  <c r="AR204" i="82"/>
  <c r="AR167" i="82"/>
  <c r="AS198" i="82"/>
  <c r="AR160" i="82"/>
  <c r="AR188" i="82"/>
  <c r="AR161" i="82"/>
  <c r="AR173" i="82"/>
  <c r="AR176" i="82"/>
  <c r="AS190" i="82"/>
  <c r="AS201" i="82"/>
  <c r="AS185" i="82"/>
  <c r="AR197" i="82"/>
  <c r="AS189" i="82"/>
  <c r="AS159" i="82"/>
  <c r="AS204" i="82"/>
  <c r="AR195" i="82"/>
  <c r="AS196" i="82"/>
  <c r="AS176" i="82"/>
  <c r="AR158" i="82"/>
  <c r="AR198" i="82"/>
  <c r="AS188" i="82"/>
  <c r="AS173" i="82"/>
  <c r="AR164" i="82"/>
  <c r="AS187" i="82"/>
  <c r="AR190" i="82"/>
  <c r="AS166" i="82"/>
  <c r="AR168" i="82"/>
  <c r="AR170" i="82"/>
  <c r="AS169" i="82"/>
  <c r="AR163" i="82"/>
  <c r="AS191" i="82"/>
  <c r="AS161" i="82"/>
  <c r="AR199" i="82"/>
  <c r="AS202" i="82"/>
  <c r="AR196" i="82"/>
  <c r="AR189" i="82"/>
  <c r="AR193" i="82"/>
  <c r="AS171" i="82"/>
  <c r="AR159" i="82"/>
  <c r="AR187" i="82"/>
  <c r="AS193" i="82"/>
  <c r="AR191" i="82"/>
  <c r="AR178" i="82"/>
  <c r="AR177" i="82"/>
  <c r="AS168" i="82"/>
  <c r="AS162" i="82"/>
  <c r="AS165" i="82"/>
  <c r="AS194" i="82"/>
  <c r="AS203" i="82"/>
  <c r="AS197" i="82"/>
  <c r="AR172" i="82"/>
  <c r="AS172" i="82"/>
  <c r="AR175" i="82"/>
  <c r="AS195" i="82"/>
  <c r="AR166" i="82"/>
  <c r="AS192" i="82"/>
  <c r="AS164" i="82"/>
  <c r="AR179" i="82"/>
  <c r="AS184" i="82"/>
  <c r="AR205" i="82"/>
  <c r="AR192" i="82"/>
  <c r="AR203" i="82"/>
  <c r="AS174" i="82"/>
  <c r="AS170" i="82"/>
  <c r="AS160" i="82"/>
  <c r="AS205" i="82"/>
  <c r="AR162" i="82"/>
  <c r="AR174" i="82"/>
  <c r="AR202" i="82"/>
  <c r="AS163" i="82"/>
  <c r="AS199" i="82"/>
  <c r="AS175" i="82"/>
  <c r="AR169" i="82"/>
  <c r="AS186" i="82"/>
  <c r="AR171" i="82"/>
  <c r="AR201" i="82"/>
  <c r="AS167" i="82"/>
  <c r="AR165" i="82"/>
  <c r="AS158" i="82"/>
  <c r="AR186" i="82"/>
  <c r="AX85" i="82"/>
  <c r="AD85" i="82"/>
  <c r="AN85" i="82"/>
  <c r="C276" i="82"/>
  <c r="C124" i="82"/>
  <c r="BC201" i="81"/>
  <c r="AR125" i="81" a="1"/>
  <c r="AR125" i="81" s="1"/>
  <c r="C225" i="81" s="1"/>
  <c r="BC202" i="81"/>
  <c r="BD11" i="81"/>
  <c r="BD12" i="81" s="1"/>
  <c r="BC205" i="81"/>
  <c r="BD14" i="81"/>
  <c r="G255" i="81" s="1"/>
  <c r="Y15" i="81"/>
  <c r="G104" i="81" s="1"/>
  <c r="T20" i="81"/>
  <c r="C109" i="81" s="1"/>
  <c r="X160" i="81"/>
  <c r="X196" i="81"/>
  <c r="X203" i="81"/>
  <c r="X188" i="81"/>
  <c r="BC176" i="81"/>
  <c r="BC165" i="81"/>
  <c r="BC199" i="81"/>
  <c r="BC170" i="81"/>
  <c r="BC194" i="81"/>
  <c r="BC191" i="81"/>
  <c r="BC190" i="81"/>
  <c r="AR116" i="81" a="1"/>
  <c r="AR116" i="81" s="1"/>
  <c r="C223" i="81" s="1"/>
  <c r="X165" i="81"/>
  <c r="X185" i="81"/>
  <c r="X201" i="81"/>
  <c r="X168" i="81"/>
  <c r="X177" i="81"/>
  <c r="X200" i="81"/>
  <c r="X170" i="81"/>
  <c r="X189" i="81"/>
  <c r="X167" i="81"/>
  <c r="X171" i="81"/>
  <c r="X172" i="81"/>
  <c r="X184" i="81"/>
  <c r="X190" i="81"/>
  <c r="X161" i="81"/>
  <c r="X187" i="81"/>
  <c r="X199" i="81"/>
  <c r="X173" i="81"/>
  <c r="X194" i="81"/>
  <c r="X175" i="81"/>
  <c r="AY13" i="50"/>
  <c r="AY12" i="50"/>
  <c r="AY15" i="50"/>
  <c r="AY14" i="50"/>
  <c r="C124" i="81"/>
  <c r="AN134" i="81"/>
  <c r="C204" i="81"/>
  <c r="AT15" i="81"/>
  <c r="G207" i="81" s="1"/>
  <c r="AO20" i="81"/>
  <c r="AO19" i="81" s="1"/>
  <c r="BC195" i="81"/>
  <c r="C155" i="81"/>
  <c r="AE20" i="81"/>
  <c r="AJ15" i="81"/>
  <c r="G158" i="81" s="1"/>
  <c r="AD134" i="81"/>
  <c r="AH203" i="81"/>
  <c r="AH178" i="81"/>
  <c r="AH193" i="81"/>
  <c r="AH175" i="81"/>
  <c r="AI167" i="81"/>
  <c r="AI204" i="81"/>
  <c r="AH189" i="81"/>
  <c r="AH167" i="81"/>
  <c r="AI159" i="81"/>
  <c r="AH168" i="81"/>
  <c r="AH194" i="81"/>
  <c r="AI184" i="81"/>
  <c r="C166" i="81"/>
  <c r="AH159" i="81"/>
  <c r="AI178" i="81"/>
  <c r="AI179" i="81"/>
  <c r="AH161" i="81"/>
  <c r="AI164" i="81"/>
  <c r="AH192" i="81"/>
  <c r="AH202" i="81"/>
  <c r="AH185" i="81"/>
  <c r="AI196" i="81"/>
  <c r="AI197" i="81"/>
  <c r="AI165" i="81"/>
  <c r="AI199" i="81"/>
  <c r="AH164" i="81"/>
  <c r="AI174" i="81"/>
  <c r="AH163" i="81"/>
  <c r="AI169" i="81"/>
  <c r="AI187" i="81"/>
  <c r="AI176" i="81"/>
  <c r="AI200" i="81"/>
  <c r="AI173" i="81"/>
  <c r="AH204" i="81"/>
  <c r="AH187" i="81"/>
  <c r="AH188" i="81"/>
  <c r="AH198" i="81"/>
  <c r="AH199" i="81"/>
  <c r="AH177" i="81"/>
  <c r="AI188" i="81"/>
  <c r="AH158" i="81"/>
  <c r="AI194" i="81"/>
  <c r="AH169" i="81"/>
  <c r="AH171" i="81"/>
  <c r="AH162" i="81"/>
  <c r="AI195" i="81"/>
  <c r="AI205" i="81"/>
  <c r="AI168" i="81"/>
  <c r="AI201" i="81"/>
  <c r="AH176" i="81"/>
  <c r="AH191" i="81"/>
  <c r="AH195" i="81"/>
  <c r="AH165" i="81"/>
  <c r="AI175" i="81"/>
  <c r="AI166" i="81"/>
  <c r="AI190" i="81"/>
  <c r="AI170" i="81"/>
  <c r="AH179" i="81"/>
  <c r="AI158" i="81"/>
  <c r="AH190" i="81"/>
  <c r="AI171" i="81"/>
  <c r="AI191" i="81"/>
  <c r="AH200" i="81"/>
  <c r="AH186" i="81"/>
  <c r="AH184" i="81"/>
  <c r="AH197" i="81"/>
  <c r="AH201" i="81"/>
  <c r="AH170" i="81"/>
  <c r="AI203" i="81"/>
  <c r="AI202" i="81"/>
  <c r="AI185" i="81"/>
  <c r="AI160" i="81"/>
  <c r="AI189" i="81"/>
  <c r="AH166" i="81"/>
  <c r="AH172" i="81"/>
  <c r="AI192" i="81"/>
  <c r="AI162" i="81"/>
  <c r="AH174" i="81"/>
  <c r="AI172" i="81"/>
  <c r="AI161" i="81"/>
  <c r="AI198" i="81"/>
  <c r="AH205" i="81"/>
  <c r="AH173" i="81"/>
  <c r="AI186" i="81"/>
  <c r="AH160" i="81"/>
  <c r="AH196" i="81"/>
  <c r="AI193" i="81"/>
  <c r="AI177" i="81"/>
  <c r="AI163" i="81"/>
  <c r="AO11" i="81"/>
  <c r="C203" i="81" s="1"/>
  <c r="C207" i="81"/>
  <c r="AN29" i="81"/>
  <c r="AN84" i="81"/>
  <c r="BC204" i="81"/>
  <c r="BC172" i="81"/>
  <c r="BC162" i="81"/>
  <c r="BC160" i="81"/>
  <c r="D44" i="77"/>
  <c r="D47" i="77"/>
  <c r="AD85" i="81"/>
  <c r="X162" i="81"/>
  <c r="X205" i="81"/>
  <c r="X204" i="81"/>
  <c r="X179" i="81"/>
  <c r="X202" i="81"/>
  <c r="BC188" i="81"/>
  <c r="AX84" i="81"/>
  <c r="BB125" i="81" a="1"/>
  <c r="BB125" i="81" s="1"/>
  <c r="C274" i="81" s="1"/>
  <c r="X164" i="81"/>
  <c r="X195" i="81"/>
  <c r="X178" i="81"/>
  <c r="C276" i="81"/>
  <c r="D43" i="77"/>
  <c r="D46" i="77"/>
  <c r="D48" i="77"/>
  <c r="F48" i="77" s="1"/>
  <c r="G48" i="77" s="1"/>
  <c r="D45" i="77"/>
  <c r="BC203" i="81"/>
  <c r="BC200" i="81"/>
  <c r="BC163" i="81"/>
  <c r="S84" i="81"/>
  <c r="X176" i="81"/>
  <c r="BC196" i="81"/>
  <c r="BC161" i="81"/>
  <c r="C178" i="81"/>
  <c r="X163" i="81"/>
  <c r="W125" i="81" a="1"/>
  <c r="W125" i="81" s="1"/>
  <c r="C122" i="81" s="1"/>
  <c r="X158" i="81"/>
  <c r="X191" i="81"/>
  <c r="X198" i="81"/>
  <c r="D98" i="77"/>
  <c r="D103" i="77"/>
  <c r="F103" i="77" s="1"/>
  <c r="G103" i="77" s="1"/>
  <c r="D101" i="77"/>
  <c r="D100" i="77"/>
  <c r="T79" i="77" s="1"/>
  <c r="BC175" i="81"/>
  <c r="BC193" i="81"/>
  <c r="BC198" i="81"/>
  <c r="BC159" i="81"/>
  <c r="BC192" i="81"/>
  <c r="BC177" i="81"/>
  <c r="BC179" i="81"/>
  <c r="BC186" i="81"/>
  <c r="BC166" i="81"/>
  <c r="BC174" i="81"/>
  <c r="BC184" i="81"/>
  <c r="BC178" i="81"/>
  <c r="C205" i="81"/>
  <c r="BC168" i="81"/>
  <c r="BC158" i="81"/>
  <c r="D102" i="77"/>
  <c r="D99" i="77"/>
  <c r="C227" i="81"/>
  <c r="BC167" i="81"/>
  <c r="AE11" i="81"/>
  <c r="C154" i="81" s="1"/>
  <c r="C158" i="81"/>
  <c r="AD29" i="81"/>
  <c r="BC164" i="81"/>
  <c r="X197" i="81"/>
  <c r="X166" i="81"/>
  <c r="X192" i="81"/>
  <c r="X159" i="81"/>
  <c r="BC173" i="81"/>
  <c r="BC185" i="81"/>
  <c r="C104" i="81"/>
  <c r="S29" i="81"/>
  <c r="T11" i="81"/>
  <c r="C100" i="81" s="1"/>
  <c r="AX36" i="81"/>
  <c r="AY30" i="81"/>
  <c r="AX66" i="81"/>
  <c r="BC169" i="81"/>
  <c r="C261" i="81"/>
  <c r="AY16" i="81"/>
  <c r="AW209" i="81" s="1"/>
  <c r="BE6" i="81" s="1"/>
  <c r="BD18" i="81"/>
  <c r="X193" i="81"/>
  <c r="BC187" i="81"/>
  <c r="BC197" i="81"/>
  <c r="BC189" i="81"/>
  <c r="X169" i="81"/>
  <c r="X174" i="81"/>
  <c r="AO13" i="1"/>
  <c r="AO14" i="1"/>
  <c r="AO12" i="1"/>
  <c r="AO15" i="1"/>
  <c r="T15" i="49"/>
  <c r="T14" i="49"/>
  <c r="T13" i="49"/>
  <c r="T12" i="49"/>
  <c r="AE13" i="1"/>
  <c r="AE12" i="1"/>
  <c r="AE14" i="1"/>
  <c r="AE15" i="1"/>
  <c r="AE14" i="24"/>
  <c r="AE12" i="24"/>
  <c r="AE15" i="24"/>
  <c r="AE13" i="24"/>
  <c r="T14" i="24"/>
  <c r="T12" i="24"/>
  <c r="T13" i="24"/>
  <c r="T15" i="24"/>
  <c r="T15" i="50"/>
  <c r="T12" i="50"/>
  <c r="T14" i="50"/>
  <c r="T13" i="50"/>
  <c r="AY14" i="24"/>
  <c r="AY15" i="24"/>
  <c r="AY12" i="24"/>
  <c r="AY13" i="24"/>
  <c r="T12" i="1"/>
  <c r="T13" i="1"/>
  <c r="T15" i="1"/>
  <c r="T14" i="1"/>
  <c r="AO12" i="49"/>
  <c r="AO13" i="49"/>
  <c r="AO14" i="49"/>
  <c r="AO15" i="49"/>
  <c r="AY15" i="49"/>
  <c r="AY14" i="49"/>
  <c r="AY13" i="49"/>
  <c r="AY12" i="49"/>
  <c r="AE15" i="49"/>
  <c r="AE14" i="49"/>
  <c r="AE13" i="49"/>
  <c r="AE12" i="49"/>
  <c r="AY14" i="1"/>
  <c r="AY12" i="1"/>
  <c r="AY13" i="1"/>
  <c r="AY15" i="1"/>
  <c r="AE12" i="50"/>
  <c r="AE15" i="50"/>
  <c r="AE14" i="50"/>
  <c r="AE13" i="50"/>
  <c r="AY14" i="48"/>
  <c r="AY15" i="48"/>
  <c r="AY13" i="48"/>
  <c r="AY12" i="48"/>
  <c r="AE12" i="48"/>
  <c r="AE13" i="48"/>
  <c r="AE14" i="48"/>
  <c r="AE15" i="48"/>
  <c r="AO12" i="48"/>
  <c r="AO13" i="48"/>
  <c r="AO14" i="48"/>
  <c r="AO15" i="48"/>
  <c r="T15" i="48"/>
  <c r="T14" i="48"/>
  <c r="T13" i="48"/>
  <c r="T12" i="48"/>
  <c r="AO15" i="24"/>
  <c r="AO14" i="24"/>
  <c r="AO13" i="24"/>
  <c r="AO12" i="24"/>
  <c r="BC38" i="24"/>
  <c r="BC34" i="24"/>
  <c r="T142" i="77"/>
  <c r="T152" i="77"/>
  <c r="T151" i="77"/>
  <c r="T147" i="77"/>
  <c r="T148" i="77" s="1"/>
  <c r="AN24" i="49"/>
  <c r="AS25" i="49"/>
  <c r="AN48" i="49" s="1"/>
  <c r="AP25" i="49"/>
  <c r="AN85" i="49" s="1"/>
  <c r="AN84" i="49" s="1"/>
  <c r="AX85" i="49"/>
  <c r="AD85" i="49"/>
  <c r="AI38" i="49"/>
  <c r="AI34" i="49"/>
  <c r="AS38" i="49"/>
  <c r="AS34" i="49"/>
  <c r="X38" i="49"/>
  <c r="X34" i="49"/>
  <c r="AD24" i="1"/>
  <c r="AF25" i="1"/>
  <c r="AI25" i="1"/>
  <c r="AD48" i="1" s="1"/>
  <c r="X38" i="1"/>
  <c r="X34" i="1"/>
  <c r="BC25" i="1"/>
  <c r="AX48" i="1" s="1"/>
  <c r="AZ25" i="1"/>
  <c r="AX24" i="1"/>
  <c r="BC34" i="1"/>
  <c r="AI38" i="1"/>
  <c r="AI34" i="1"/>
  <c r="S85" i="1"/>
  <c r="AS25" i="1"/>
  <c r="AN48" i="1" s="1"/>
  <c r="AN24" i="1"/>
  <c r="AP25" i="1"/>
  <c r="AS34" i="1"/>
  <c r="AN85" i="50"/>
  <c r="S85" i="50"/>
  <c r="AI25" i="50"/>
  <c r="AD48" i="50" s="1"/>
  <c r="AD24" i="50"/>
  <c r="AF25" i="50"/>
  <c r="AS34" i="50"/>
  <c r="AS38" i="50"/>
  <c r="BC38" i="50"/>
  <c r="BC34" i="50"/>
  <c r="AX24" i="50"/>
  <c r="AZ25" i="50"/>
  <c r="BC25" i="50"/>
  <c r="AX48" i="50" s="1"/>
  <c r="X34" i="50"/>
  <c r="X38" i="50"/>
  <c r="AI25" i="48"/>
  <c r="AD48" i="48" s="1"/>
  <c r="AF25" i="48"/>
  <c r="AD24" i="48"/>
  <c r="AS25" i="48"/>
  <c r="AN48" i="48" s="1"/>
  <c r="AP25" i="48"/>
  <c r="AN24" i="48"/>
  <c r="BC25" i="48"/>
  <c r="AX48" i="48" s="1"/>
  <c r="AZ25" i="48"/>
  <c r="AX24" i="48"/>
  <c r="BC38" i="48"/>
  <c r="BC34" i="48"/>
  <c r="AS38" i="48"/>
  <c r="AS34" i="48"/>
  <c r="X38" i="48"/>
  <c r="X34" i="48"/>
  <c r="AI34" i="48"/>
  <c r="AI38" i="48"/>
  <c r="X38" i="24"/>
  <c r="X34" i="24"/>
  <c r="AI38" i="24"/>
  <c r="AI34" i="24"/>
  <c r="S84" i="24"/>
  <c r="AD85" i="24"/>
  <c r="AX85" i="24"/>
  <c r="AI38" i="47"/>
  <c r="BC38" i="47"/>
  <c r="X38" i="47"/>
  <c r="BD17" i="85" l="1"/>
  <c r="G258" i="85" s="1"/>
  <c r="AH125" i="86" a="1"/>
  <c r="AH125" i="86" s="1"/>
  <c r="C176" i="86" s="1"/>
  <c r="T16" i="83"/>
  <c r="R209" i="83" s="1"/>
  <c r="Z6" i="83" s="1"/>
  <c r="AY16" i="82"/>
  <c r="AW209" i="82" s="1"/>
  <c r="BE6" i="82" s="1"/>
  <c r="Y18" i="83"/>
  <c r="C109" i="83"/>
  <c r="T19" i="85"/>
  <c r="S66" i="82"/>
  <c r="C162" i="84"/>
  <c r="S36" i="82"/>
  <c r="T38" i="82" s="1"/>
  <c r="Y11" i="83"/>
  <c r="G100" i="83" s="1"/>
  <c r="AE16" i="84"/>
  <c r="AE18" i="84" s="1"/>
  <c r="AJ18" i="84"/>
  <c r="AD32" i="84" s="1"/>
  <c r="AJ14" i="84"/>
  <c r="AD120" i="84" s="1"/>
  <c r="AT12" i="85"/>
  <c r="AN121" i="85" s="1"/>
  <c r="AN122" i="85" s="1"/>
  <c r="AT11" i="84"/>
  <c r="AT12" i="84" s="1"/>
  <c r="AN121" i="84" s="1"/>
  <c r="BD11" i="82"/>
  <c r="BD12" i="82" s="1"/>
  <c r="BD14" i="82"/>
  <c r="C212" i="84"/>
  <c r="C261" i="82"/>
  <c r="AO19" i="84"/>
  <c r="G154" i="84"/>
  <c r="AO30" i="82"/>
  <c r="AT17" i="84"/>
  <c r="G209" i="84" s="1"/>
  <c r="C212" i="82"/>
  <c r="AN66" i="83"/>
  <c r="AO30" i="83"/>
  <c r="BD14" i="84"/>
  <c r="G255" i="84" s="1"/>
  <c r="AN36" i="84"/>
  <c r="AN119" i="84" s="1"/>
  <c r="AT18" i="84"/>
  <c r="G210" i="84" s="1"/>
  <c r="AN120" i="84"/>
  <c r="C108" i="82"/>
  <c r="BD17" i="82"/>
  <c r="G258" i="82" s="1"/>
  <c r="AO16" i="84"/>
  <c r="AO17" i="84" s="1"/>
  <c r="W116" i="86" a="1"/>
  <c r="W116" i="86" s="1"/>
  <c r="C120" i="86" s="1"/>
  <c r="AO16" i="83"/>
  <c r="AM209" i="83" s="1"/>
  <c r="AU6" i="83" s="1"/>
  <c r="C159" i="86"/>
  <c r="AE18" i="86"/>
  <c r="AE17" i="86"/>
  <c r="C160" i="86" s="1"/>
  <c r="AE37" i="86"/>
  <c r="AD119" i="86"/>
  <c r="AE38" i="86"/>
  <c r="C162" i="86"/>
  <c r="AD82" i="86"/>
  <c r="G182" i="86" s="1"/>
  <c r="I182" i="86" s="1"/>
  <c r="T17" i="86"/>
  <c r="C106" i="86" s="1"/>
  <c r="C105" i="86"/>
  <c r="T18" i="86"/>
  <c r="S120" i="86"/>
  <c r="G103" i="86"/>
  <c r="AN32" i="86"/>
  <c r="G210" i="86"/>
  <c r="G100" i="86"/>
  <c r="Y12" i="86"/>
  <c r="C227" i="86"/>
  <c r="AM209" i="86"/>
  <c r="AU6" i="86" s="1"/>
  <c r="AN66" i="82"/>
  <c r="T38" i="86"/>
  <c r="T37" i="86"/>
  <c r="S119" i="86"/>
  <c r="C208" i="86"/>
  <c r="AO18" i="86"/>
  <c r="AO17" i="86"/>
  <c r="AR116" i="86" a="1"/>
  <c r="AR116" i="86" s="1"/>
  <c r="C223" i="86" s="1"/>
  <c r="AN84" i="86"/>
  <c r="AN82" i="85"/>
  <c r="G231" i="85" s="1"/>
  <c r="I231" i="85" s="1"/>
  <c r="G154" i="86"/>
  <c r="AJ12" i="86"/>
  <c r="G259" i="86"/>
  <c r="AX32" i="86"/>
  <c r="AH116" i="86" a="1"/>
  <c r="AH116" i="86" s="1"/>
  <c r="C174" i="86" s="1"/>
  <c r="C257" i="86"/>
  <c r="AY18" i="86"/>
  <c r="AY17" i="86"/>
  <c r="C258" i="86" s="1"/>
  <c r="Y12" i="82"/>
  <c r="S121" i="82" s="1"/>
  <c r="AD32" i="86"/>
  <c r="G161" i="86"/>
  <c r="C260" i="86"/>
  <c r="AX82" i="86"/>
  <c r="G280" i="86" s="1"/>
  <c r="I280" i="86" s="1"/>
  <c r="BD17" i="81"/>
  <c r="G258" i="81" s="1"/>
  <c r="S82" i="83"/>
  <c r="G128" i="83" s="1"/>
  <c r="I128" i="83" s="1"/>
  <c r="AC209" i="86"/>
  <c r="AK6" i="86" s="1"/>
  <c r="G206" i="86"/>
  <c r="AN120" i="86"/>
  <c r="AX29" i="49"/>
  <c r="AO30" i="84"/>
  <c r="C211" i="86"/>
  <c r="AN82" i="86"/>
  <c r="G231" i="86" s="1"/>
  <c r="I231" i="86" s="1"/>
  <c r="C108" i="86"/>
  <c r="S82" i="86"/>
  <c r="G128" i="86" s="1"/>
  <c r="I128" i="86" s="1"/>
  <c r="G252" i="86"/>
  <c r="BD12" i="86"/>
  <c r="G204" i="86"/>
  <c r="AN121" i="86"/>
  <c r="AY38" i="86"/>
  <c r="AX119" i="86"/>
  <c r="AY37" i="86"/>
  <c r="G107" i="86"/>
  <c r="S32" i="86"/>
  <c r="AR125" i="86" a="1"/>
  <c r="AR125" i="86" s="1"/>
  <c r="C225" i="86" s="1"/>
  <c r="AO37" i="86"/>
  <c r="AN119" i="86"/>
  <c r="AO38" i="86"/>
  <c r="Y17" i="85"/>
  <c r="G106" i="85" s="1"/>
  <c r="AO17" i="85"/>
  <c r="AO18" i="85"/>
  <c r="C208" i="85"/>
  <c r="AT18" i="83"/>
  <c r="G210" i="83" s="1"/>
  <c r="S36" i="85"/>
  <c r="S66" i="85"/>
  <c r="T30" i="85"/>
  <c r="AO38" i="85"/>
  <c r="AO37" i="85"/>
  <c r="AN119" i="85"/>
  <c r="AT18" i="82"/>
  <c r="G210" i="82" s="1"/>
  <c r="G255" i="85"/>
  <c r="AX120" i="85"/>
  <c r="S120" i="85"/>
  <c r="G103" i="85"/>
  <c r="AD119" i="85"/>
  <c r="AE37" i="85"/>
  <c r="AE38" i="85"/>
  <c r="AX84" i="85"/>
  <c r="C261" i="85"/>
  <c r="AY16" i="85"/>
  <c r="BD18" i="85"/>
  <c r="BD11" i="85"/>
  <c r="C212" i="83"/>
  <c r="C163" i="82"/>
  <c r="AO16" i="82"/>
  <c r="AM209" i="82" s="1"/>
  <c r="AU6" i="82" s="1"/>
  <c r="AT12" i="83"/>
  <c r="AN121" i="83" s="1"/>
  <c r="AO19" i="83"/>
  <c r="C211" i="83" s="1"/>
  <c r="G157" i="85"/>
  <c r="AD120" i="85"/>
  <c r="AY19" i="85"/>
  <c r="AH116" i="85" a="1"/>
  <c r="AH116" i="85" s="1"/>
  <c r="C174" i="85" s="1"/>
  <c r="AE18" i="85"/>
  <c r="C159" i="85"/>
  <c r="AE17" i="85"/>
  <c r="C160" i="85" s="1"/>
  <c r="AC209" i="85"/>
  <c r="AK6" i="85" s="1"/>
  <c r="AJ14" i="82"/>
  <c r="G157" i="82" s="1"/>
  <c r="AH125" i="85" a="1"/>
  <c r="AH125" i="85" s="1"/>
  <c r="C176" i="85" s="1"/>
  <c r="BB125" i="85" a="1"/>
  <c r="BB125" i="85" s="1"/>
  <c r="C274" i="85" s="1"/>
  <c r="AD32" i="85"/>
  <c r="G161" i="85"/>
  <c r="AX36" i="85"/>
  <c r="AY30" i="85"/>
  <c r="AX66" i="85"/>
  <c r="C108" i="85"/>
  <c r="S82" i="85"/>
  <c r="G128" i="85" s="1"/>
  <c r="I128" i="85" s="1"/>
  <c r="AO20" i="50"/>
  <c r="AO16" i="50" s="1"/>
  <c r="AO17" i="50" s="1"/>
  <c r="T16" i="85"/>
  <c r="C109" i="85"/>
  <c r="Y18" i="85"/>
  <c r="Y11" i="85"/>
  <c r="AM209" i="85"/>
  <c r="AU6" i="85" s="1"/>
  <c r="AD82" i="85"/>
  <c r="G182" i="85" s="1"/>
  <c r="I182" i="85" s="1"/>
  <c r="C162" i="85"/>
  <c r="AR116" i="85" a="1"/>
  <c r="AR116" i="85" s="1"/>
  <c r="C223" i="85" s="1"/>
  <c r="G154" i="85"/>
  <c r="AJ12" i="85"/>
  <c r="AN84" i="85"/>
  <c r="AR125" i="85" a="1"/>
  <c r="AR125" i="85" s="1"/>
  <c r="C225" i="85" s="1"/>
  <c r="AT14" i="83"/>
  <c r="BB116" i="85" a="1"/>
  <c r="BB116" i="85" s="1"/>
  <c r="C272" i="85" s="1"/>
  <c r="AX36" i="82"/>
  <c r="AY38" i="82" s="1"/>
  <c r="G210" i="85"/>
  <c r="AN32" i="85"/>
  <c r="AD84" i="85"/>
  <c r="AY19" i="84"/>
  <c r="AX82" i="84" s="1"/>
  <c r="G280" i="84" s="1"/>
  <c r="I280" i="84" s="1"/>
  <c r="Y17" i="84"/>
  <c r="G106" i="84" s="1"/>
  <c r="AN134" i="50"/>
  <c r="AD119" i="84"/>
  <c r="AE38" i="84"/>
  <c r="AE37" i="84"/>
  <c r="AR116" i="84" a="1"/>
  <c r="AR116" i="84" s="1"/>
  <c r="C223" i="84" s="1"/>
  <c r="AJ11" i="82"/>
  <c r="AJ12" i="82" s="1"/>
  <c r="AN29" i="50"/>
  <c r="AN36" i="50" s="1"/>
  <c r="G103" i="83"/>
  <c r="AR125" i="84" a="1"/>
  <c r="AR125" i="84" s="1"/>
  <c r="C225" i="84" s="1"/>
  <c r="AT17" i="82"/>
  <c r="G209" i="82" s="1"/>
  <c r="BD12" i="84"/>
  <c r="G252" i="84"/>
  <c r="Y18" i="84"/>
  <c r="T16" i="84"/>
  <c r="C109" i="84"/>
  <c r="Y11" i="84"/>
  <c r="AN84" i="84"/>
  <c r="AX66" i="82"/>
  <c r="AH125" i="84" a="1"/>
  <c r="AH125" i="84" s="1"/>
  <c r="C176" i="84" s="1"/>
  <c r="AJ17" i="82"/>
  <c r="G160" i="82" s="1"/>
  <c r="AJ18" i="82"/>
  <c r="AD32" i="82" s="1"/>
  <c r="AX29" i="50"/>
  <c r="AY30" i="50" s="1"/>
  <c r="Y17" i="82"/>
  <c r="G106" i="82" s="1"/>
  <c r="AE19" i="82"/>
  <c r="AD82" i="82" s="1"/>
  <c r="G182" i="82" s="1"/>
  <c r="I182" i="82" s="1"/>
  <c r="AX36" i="84"/>
  <c r="AY30" i="84"/>
  <c r="AX66" i="84"/>
  <c r="Y14" i="84"/>
  <c r="C108" i="84"/>
  <c r="S82" i="84"/>
  <c r="G128" i="84" s="1"/>
  <c r="I128" i="84" s="1"/>
  <c r="AD84" i="84"/>
  <c r="AX82" i="81"/>
  <c r="G280" i="81" s="1"/>
  <c r="I280" i="81" s="1"/>
  <c r="BD15" i="50"/>
  <c r="BD17" i="50" s="1"/>
  <c r="AH116" i="84" a="1"/>
  <c r="AH116" i="84" s="1"/>
  <c r="C174" i="84" s="1"/>
  <c r="T30" i="84"/>
  <c r="S66" i="84"/>
  <c r="S36" i="84"/>
  <c r="BD17" i="83"/>
  <c r="G258" i="83" s="1"/>
  <c r="G155" i="84"/>
  <c r="AD121" i="84"/>
  <c r="AY16" i="84"/>
  <c r="C261" i="84"/>
  <c r="BD18" i="84"/>
  <c r="BD17" i="84"/>
  <c r="G258" i="84" s="1"/>
  <c r="C162" i="83"/>
  <c r="AD82" i="83"/>
  <c r="G182" i="83" s="1"/>
  <c r="I182" i="83" s="1"/>
  <c r="AT15" i="50"/>
  <c r="AT17" i="50" s="1"/>
  <c r="AX84" i="83"/>
  <c r="AX134" i="50"/>
  <c r="AT12" i="82"/>
  <c r="AN121" i="82" s="1"/>
  <c r="AY30" i="83"/>
  <c r="AX36" i="83"/>
  <c r="AX66" i="83"/>
  <c r="C261" i="83"/>
  <c r="AY16" i="83"/>
  <c r="BD18" i="83"/>
  <c r="S119" i="83"/>
  <c r="T38" i="83"/>
  <c r="T37" i="83"/>
  <c r="AN84" i="83"/>
  <c r="AO11" i="50"/>
  <c r="AT14" i="82"/>
  <c r="C163" i="83"/>
  <c r="AE16" i="83"/>
  <c r="AJ18" i="83"/>
  <c r="AO19" i="82"/>
  <c r="BB125" i="83" a="1"/>
  <c r="BB125" i="83" s="1"/>
  <c r="C274" i="83" s="1"/>
  <c r="AJ17" i="83"/>
  <c r="G160" i="83" s="1"/>
  <c r="AJ11" i="83"/>
  <c r="AO17" i="83"/>
  <c r="AO18" i="83"/>
  <c r="BD15" i="24"/>
  <c r="BD17" i="24" s="1"/>
  <c r="AD84" i="83"/>
  <c r="AR125" i="83" a="1"/>
  <c r="AR125" i="83" s="1"/>
  <c r="C225" i="83" s="1"/>
  <c r="AY19" i="83"/>
  <c r="BD14" i="83"/>
  <c r="AD36" i="83"/>
  <c r="AE30" i="83"/>
  <c r="AD66" i="83"/>
  <c r="AH116" i="83" a="1"/>
  <c r="AH116" i="83" s="1"/>
  <c r="C174" i="83" s="1"/>
  <c r="AR116" i="83" a="1"/>
  <c r="AR116" i="83" s="1"/>
  <c r="C223" i="83" s="1"/>
  <c r="BB116" i="83" a="1"/>
  <c r="BB116" i="83" s="1"/>
  <c r="C272" i="83" s="1"/>
  <c r="T17" i="83"/>
  <c r="T18" i="83"/>
  <c r="C105" i="83"/>
  <c r="AT15" i="49"/>
  <c r="AT17" i="49" s="1"/>
  <c r="S32" i="83"/>
  <c r="G107" i="83"/>
  <c r="BD11" i="83"/>
  <c r="AJ14" i="83"/>
  <c r="AH125" i="83" a="1"/>
  <c r="AH125" i="83" s="1"/>
  <c r="C176" i="83" s="1"/>
  <c r="AN119" i="83"/>
  <c r="AO37" i="83"/>
  <c r="AO38" i="83"/>
  <c r="AX134" i="24"/>
  <c r="S119" i="82"/>
  <c r="T37" i="82"/>
  <c r="S134" i="24"/>
  <c r="AY11" i="50"/>
  <c r="C260" i="82"/>
  <c r="AX82" i="82"/>
  <c r="G280" i="82" s="1"/>
  <c r="I280" i="82" s="1"/>
  <c r="W116" i="82" a="1"/>
  <c r="W116" i="82" s="1"/>
  <c r="C120" i="82" s="1"/>
  <c r="T18" i="82"/>
  <c r="C105" i="82"/>
  <c r="T17" i="82"/>
  <c r="AH125" i="82" a="1"/>
  <c r="AH125" i="82" s="1"/>
  <c r="C176" i="82" s="1"/>
  <c r="AD84" i="82"/>
  <c r="AE20" i="49"/>
  <c r="AJ11" i="49" s="1"/>
  <c r="AJ12" i="49" s="1"/>
  <c r="AD66" i="82"/>
  <c r="AE30" i="82"/>
  <c r="AD36" i="82"/>
  <c r="S120" i="82"/>
  <c r="G103" i="82"/>
  <c r="AX84" i="82"/>
  <c r="AN119" i="82"/>
  <c r="AO38" i="82"/>
  <c r="AO37" i="82"/>
  <c r="AR116" i="82" a="1"/>
  <c r="AR116" i="82" s="1"/>
  <c r="C223" i="82" s="1"/>
  <c r="AR125" i="82" a="1"/>
  <c r="AR125" i="82" s="1"/>
  <c r="C225" i="82" s="1"/>
  <c r="G252" i="82"/>
  <c r="G259" i="82"/>
  <c r="AX32" i="82"/>
  <c r="G107" i="82"/>
  <c r="S32" i="82"/>
  <c r="BB125" i="82" a="1"/>
  <c r="BB125" i="82" s="1"/>
  <c r="C274" i="82" s="1"/>
  <c r="C257" i="82"/>
  <c r="AY17" i="82"/>
  <c r="C258" i="82" s="1"/>
  <c r="AY18" i="82"/>
  <c r="BB116" i="82" a="1"/>
  <c r="BB116" i="82" s="1"/>
  <c r="C272" i="82" s="1"/>
  <c r="AN84" i="82"/>
  <c r="AE18" i="82"/>
  <c r="AE17" i="82"/>
  <c r="C160" i="82" s="1"/>
  <c r="C159" i="82"/>
  <c r="AH116" i="82" a="1"/>
  <c r="AH116" i="82" s="1"/>
  <c r="C174" i="82" s="1"/>
  <c r="T16" i="81"/>
  <c r="R209" i="81" s="1"/>
  <c r="Z6" i="81" s="1"/>
  <c r="Y18" i="81"/>
  <c r="G107" i="81" s="1"/>
  <c r="AX120" i="81"/>
  <c r="G252" i="81"/>
  <c r="Y11" i="81"/>
  <c r="G100" i="81" s="1"/>
  <c r="AT11" i="81"/>
  <c r="G203" i="81" s="1"/>
  <c r="T19" i="81"/>
  <c r="S82" i="81" s="1"/>
  <c r="G128" i="81" s="1"/>
  <c r="I128" i="81" s="1"/>
  <c r="AT14" i="81"/>
  <c r="AN120" i="81" s="1"/>
  <c r="Y17" i="81"/>
  <c r="G106" i="81" s="1"/>
  <c r="Y14" i="81"/>
  <c r="S120" i="81" s="1"/>
  <c r="T27" i="77"/>
  <c r="F43" i="77"/>
  <c r="G43" i="77" s="1"/>
  <c r="G253" i="81"/>
  <c r="AX121" i="81"/>
  <c r="F98" i="77"/>
  <c r="G98" i="77" s="1"/>
  <c r="T83" i="77"/>
  <c r="AY11" i="24"/>
  <c r="C257" i="81"/>
  <c r="AY17" i="81"/>
  <c r="AY18" i="81"/>
  <c r="S66" i="81"/>
  <c r="T30" i="81"/>
  <c r="S36" i="81"/>
  <c r="AY20" i="50"/>
  <c r="BD14" i="50" s="1"/>
  <c r="AX120" i="50" s="1"/>
  <c r="F99" i="77"/>
  <c r="T84" i="77"/>
  <c r="AT17" i="81"/>
  <c r="G209" i="81" s="1"/>
  <c r="C163" i="81"/>
  <c r="AJ18" i="81"/>
  <c r="AE16" i="81"/>
  <c r="AJ11" i="81"/>
  <c r="AY20" i="24"/>
  <c r="AY16" i="24" s="1"/>
  <c r="AY17" i="24" s="1"/>
  <c r="AE30" i="81"/>
  <c r="AD36" i="81"/>
  <c r="AD66" i="81"/>
  <c r="T82" i="77"/>
  <c r="F102" i="77"/>
  <c r="C211" i="81"/>
  <c r="AN82" i="81"/>
  <c r="G231" i="81" s="1"/>
  <c r="I231" i="81" s="1"/>
  <c r="AD134" i="1"/>
  <c r="AJ17" i="81"/>
  <c r="G160" i="81" s="1"/>
  <c r="BB116" i="81" a="1"/>
  <c r="BB116" i="81" s="1"/>
  <c r="C272" i="81" s="1"/>
  <c r="W116" i="81" a="1"/>
  <c r="W116" i="81" s="1"/>
  <c r="C120" i="81" s="1"/>
  <c r="T29" i="77"/>
  <c r="F46" i="77"/>
  <c r="AD134" i="24"/>
  <c r="AD84" i="81"/>
  <c r="T85" i="77"/>
  <c r="F101" i="77"/>
  <c r="AO30" i="81"/>
  <c r="AN66" i="81"/>
  <c r="AN36" i="81"/>
  <c r="G259" i="81"/>
  <c r="AX32" i="81"/>
  <c r="AH125" i="81" a="1"/>
  <c r="AH125" i="81" s="1"/>
  <c r="C176" i="81" s="1"/>
  <c r="AX29" i="24"/>
  <c r="AY30" i="24" s="1"/>
  <c r="AY38" i="81"/>
  <c r="AX119" i="81"/>
  <c r="AY37" i="81"/>
  <c r="AJ14" i="81"/>
  <c r="T23" i="77"/>
  <c r="F45" i="77"/>
  <c r="G45" i="77" s="1"/>
  <c r="T26" i="77"/>
  <c r="F47" i="77"/>
  <c r="F100" i="77"/>
  <c r="G100" i="77" s="1"/>
  <c r="AH116" i="81" a="1"/>
  <c r="AH116" i="81" s="1"/>
  <c r="C174" i="81" s="1"/>
  <c r="AE19" i="81"/>
  <c r="T28" i="77"/>
  <c r="F44" i="77"/>
  <c r="C212" i="81"/>
  <c r="AO16" i="81"/>
  <c r="AT18" i="81"/>
  <c r="AN134" i="49"/>
  <c r="Y15" i="24"/>
  <c r="Y17" i="24" s="1"/>
  <c r="S134" i="50"/>
  <c r="T153" i="77"/>
  <c r="T154" i="77" s="1"/>
  <c r="T155" i="77" s="1"/>
  <c r="S134" i="1"/>
  <c r="S29" i="24"/>
  <c r="T20" i="24"/>
  <c r="T19" i="24" s="1"/>
  <c r="S82" i="24" s="1"/>
  <c r="AE20" i="24"/>
  <c r="AE16" i="24" s="1"/>
  <c r="AE17" i="24" s="1"/>
  <c r="AE11" i="1"/>
  <c r="AO11" i="49"/>
  <c r="Y15" i="50"/>
  <c r="Y17" i="50" s="1"/>
  <c r="AO20" i="49"/>
  <c r="T11" i="50"/>
  <c r="S29" i="1"/>
  <c r="S66" i="1" s="1"/>
  <c r="AD29" i="1"/>
  <c r="AE30" i="1" s="1"/>
  <c r="AN29" i="49"/>
  <c r="AO30" i="49" s="1"/>
  <c r="AJ15" i="50"/>
  <c r="AJ17" i="50" s="1"/>
  <c r="T20" i="50"/>
  <c r="S29" i="50"/>
  <c r="AE20" i="1"/>
  <c r="AE19" i="1" s="1"/>
  <c r="AD82" i="1" s="1"/>
  <c r="T20" i="1"/>
  <c r="Y15" i="1"/>
  <c r="Y17" i="1" s="1"/>
  <c r="AD29" i="24"/>
  <c r="AD36" i="24" s="1"/>
  <c r="T11" i="24"/>
  <c r="AJ15" i="1"/>
  <c r="AJ17" i="1" s="1"/>
  <c r="T11" i="1"/>
  <c r="AE11" i="24"/>
  <c r="AJ15" i="24"/>
  <c r="AJ17" i="24" s="1"/>
  <c r="AY20" i="1"/>
  <c r="BD14" i="1" s="1"/>
  <c r="BD15" i="1"/>
  <c r="BD17" i="1" s="1"/>
  <c r="AY20" i="49"/>
  <c r="BD11" i="49" s="1"/>
  <c r="BD12" i="49" s="1"/>
  <c r="AX121" i="49" s="1"/>
  <c r="BD15" i="49"/>
  <c r="BD17" i="49" s="1"/>
  <c r="AY11" i="1"/>
  <c r="AJ15" i="49"/>
  <c r="AJ17" i="49" s="1"/>
  <c r="BD15" i="48"/>
  <c r="BD17" i="48" s="1"/>
  <c r="AY20" i="48"/>
  <c r="BD11" i="48" s="1"/>
  <c r="AE20" i="48"/>
  <c r="AE19" i="48" s="1"/>
  <c r="AD82" i="48" s="1"/>
  <c r="AJ15" i="48"/>
  <c r="AJ17" i="48" s="1"/>
  <c r="AE11" i="49"/>
  <c r="AO11" i="1"/>
  <c r="Y15" i="48"/>
  <c r="Y17" i="48" s="1"/>
  <c r="T20" i="48"/>
  <c r="AX134" i="49"/>
  <c r="Y15" i="49"/>
  <c r="Y17" i="49" s="1"/>
  <c r="T20" i="49"/>
  <c r="Y14" i="49" s="1"/>
  <c r="S120" i="49" s="1"/>
  <c r="AE11" i="48"/>
  <c r="T11" i="49"/>
  <c r="AY11" i="48"/>
  <c r="AO11" i="24"/>
  <c r="AO11" i="48"/>
  <c r="T11" i="48"/>
  <c r="AO20" i="1"/>
  <c r="AT14" i="1" s="1"/>
  <c r="AT15" i="1"/>
  <c r="AT17" i="1" s="1"/>
  <c r="AY11" i="49"/>
  <c r="AE20" i="50"/>
  <c r="AJ14" i="50" s="1"/>
  <c r="AD120" i="50" s="1"/>
  <c r="AO20" i="24"/>
  <c r="AT11" i="24" s="1"/>
  <c r="AT12" i="24" s="1"/>
  <c r="AT15" i="24"/>
  <c r="AT17" i="24" s="1"/>
  <c r="AO20" i="48"/>
  <c r="AT11" i="48" s="1"/>
  <c r="AT12" i="48" s="1"/>
  <c r="AT15" i="48"/>
  <c r="AT17" i="48" s="1"/>
  <c r="AE11" i="50"/>
  <c r="AX84" i="49"/>
  <c r="AD29" i="49"/>
  <c r="AD84" i="49"/>
  <c r="S29" i="49"/>
  <c r="AX36" i="49"/>
  <c r="AY30" i="49"/>
  <c r="AX66" i="49"/>
  <c r="S134" i="49"/>
  <c r="AD134" i="49"/>
  <c r="AX85" i="1"/>
  <c r="AN29" i="1"/>
  <c r="S84" i="1"/>
  <c r="AN134" i="1"/>
  <c r="AX134" i="1"/>
  <c r="AX29" i="1"/>
  <c r="AN85" i="1"/>
  <c r="AD85" i="1"/>
  <c r="S84" i="50"/>
  <c r="AX85" i="50"/>
  <c r="AD85" i="50"/>
  <c r="AD29" i="50"/>
  <c r="AN84" i="50"/>
  <c r="AD134" i="50"/>
  <c r="AD134" i="48"/>
  <c r="AX85" i="48"/>
  <c r="S134" i="48"/>
  <c r="AD85" i="48"/>
  <c r="AN29" i="48"/>
  <c r="AN85" i="48"/>
  <c r="AX134" i="48"/>
  <c r="AN134" i="48"/>
  <c r="AX29" i="48"/>
  <c r="S29" i="48"/>
  <c r="AD29" i="48"/>
  <c r="AN29" i="24"/>
  <c r="AN84" i="24"/>
  <c r="AX84" i="24"/>
  <c r="AN134" i="24"/>
  <c r="AD84" i="24"/>
  <c r="G161" i="84" l="1"/>
  <c r="G203" i="84"/>
  <c r="BD16" i="86"/>
  <c r="G257" i="86" s="1"/>
  <c r="AC209" i="84"/>
  <c r="AK6" i="84" s="1"/>
  <c r="G204" i="85"/>
  <c r="G101" i="82"/>
  <c r="AE17" i="84"/>
  <c r="AD97" i="84" s="1"/>
  <c r="Y12" i="83"/>
  <c r="S121" i="83" s="1"/>
  <c r="S122" i="83" s="1"/>
  <c r="S123" i="83" s="1"/>
  <c r="G204" i="84"/>
  <c r="C159" i="84"/>
  <c r="G157" i="84"/>
  <c r="AJ16" i="86"/>
  <c r="AD87" i="86" s="1"/>
  <c r="AD97" i="86"/>
  <c r="AO18" i="84"/>
  <c r="C210" i="84" s="1"/>
  <c r="AM209" i="84"/>
  <c r="AU6" i="84" s="1"/>
  <c r="C208" i="84"/>
  <c r="C162" i="82"/>
  <c r="AD122" i="84"/>
  <c r="AD123" i="84" s="1"/>
  <c r="AO37" i="84"/>
  <c r="G255" i="82"/>
  <c r="AX120" i="82"/>
  <c r="AO38" i="84"/>
  <c r="G154" i="82"/>
  <c r="AN32" i="84"/>
  <c r="AO33" i="84" s="1"/>
  <c r="C208" i="83"/>
  <c r="AX120" i="84"/>
  <c r="AN122" i="84"/>
  <c r="AN97" i="86"/>
  <c r="AN82" i="84"/>
  <c r="G231" i="84" s="1"/>
  <c r="I231" i="84" s="1"/>
  <c r="C211" i="84"/>
  <c r="AX89" i="86"/>
  <c r="AN32" i="82"/>
  <c r="AO33" i="82" s="1"/>
  <c r="AX135" i="86"/>
  <c r="AX39" i="86"/>
  <c r="AY33" i="86"/>
  <c r="AX71" i="86"/>
  <c r="S121" i="86"/>
  <c r="S122" i="86" s="1"/>
  <c r="S123" i="86" s="1"/>
  <c r="G101" i="86"/>
  <c r="G253" i="86"/>
  <c r="AX121" i="86"/>
  <c r="AX122" i="86" s="1"/>
  <c r="AX123" i="86" s="1"/>
  <c r="AD97" i="85"/>
  <c r="S135" i="86"/>
  <c r="S39" i="86"/>
  <c r="T33" i="86"/>
  <c r="S71" i="86"/>
  <c r="Y16" i="86"/>
  <c r="AD120" i="82"/>
  <c r="AD121" i="86"/>
  <c r="AD122" i="86" s="1"/>
  <c r="AD123" i="86" s="1"/>
  <c r="G155" i="86"/>
  <c r="C209" i="86"/>
  <c r="AT16" i="86"/>
  <c r="AD135" i="86"/>
  <c r="AE33" i="86"/>
  <c r="AD39" i="86"/>
  <c r="AD71" i="86"/>
  <c r="C210" i="86"/>
  <c r="AN46" i="86"/>
  <c r="AN50" i="86" s="1"/>
  <c r="AO33" i="86"/>
  <c r="AN71" i="86"/>
  <c r="AN39" i="86"/>
  <c r="AN135" i="86"/>
  <c r="C161" i="86"/>
  <c r="AD46" i="86"/>
  <c r="AD50" i="86" s="1"/>
  <c r="AX97" i="86"/>
  <c r="AO18" i="82"/>
  <c r="C210" i="82" s="1"/>
  <c r="AN82" i="83"/>
  <c r="G231" i="83" s="1"/>
  <c r="I231" i="83" s="1"/>
  <c r="AN122" i="86"/>
  <c r="AN123" i="86" s="1"/>
  <c r="G161" i="82"/>
  <c r="G204" i="83"/>
  <c r="C260" i="84"/>
  <c r="AJ16" i="85"/>
  <c r="AD89" i="85" s="1"/>
  <c r="C259" i="86"/>
  <c r="AX46" i="86"/>
  <c r="AX50" i="86" s="1"/>
  <c r="S97" i="86"/>
  <c r="S46" i="86"/>
  <c r="S50" i="86" s="1"/>
  <c r="C107" i="86"/>
  <c r="C260" i="85"/>
  <c r="AX82" i="85"/>
  <c r="G280" i="85" s="1"/>
  <c r="I280" i="85" s="1"/>
  <c r="AN123" i="85"/>
  <c r="AN135" i="85"/>
  <c r="AN39" i="85"/>
  <c r="AO33" i="85"/>
  <c r="AN71" i="85"/>
  <c r="AN97" i="85"/>
  <c r="AX66" i="50"/>
  <c r="AT18" i="50"/>
  <c r="AN32" i="50" s="1"/>
  <c r="AX36" i="50"/>
  <c r="AY38" i="50" s="1"/>
  <c r="G206" i="83"/>
  <c r="AN120" i="83"/>
  <c r="AN122" i="83" s="1"/>
  <c r="AN123" i="83" s="1"/>
  <c r="C161" i="85"/>
  <c r="AD46" i="85"/>
  <c r="AD50" i="85" s="1"/>
  <c r="AT14" i="50"/>
  <c r="AN120" i="50" s="1"/>
  <c r="AO17" i="82"/>
  <c r="AT16" i="82" s="1"/>
  <c r="AY37" i="82"/>
  <c r="AX97" i="82" s="1"/>
  <c r="G107" i="85"/>
  <c r="S32" i="85"/>
  <c r="AO19" i="50"/>
  <c r="AN82" i="50" s="1"/>
  <c r="AX119" i="82"/>
  <c r="T17" i="85"/>
  <c r="C106" i="85" s="1"/>
  <c r="T18" i="85"/>
  <c r="C105" i="85"/>
  <c r="R209" i="85"/>
  <c r="Z6" i="85" s="1"/>
  <c r="G252" i="85"/>
  <c r="BD12" i="85"/>
  <c r="C208" i="82"/>
  <c r="AN32" i="83"/>
  <c r="AN135" i="83" s="1"/>
  <c r="AX32" i="85"/>
  <c r="G259" i="85"/>
  <c r="C210" i="85"/>
  <c r="AN46" i="85"/>
  <c r="AN50" i="85" s="1"/>
  <c r="Y12" i="85"/>
  <c r="G100" i="85"/>
  <c r="AX119" i="85"/>
  <c r="AY38" i="85"/>
  <c r="AY37" i="85"/>
  <c r="S119" i="85"/>
  <c r="T37" i="85"/>
  <c r="T38" i="85"/>
  <c r="AJ14" i="49"/>
  <c r="AD120" i="49" s="1"/>
  <c r="AD135" i="85"/>
  <c r="AD39" i="85"/>
  <c r="AE33" i="85"/>
  <c r="AD71" i="85"/>
  <c r="AT11" i="50"/>
  <c r="AT12" i="50" s="1"/>
  <c r="AN121" i="50" s="1"/>
  <c r="G155" i="85"/>
  <c r="AD121" i="85"/>
  <c r="AD122" i="85" s="1"/>
  <c r="AD123" i="85" s="1"/>
  <c r="AY18" i="85"/>
  <c r="AY17" i="85"/>
  <c r="C258" i="85" s="1"/>
  <c r="C257" i="85"/>
  <c r="AW209" i="85"/>
  <c r="BE6" i="85" s="1"/>
  <c r="C209" i="85"/>
  <c r="AT16" i="85"/>
  <c r="AD39" i="84"/>
  <c r="AD135" i="84"/>
  <c r="AE33" i="84"/>
  <c r="AD71" i="84"/>
  <c r="Y12" i="84"/>
  <c r="G100" i="84"/>
  <c r="G259" i="84"/>
  <c r="AX32" i="84"/>
  <c r="G103" i="84"/>
  <c r="S120" i="84"/>
  <c r="C105" i="84"/>
  <c r="T18" i="84"/>
  <c r="T17" i="84"/>
  <c r="C106" i="84" s="1"/>
  <c r="R209" i="84"/>
  <c r="Z6" i="84" s="1"/>
  <c r="AN97" i="83"/>
  <c r="C257" i="84"/>
  <c r="AY17" i="84"/>
  <c r="AY18" i="84"/>
  <c r="AW209" i="84"/>
  <c r="BE6" i="84" s="1"/>
  <c r="S32" i="84"/>
  <c r="G107" i="84"/>
  <c r="AJ16" i="84"/>
  <c r="AY37" i="84"/>
  <c r="AX119" i="84"/>
  <c r="AY38" i="84"/>
  <c r="AN66" i="50"/>
  <c r="G253" i="84"/>
  <c r="AX121" i="84"/>
  <c r="C209" i="84"/>
  <c r="AT16" i="84"/>
  <c r="AO30" i="50"/>
  <c r="C161" i="84"/>
  <c r="AD46" i="84"/>
  <c r="AD50" i="84" s="1"/>
  <c r="S119" i="84"/>
  <c r="T37" i="84"/>
  <c r="T38" i="84"/>
  <c r="AD119" i="83"/>
  <c r="AE37" i="83"/>
  <c r="AE38" i="83"/>
  <c r="C106" i="83"/>
  <c r="Y16" i="83"/>
  <c r="G255" i="83"/>
  <c r="AX120" i="83"/>
  <c r="G204" i="82"/>
  <c r="C209" i="83"/>
  <c r="AT16" i="83"/>
  <c r="S97" i="83"/>
  <c r="AJ18" i="49"/>
  <c r="AD32" i="49" s="1"/>
  <c r="AD32" i="83"/>
  <c r="G161" i="83"/>
  <c r="G206" i="82"/>
  <c r="AN120" i="82"/>
  <c r="AN122" i="82" s="1"/>
  <c r="AN123" i="82" s="1"/>
  <c r="T33" i="83"/>
  <c r="S39" i="83"/>
  <c r="S135" i="83"/>
  <c r="S71" i="83"/>
  <c r="C107" i="83"/>
  <c r="S46" i="83"/>
  <c r="S50" i="83" s="1"/>
  <c r="C210" i="83"/>
  <c r="AN46" i="83"/>
  <c r="AN50" i="83" s="1"/>
  <c r="C260" i="83"/>
  <c r="AX82" i="83"/>
  <c r="G280" i="83" s="1"/>
  <c r="I280" i="83" s="1"/>
  <c r="AJ12" i="83"/>
  <c r="G154" i="83"/>
  <c r="AX32" i="83"/>
  <c r="G259" i="83"/>
  <c r="AE17" i="83"/>
  <c r="C160" i="83" s="1"/>
  <c r="C159" i="83"/>
  <c r="AE18" i="83"/>
  <c r="AC209" i="83"/>
  <c r="AK6" i="83" s="1"/>
  <c r="C257" i="83"/>
  <c r="AY18" i="83"/>
  <c r="AY17" i="83"/>
  <c r="C258" i="83" s="1"/>
  <c r="AW209" i="83"/>
  <c r="BE6" i="83" s="1"/>
  <c r="G157" i="83"/>
  <c r="AD120" i="83"/>
  <c r="AX119" i="83"/>
  <c r="AY37" i="83"/>
  <c r="AY38" i="83"/>
  <c r="AN82" i="82"/>
  <c r="G231" i="82" s="1"/>
  <c r="I231" i="82" s="1"/>
  <c r="C211" i="82"/>
  <c r="G252" i="83"/>
  <c r="BD12" i="83"/>
  <c r="AN97" i="82"/>
  <c r="BD16" i="82"/>
  <c r="G257" i="82" s="1"/>
  <c r="C105" i="81"/>
  <c r="AX36" i="24"/>
  <c r="AX119" i="24" s="1"/>
  <c r="C259" i="82"/>
  <c r="AX46" i="82"/>
  <c r="AX50" i="82" s="1"/>
  <c r="AX39" i="82"/>
  <c r="AY33" i="82"/>
  <c r="AX135" i="82"/>
  <c r="AX71" i="82"/>
  <c r="G155" i="82"/>
  <c r="AD121" i="82"/>
  <c r="T33" i="82"/>
  <c r="S39" i="82"/>
  <c r="S135" i="82"/>
  <c r="S71" i="82"/>
  <c r="S122" i="82"/>
  <c r="S123" i="82" s="1"/>
  <c r="G253" i="82"/>
  <c r="AX121" i="82"/>
  <c r="AE37" i="82"/>
  <c r="AD119" i="82"/>
  <c r="AE38" i="82"/>
  <c r="AE19" i="49"/>
  <c r="AD82" i="49" s="1"/>
  <c r="C161" i="82"/>
  <c r="AD46" i="82"/>
  <c r="AD50" i="82" s="1"/>
  <c r="C106" i="82"/>
  <c r="Y16" i="82"/>
  <c r="S97" i="82"/>
  <c r="AE16" i="49"/>
  <c r="AE17" i="49" s="1"/>
  <c r="AJ16" i="49" s="1"/>
  <c r="AD39" i="82"/>
  <c r="AD135" i="82"/>
  <c r="AE33" i="82"/>
  <c r="AD71" i="82"/>
  <c r="AX66" i="24"/>
  <c r="AN122" i="50"/>
  <c r="AJ16" i="82"/>
  <c r="C107" i="82"/>
  <c r="S46" i="82"/>
  <c r="S50" i="82" s="1"/>
  <c r="AT12" i="81"/>
  <c r="G204" i="81" s="1"/>
  <c r="S32" i="81"/>
  <c r="S135" i="81" s="1"/>
  <c r="T17" i="81"/>
  <c r="C106" i="81" s="1"/>
  <c r="T18" i="81"/>
  <c r="C107" i="81" s="1"/>
  <c r="Y12" i="81"/>
  <c r="S121" i="81" s="1"/>
  <c r="S122" i="81" s="1"/>
  <c r="C108" i="81"/>
  <c r="AX122" i="81"/>
  <c r="AX123" i="81" s="1"/>
  <c r="G103" i="81"/>
  <c r="G206" i="81"/>
  <c r="G154" i="81"/>
  <c r="AJ12" i="81"/>
  <c r="T37" i="81"/>
  <c r="S119" i="81"/>
  <c r="T38" i="81"/>
  <c r="AD82" i="81"/>
  <c r="G182" i="81" s="1"/>
  <c r="I182" i="81" s="1"/>
  <c r="C162" i="81"/>
  <c r="AD32" i="81"/>
  <c r="G161" i="81"/>
  <c r="BD14" i="24"/>
  <c r="AX120" i="24" s="1"/>
  <c r="AY33" i="81"/>
  <c r="AX135" i="81"/>
  <c r="AX39" i="81"/>
  <c r="AX71" i="81"/>
  <c r="BD11" i="24"/>
  <c r="BD16" i="24" s="1"/>
  <c r="AX97" i="81"/>
  <c r="G102" i="77"/>
  <c r="F105" i="77"/>
  <c r="G105" i="77" s="1"/>
  <c r="C259" i="81"/>
  <c r="AX46" i="81"/>
  <c r="AX50" i="81" s="1"/>
  <c r="AY18" i="24"/>
  <c r="AX46" i="24" s="1"/>
  <c r="AX50" i="24" s="1"/>
  <c r="AO38" i="81"/>
  <c r="AN119" i="81"/>
  <c r="AO37" i="81"/>
  <c r="C258" i="81"/>
  <c r="BD16" i="81"/>
  <c r="BD18" i="24"/>
  <c r="AX32" i="24" s="1"/>
  <c r="AX39" i="24" s="1"/>
  <c r="G47" i="77"/>
  <c r="F50" i="77"/>
  <c r="G50" i="77" s="1"/>
  <c r="G46" i="77"/>
  <c r="F51" i="77"/>
  <c r="G51" i="77" s="1"/>
  <c r="F49" i="77"/>
  <c r="G49" i="77" s="1"/>
  <c r="G44" i="77"/>
  <c r="AE17" i="81"/>
  <c r="C160" i="81" s="1"/>
  <c r="C159" i="81"/>
  <c r="AE18" i="81"/>
  <c r="AC209" i="81"/>
  <c r="AK6" i="81" s="1"/>
  <c r="AD120" i="81"/>
  <c r="G157" i="81"/>
  <c r="G99" i="77"/>
  <c r="F104" i="77"/>
  <c r="G104" i="77" s="1"/>
  <c r="AN32" i="81"/>
  <c r="G210" i="81"/>
  <c r="AD119" i="81"/>
  <c r="AE38" i="81"/>
  <c r="AE37" i="81"/>
  <c r="BD18" i="50"/>
  <c r="AX32" i="50" s="1"/>
  <c r="AX71" i="50" s="1"/>
  <c r="BD11" i="50"/>
  <c r="AY16" i="50"/>
  <c r="AY19" i="24"/>
  <c r="AX82" i="24" s="1"/>
  <c r="C208" i="81"/>
  <c r="AO18" i="81"/>
  <c r="AO17" i="81"/>
  <c r="AM209" i="81"/>
  <c r="AU6" i="81" s="1"/>
  <c r="G101" i="77"/>
  <c r="F106" i="77"/>
  <c r="G106" i="77" s="1"/>
  <c r="AY19" i="50"/>
  <c r="AX82" i="50" s="1"/>
  <c r="AT11" i="49"/>
  <c r="AT12" i="49" s="1"/>
  <c r="AN121" i="49" s="1"/>
  <c r="AT18" i="49"/>
  <c r="AN32" i="49" s="1"/>
  <c r="S66" i="24"/>
  <c r="S36" i="24"/>
  <c r="T30" i="24"/>
  <c r="Y18" i="24"/>
  <c r="S32" i="24" s="1"/>
  <c r="Y14" i="24"/>
  <c r="S120" i="24" s="1"/>
  <c r="AJ11" i="24"/>
  <c r="AJ12" i="24" s="1"/>
  <c r="AD121" i="24" s="1"/>
  <c r="AE19" i="24"/>
  <c r="AD82" i="24" s="1"/>
  <c r="AJ18" i="24"/>
  <c r="AD32" i="24" s="1"/>
  <c r="AJ14" i="24"/>
  <c r="AD120" i="24" s="1"/>
  <c r="S66" i="50"/>
  <c r="T30" i="50"/>
  <c r="Y14" i="1"/>
  <c r="S120" i="1" s="1"/>
  <c r="Y11" i="1"/>
  <c r="Y12" i="1" s="1"/>
  <c r="S121" i="1" s="1"/>
  <c r="AO19" i="49"/>
  <c r="AN82" i="49" s="1"/>
  <c r="AJ14" i="48"/>
  <c r="AD120" i="48" s="1"/>
  <c r="T30" i="1"/>
  <c r="AE18" i="24"/>
  <c r="AD46" i="24" s="1"/>
  <c r="AD50" i="24" s="1"/>
  <c r="S36" i="1"/>
  <c r="AY19" i="1"/>
  <c r="AX82" i="1" s="1"/>
  <c r="AD36" i="1"/>
  <c r="AD66" i="1"/>
  <c r="T16" i="24"/>
  <c r="T17" i="24" s="1"/>
  <c r="S36" i="50"/>
  <c r="T37" i="50" s="1"/>
  <c r="Y11" i="24"/>
  <c r="Y12" i="24" s="1"/>
  <c r="S121" i="24" s="1"/>
  <c r="T19" i="1"/>
  <c r="S82" i="1" s="1"/>
  <c r="AO16" i="49"/>
  <c r="AJ11" i="48"/>
  <c r="AJ12" i="48" s="1"/>
  <c r="AT14" i="49"/>
  <c r="AN120" i="49" s="1"/>
  <c r="AN36" i="49"/>
  <c r="AO38" i="49" s="1"/>
  <c r="T16" i="50"/>
  <c r="Y18" i="50"/>
  <c r="S32" i="50" s="1"/>
  <c r="T33" i="50" s="1"/>
  <c r="Y11" i="50"/>
  <c r="AT14" i="48"/>
  <c r="AN120" i="48" s="1"/>
  <c r="AE16" i="1"/>
  <c r="BD14" i="49"/>
  <c r="AX120" i="49" s="1"/>
  <c r="AX122" i="49" s="1"/>
  <c r="AO19" i="48"/>
  <c r="AN82" i="48" s="1"/>
  <c r="Y18" i="1"/>
  <c r="S32" i="1" s="1"/>
  <c r="T33" i="1" s="1"/>
  <c r="T16" i="1"/>
  <c r="AT14" i="24"/>
  <c r="AN120" i="24" s="1"/>
  <c r="AO19" i="1"/>
  <c r="AN82" i="1" s="1"/>
  <c r="AO19" i="24"/>
  <c r="AN82" i="24" s="1"/>
  <c r="AD66" i="24"/>
  <c r="AT11" i="1"/>
  <c r="AT12" i="1" s="1"/>
  <c r="AE30" i="24"/>
  <c r="AO18" i="50"/>
  <c r="AN46" i="50" s="1"/>
  <c r="AN50" i="50" s="1"/>
  <c r="AN66" i="49"/>
  <c r="T19" i="50"/>
  <c r="S82" i="50" s="1"/>
  <c r="AJ11" i="1"/>
  <c r="AJ12" i="1" s="1"/>
  <c r="AD121" i="1" s="1"/>
  <c r="AJ18" i="1"/>
  <c r="AD32" i="1" s="1"/>
  <c r="AE33" i="1" s="1"/>
  <c r="AJ14" i="1"/>
  <c r="AD120" i="1" s="1"/>
  <c r="Y14" i="50"/>
  <c r="S120" i="50" s="1"/>
  <c r="BD12" i="48"/>
  <c r="AX121" i="48" s="1"/>
  <c r="AY16" i="1"/>
  <c r="BD18" i="1"/>
  <c r="AX32" i="1" s="1"/>
  <c r="T19" i="49"/>
  <c r="S82" i="49" s="1"/>
  <c r="T16" i="49"/>
  <c r="Y18" i="49"/>
  <c r="S32" i="49" s="1"/>
  <c r="BD18" i="49"/>
  <c r="AX32" i="49" s="1"/>
  <c r="AX135" i="49" s="1"/>
  <c r="AY16" i="49"/>
  <c r="AO16" i="24"/>
  <c r="AT18" i="24"/>
  <c r="AN32" i="24" s="1"/>
  <c r="AJ18" i="48"/>
  <c r="AD32" i="48" s="1"/>
  <c r="AE16" i="48"/>
  <c r="AJ18" i="50"/>
  <c r="AD32" i="50" s="1"/>
  <c r="AE16" i="50"/>
  <c r="AT18" i="1"/>
  <c r="AN32" i="1" s="1"/>
  <c r="AO16" i="1"/>
  <c r="Y11" i="48"/>
  <c r="Y12" i="48" s="1"/>
  <c r="Y14" i="48"/>
  <c r="S120" i="48" s="1"/>
  <c r="T19" i="48"/>
  <c r="S82" i="48" s="1"/>
  <c r="Y18" i="48"/>
  <c r="S32" i="48" s="1"/>
  <c r="T16" i="48"/>
  <c r="AY16" i="48"/>
  <c r="BD18" i="48"/>
  <c r="AX32" i="48" s="1"/>
  <c r="BD11" i="1"/>
  <c r="BD12" i="1" s="1"/>
  <c r="AX121" i="1" s="1"/>
  <c r="AY19" i="48"/>
  <c r="AX82" i="48" s="1"/>
  <c r="AJ11" i="50"/>
  <c r="AJ12" i="50" s="1"/>
  <c r="AO16" i="48"/>
  <c r="AT18" i="48"/>
  <c r="AN32" i="48" s="1"/>
  <c r="AE19" i="50"/>
  <c r="AD82" i="50" s="1"/>
  <c r="AY19" i="49"/>
  <c r="AX82" i="49" s="1"/>
  <c r="BD14" i="48"/>
  <c r="AX120" i="48" s="1"/>
  <c r="Y11" i="49"/>
  <c r="AX119" i="49"/>
  <c r="AY38" i="49"/>
  <c r="AY37" i="49"/>
  <c r="S36" i="49"/>
  <c r="T30" i="49"/>
  <c r="S66" i="49"/>
  <c r="AE30" i="49"/>
  <c r="AD36" i="49"/>
  <c r="AD66" i="49"/>
  <c r="AD121" i="49"/>
  <c r="AN84" i="1"/>
  <c r="AY30" i="1"/>
  <c r="AX36" i="1"/>
  <c r="AX66" i="1"/>
  <c r="AD84" i="1"/>
  <c r="AX84" i="1"/>
  <c r="AO30" i="1"/>
  <c r="AN36" i="1"/>
  <c r="AN66" i="1"/>
  <c r="AX120" i="1"/>
  <c r="AN120" i="1"/>
  <c r="AX84" i="50"/>
  <c r="AE30" i="50"/>
  <c r="AD36" i="50"/>
  <c r="AD66" i="50"/>
  <c r="AO38" i="50"/>
  <c r="AO37" i="50"/>
  <c r="AN119" i="50"/>
  <c r="AX119" i="50"/>
  <c r="AY37" i="50"/>
  <c r="AD84" i="50"/>
  <c r="AN39" i="50"/>
  <c r="AN135" i="50"/>
  <c r="AO33" i="50"/>
  <c r="AN71" i="50"/>
  <c r="AX84" i="48"/>
  <c r="AN84" i="48"/>
  <c r="AN36" i="48"/>
  <c r="AO30" i="48"/>
  <c r="AN66" i="48"/>
  <c r="AN121" i="48"/>
  <c r="T30" i="48"/>
  <c r="S36" i="48"/>
  <c r="S66" i="48"/>
  <c r="AX36" i="48"/>
  <c r="AY30" i="48"/>
  <c r="AX66" i="48"/>
  <c r="AD36" i="48"/>
  <c r="AE30" i="48"/>
  <c r="AD66" i="48"/>
  <c r="AD84" i="48"/>
  <c r="AN36" i="24"/>
  <c r="AO30" i="24"/>
  <c r="AN66" i="24"/>
  <c r="AE37" i="24"/>
  <c r="AE38" i="24"/>
  <c r="AD119" i="24"/>
  <c r="C160" i="84" l="1"/>
  <c r="AX87" i="86"/>
  <c r="AX122" i="84"/>
  <c r="G101" i="83"/>
  <c r="AD89" i="86"/>
  <c r="AN46" i="84"/>
  <c r="AN50" i="84" s="1"/>
  <c r="G159" i="86"/>
  <c r="AN97" i="84"/>
  <c r="AX97" i="84"/>
  <c r="AN71" i="84"/>
  <c r="AN135" i="84"/>
  <c r="AN138" i="84" s="1"/>
  <c r="AN140" i="84" s="1"/>
  <c r="AN123" i="84"/>
  <c r="AT125" i="84" s="1"/>
  <c r="AN39" i="84"/>
  <c r="AN46" i="82"/>
  <c r="AN50" i="82" s="1"/>
  <c r="AN71" i="82"/>
  <c r="AN135" i="82"/>
  <c r="AN148" i="82" s="1"/>
  <c r="AN39" i="82"/>
  <c r="AO40" i="82" s="1"/>
  <c r="AD122" i="82"/>
  <c r="AD123" i="82" s="1"/>
  <c r="AX122" i="82"/>
  <c r="AX123" i="82" s="1"/>
  <c r="G274" i="82" s="1"/>
  <c r="I274" i="82" s="1"/>
  <c r="S97" i="85"/>
  <c r="C209" i="82"/>
  <c r="G274" i="86"/>
  <c r="I274" i="86" s="1"/>
  <c r="BD125" i="86"/>
  <c r="AZ125" i="86"/>
  <c r="G176" i="86"/>
  <c r="I176" i="86" s="1"/>
  <c r="AJ125" i="86"/>
  <c r="AF125" i="86"/>
  <c r="G225" i="86"/>
  <c r="I225" i="86" s="1"/>
  <c r="AT125" i="86"/>
  <c r="AP125" i="86"/>
  <c r="AN148" i="86"/>
  <c r="AN138" i="86"/>
  <c r="AN140" i="86" s="1"/>
  <c r="AN96" i="86"/>
  <c r="AO40" i="86"/>
  <c r="AN100" i="86"/>
  <c r="AN101" i="86" s="1"/>
  <c r="AD148" i="86"/>
  <c r="AD138" i="86"/>
  <c r="AD140" i="86" s="1"/>
  <c r="AX148" i="86"/>
  <c r="AX138" i="86"/>
  <c r="AX140" i="86" s="1"/>
  <c r="AD87" i="85"/>
  <c r="AD109" i="85" s="1"/>
  <c r="T40" i="86"/>
  <c r="S96" i="86"/>
  <c r="S100" i="86"/>
  <c r="S101" i="86" s="1"/>
  <c r="G159" i="85"/>
  <c r="S138" i="86"/>
  <c r="S140" i="86" s="1"/>
  <c r="S148" i="86"/>
  <c r="AN71" i="83"/>
  <c r="AD96" i="86"/>
  <c r="AE40" i="86"/>
  <c r="AD100" i="86"/>
  <c r="AD101" i="86" s="1"/>
  <c r="AX100" i="86"/>
  <c r="AX101" i="86" s="1"/>
  <c r="AX96" i="86"/>
  <c r="AY40" i="86"/>
  <c r="AO33" i="83"/>
  <c r="U125" i="86"/>
  <c r="G122" i="86"/>
  <c r="I122" i="86" s="1"/>
  <c r="Y125" i="86"/>
  <c r="AN52" i="86"/>
  <c r="AN56" i="86" s="1"/>
  <c r="G208" i="86"/>
  <c r="AN87" i="86"/>
  <c r="AN89" i="86"/>
  <c r="AN39" i="83"/>
  <c r="AN96" i="83" s="1"/>
  <c r="S52" i="86"/>
  <c r="S56" i="86" s="1"/>
  <c r="AD91" i="86"/>
  <c r="AD109" i="86"/>
  <c r="AX109" i="86"/>
  <c r="AX91" i="86"/>
  <c r="AX52" i="86"/>
  <c r="AX56" i="86" s="1"/>
  <c r="AD52" i="86"/>
  <c r="AD56" i="86" s="1"/>
  <c r="G105" i="86"/>
  <c r="S87" i="86"/>
  <c r="S89" i="86"/>
  <c r="C259" i="85"/>
  <c r="AX46" i="85"/>
  <c r="AX50" i="85" s="1"/>
  <c r="AY33" i="85"/>
  <c r="AX135" i="85"/>
  <c r="AX39" i="85"/>
  <c r="AX71" i="85"/>
  <c r="AD52" i="85"/>
  <c r="AD56" i="85" s="1"/>
  <c r="C107" i="85"/>
  <c r="S46" i="85"/>
  <c r="S50" i="85" s="1"/>
  <c r="AO40" i="85"/>
  <c r="AN100" i="85"/>
  <c r="AN101" i="85" s="1"/>
  <c r="AN96" i="85"/>
  <c r="AN138" i="85"/>
  <c r="AN140" i="85" s="1"/>
  <c r="AN148" i="85"/>
  <c r="AX97" i="85"/>
  <c r="G176" i="85"/>
  <c r="I176" i="85" s="1"/>
  <c r="AF125" i="85"/>
  <c r="AJ125" i="85"/>
  <c r="S135" i="85"/>
  <c r="T33" i="85"/>
  <c r="S71" i="85"/>
  <c r="S39" i="85"/>
  <c r="G225" i="85"/>
  <c r="I225" i="85" s="1"/>
  <c r="AT125" i="85"/>
  <c r="AP125" i="85"/>
  <c r="G208" i="85"/>
  <c r="AN87" i="85"/>
  <c r="AN89" i="85"/>
  <c r="Y16" i="85"/>
  <c r="BD16" i="85"/>
  <c r="AD122" i="49"/>
  <c r="AE40" i="85"/>
  <c r="AD96" i="85"/>
  <c r="AD100" i="85"/>
  <c r="AD101" i="85" s="1"/>
  <c r="G253" i="85"/>
  <c r="AX121" i="85"/>
  <c r="AX122" i="85" s="1"/>
  <c r="AX123" i="85" s="1"/>
  <c r="AD148" i="85"/>
  <c r="AD138" i="85"/>
  <c r="AD140" i="85" s="1"/>
  <c r="S121" i="85"/>
  <c r="S122" i="85" s="1"/>
  <c r="S123" i="85" s="1"/>
  <c r="G101" i="85"/>
  <c r="AT16" i="50"/>
  <c r="AN87" i="50" s="1"/>
  <c r="AN52" i="85"/>
  <c r="AN56" i="85" s="1"/>
  <c r="AD87" i="84"/>
  <c r="G159" i="84"/>
  <c r="AD89" i="84"/>
  <c r="AN100" i="84"/>
  <c r="AN101" i="84" s="1"/>
  <c r="AN96" i="84"/>
  <c r="AO40" i="84"/>
  <c r="AF125" i="84"/>
  <c r="AJ125" i="84"/>
  <c r="G176" i="84"/>
  <c r="I176" i="84" s="1"/>
  <c r="S121" i="84"/>
  <c r="S122" i="84" s="1"/>
  <c r="S123" i="84" s="1"/>
  <c r="G101" i="84"/>
  <c r="S97" i="84"/>
  <c r="S135" i="84"/>
  <c r="S71" i="84"/>
  <c r="S39" i="84"/>
  <c r="T33" i="84"/>
  <c r="Y16" i="84"/>
  <c r="AD52" i="84"/>
  <c r="AD56" i="84" s="1"/>
  <c r="AN52" i="84"/>
  <c r="AN56" i="84" s="1"/>
  <c r="C259" i="84"/>
  <c r="AX46" i="84"/>
  <c r="AX50" i="84" s="1"/>
  <c r="C258" i="84"/>
  <c r="BD16" i="84"/>
  <c r="AD148" i="84"/>
  <c r="AD138" i="84"/>
  <c r="AD140" i="84" s="1"/>
  <c r="AY33" i="84"/>
  <c r="AX39" i="84"/>
  <c r="AX135" i="84"/>
  <c r="AX71" i="84"/>
  <c r="C107" i="84"/>
  <c r="S46" i="84"/>
  <c r="S50" i="84" s="1"/>
  <c r="AD100" i="84"/>
  <c r="AD101" i="84" s="1"/>
  <c r="AE40" i="84"/>
  <c r="AD96" i="84"/>
  <c r="G208" i="84"/>
  <c r="AN87" i="84"/>
  <c r="AN89" i="84"/>
  <c r="AX123" i="84"/>
  <c r="AJ16" i="83"/>
  <c r="G159" i="83" s="1"/>
  <c r="AX97" i="83"/>
  <c r="C161" i="83"/>
  <c r="AD46" i="83"/>
  <c r="AD50" i="83" s="1"/>
  <c r="AN52" i="83"/>
  <c r="AN56" i="83" s="1"/>
  <c r="G105" i="83"/>
  <c r="S87" i="83"/>
  <c r="S89" i="83"/>
  <c r="S148" i="83"/>
  <c r="S138" i="83"/>
  <c r="S140" i="83" s="1"/>
  <c r="T40" i="83"/>
  <c r="S100" i="83"/>
  <c r="S101" i="83" s="1"/>
  <c r="S96" i="83"/>
  <c r="C259" i="83"/>
  <c r="AX46" i="83"/>
  <c r="AX50" i="83" s="1"/>
  <c r="G155" i="83"/>
  <c r="AD121" i="83"/>
  <c r="AD122" i="83" s="1"/>
  <c r="AD123" i="83" s="1"/>
  <c r="S39" i="81"/>
  <c r="S96" i="81" s="1"/>
  <c r="S52" i="83"/>
  <c r="S56" i="83" s="1"/>
  <c r="AE33" i="83"/>
  <c r="AD39" i="83"/>
  <c r="AD135" i="83"/>
  <c r="AD71" i="83"/>
  <c r="AD97" i="83"/>
  <c r="G253" i="83"/>
  <c r="AX121" i="83"/>
  <c r="AX122" i="83" s="1"/>
  <c r="AX123" i="83" s="1"/>
  <c r="Y16" i="81"/>
  <c r="G105" i="81" s="1"/>
  <c r="AN138" i="83"/>
  <c r="AN140" i="83" s="1"/>
  <c r="AN148" i="83"/>
  <c r="BD16" i="83"/>
  <c r="G225" i="83"/>
  <c r="I225" i="83" s="1"/>
  <c r="AP125" i="83"/>
  <c r="AT125" i="83"/>
  <c r="Y125" i="83"/>
  <c r="U125" i="83"/>
  <c r="G122" i="83"/>
  <c r="I122" i="83" s="1"/>
  <c r="AX39" i="83"/>
  <c r="AX135" i="83"/>
  <c r="AY33" i="83"/>
  <c r="AX71" i="83"/>
  <c r="G208" i="83"/>
  <c r="AN87" i="83"/>
  <c r="AN89" i="83"/>
  <c r="AX87" i="82"/>
  <c r="AX91" i="82" s="1"/>
  <c r="AX89" i="82"/>
  <c r="S71" i="81"/>
  <c r="T33" i="81"/>
  <c r="S46" i="81"/>
  <c r="S50" i="81" s="1"/>
  <c r="S52" i="81" s="1"/>
  <c r="S56" i="81" s="1"/>
  <c r="BD12" i="24"/>
  <c r="AX121" i="24" s="1"/>
  <c r="AX122" i="24" s="1"/>
  <c r="AY37" i="24"/>
  <c r="AX71" i="24"/>
  <c r="AX135" i="24"/>
  <c r="AX138" i="24" s="1"/>
  <c r="AX140" i="24" s="1"/>
  <c r="AX142" i="24" s="1"/>
  <c r="AY38" i="24"/>
  <c r="AY33" i="24"/>
  <c r="AD100" i="82"/>
  <c r="AD101" i="82" s="1"/>
  <c r="AD96" i="82"/>
  <c r="AE40" i="82"/>
  <c r="T40" i="82"/>
  <c r="S100" i="82"/>
  <c r="S101" i="82" s="1"/>
  <c r="S96" i="82"/>
  <c r="G105" i="82"/>
  <c r="S87" i="82"/>
  <c r="S89" i="82"/>
  <c r="AX135" i="50"/>
  <c r="AX148" i="50" s="1"/>
  <c r="AX150" i="50" s="1"/>
  <c r="AY33" i="50"/>
  <c r="AN138" i="82"/>
  <c r="AN140" i="82" s="1"/>
  <c r="AN52" i="82"/>
  <c r="AN56" i="82" s="1"/>
  <c r="AD52" i="82"/>
  <c r="AD56" i="82" s="1"/>
  <c r="AX39" i="50"/>
  <c r="AX100" i="50" s="1"/>
  <c r="AX101" i="50" s="1"/>
  <c r="AD122" i="1"/>
  <c r="AE18" i="49"/>
  <c r="AD46" i="49" s="1"/>
  <c r="AD50" i="49" s="1"/>
  <c r="AN121" i="81"/>
  <c r="AN122" i="81" s="1"/>
  <c r="AN123" i="81" s="1"/>
  <c r="AN125" i="81" s="1"/>
  <c r="S52" i="82"/>
  <c r="S56" i="82" s="1"/>
  <c r="AD148" i="82"/>
  <c r="AD138" i="82"/>
  <c r="AD140" i="82" s="1"/>
  <c r="S138" i="82"/>
  <c r="S140" i="82" s="1"/>
  <c r="S148" i="82"/>
  <c r="AN100" i="82"/>
  <c r="AN101" i="82" s="1"/>
  <c r="G208" i="82"/>
  <c r="AN87" i="82"/>
  <c r="AN89" i="82"/>
  <c r="G159" i="82"/>
  <c r="AD87" i="82"/>
  <c r="AD89" i="82"/>
  <c r="G225" i="82"/>
  <c r="I225" i="82" s="1"/>
  <c r="AT125" i="82"/>
  <c r="AP125" i="82"/>
  <c r="Y125" i="82"/>
  <c r="G122" i="82"/>
  <c r="I122" i="82" s="1"/>
  <c r="U125" i="82"/>
  <c r="AX148" i="82"/>
  <c r="AX138" i="82"/>
  <c r="AX140" i="82" s="1"/>
  <c r="AX100" i="82"/>
  <c r="AX101" i="82" s="1"/>
  <c r="AX96" i="82"/>
  <c r="AY40" i="82"/>
  <c r="AX52" i="82"/>
  <c r="AX56" i="82" s="1"/>
  <c r="AN123" i="50"/>
  <c r="AN125" i="50" s="1"/>
  <c r="AD97" i="82"/>
  <c r="G101" i="81"/>
  <c r="S97" i="81"/>
  <c r="G257" i="81"/>
  <c r="AX87" i="81"/>
  <c r="AX89" i="81"/>
  <c r="AD121" i="81"/>
  <c r="AD122" i="81" s="1"/>
  <c r="AD123" i="81" s="1"/>
  <c r="G155" i="81"/>
  <c r="C210" i="81"/>
  <c r="AN46" i="81"/>
  <c r="AN50" i="81" s="1"/>
  <c r="AX138" i="81"/>
  <c r="AX140" i="81" s="1"/>
  <c r="AX148" i="81"/>
  <c r="AJ16" i="81"/>
  <c r="S138" i="81"/>
  <c r="S140" i="81" s="1"/>
  <c r="S148" i="81"/>
  <c r="AX52" i="81"/>
  <c r="AX56" i="81" s="1"/>
  <c r="AZ125" i="81"/>
  <c r="G274" i="81"/>
  <c r="I274" i="81" s="1"/>
  <c r="BD125" i="81"/>
  <c r="AN97" i="81"/>
  <c r="AY17" i="50"/>
  <c r="BD16" i="50" s="1"/>
  <c r="AY18" i="50"/>
  <c r="AX46" i="50" s="1"/>
  <c r="AX50" i="50" s="1"/>
  <c r="AX52" i="50" s="1"/>
  <c r="AX56" i="50" s="1"/>
  <c r="AD97" i="81"/>
  <c r="S123" i="81"/>
  <c r="C209" i="81"/>
  <c r="AT16" i="81"/>
  <c r="AY40" i="81"/>
  <c r="AX100" i="81"/>
  <c r="AX101" i="81" s="1"/>
  <c r="AX96" i="81"/>
  <c r="BD12" i="50"/>
  <c r="AX121" i="50" s="1"/>
  <c r="AX122" i="50" s="1"/>
  <c r="AX123" i="50" s="1"/>
  <c r="AX125" i="50" s="1"/>
  <c r="AN135" i="81"/>
  <c r="AN39" i="81"/>
  <c r="AO33" i="81"/>
  <c r="AN71" i="81"/>
  <c r="C161" i="81"/>
  <c r="AD46" i="81"/>
  <c r="AD50" i="81" s="1"/>
  <c r="AD135" i="81"/>
  <c r="AD39" i="81"/>
  <c r="AE33" i="81"/>
  <c r="AD71" i="81"/>
  <c r="S122" i="1"/>
  <c r="AJ16" i="24"/>
  <c r="AD87" i="24" s="1"/>
  <c r="AN135" i="49"/>
  <c r="AN148" i="49" s="1"/>
  <c r="AN150" i="49" s="1"/>
  <c r="AN39" i="49"/>
  <c r="AN100" i="49" s="1"/>
  <c r="AN101" i="49" s="1"/>
  <c r="AN71" i="49"/>
  <c r="AO33" i="49"/>
  <c r="S122" i="24"/>
  <c r="AD122" i="24"/>
  <c r="AD123" i="24" s="1"/>
  <c r="AD125" i="24" s="1"/>
  <c r="S119" i="24"/>
  <c r="T37" i="24"/>
  <c r="T38" i="24"/>
  <c r="T33" i="24"/>
  <c r="S39" i="24"/>
  <c r="S135" i="24"/>
  <c r="S71" i="24"/>
  <c r="AE33" i="24"/>
  <c r="AD39" i="24"/>
  <c r="AD135" i="24"/>
  <c r="AD71" i="24"/>
  <c r="S119" i="1"/>
  <c r="T38" i="1"/>
  <c r="T37" i="1"/>
  <c r="AD119" i="1"/>
  <c r="AE37" i="1"/>
  <c r="AO37" i="49"/>
  <c r="AE38" i="1"/>
  <c r="Y16" i="24"/>
  <c r="T38" i="50"/>
  <c r="S119" i="50"/>
  <c r="S135" i="1"/>
  <c r="S138" i="1" s="1"/>
  <c r="S140" i="1" s="1"/>
  <c r="S142" i="1" s="1"/>
  <c r="T18" i="24"/>
  <c r="S46" i="24" s="1"/>
  <c r="S50" i="24" s="1"/>
  <c r="S52" i="24" s="1"/>
  <c r="S56" i="24" s="1"/>
  <c r="S71" i="1"/>
  <c r="AN119" i="49"/>
  <c r="S39" i="1"/>
  <c r="T40" i="1" s="1"/>
  <c r="AN122" i="49"/>
  <c r="AO18" i="49"/>
  <c r="AN46" i="49" s="1"/>
  <c r="AN50" i="49" s="1"/>
  <c r="AN52" i="49" s="1"/>
  <c r="AN56" i="49" s="1"/>
  <c r="AO17" i="49"/>
  <c r="AT16" i="49" s="1"/>
  <c r="AN87" i="49" s="1"/>
  <c r="AX123" i="49"/>
  <c r="AX125" i="49" s="1"/>
  <c r="S71" i="50"/>
  <c r="S39" i="50"/>
  <c r="S135" i="50"/>
  <c r="S148" i="50" s="1"/>
  <c r="S150" i="50" s="1"/>
  <c r="AX97" i="50"/>
  <c r="AD71" i="1"/>
  <c r="AD135" i="1"/>
  <c r="AD138" i="1" s="1"/>
  <c r="AD140" i="1" s="1"/>
  <c r="AD142" i="1" s="1"/>
  <c r="AE17" i="1"/>
  <c r="AJ16" i="1" s="1"/>
  <c r="AD87" i="1" s="1"/>
  <c r="AD109" i="1" s="1"/>
  <c r="AE18" i="1"/>
  <c r="AD46" i="1" s="1"/>
  <c r="AD50" i="1" s="1"/>
  <c r="AD52" i="1" s="1"/>
  <c r="AD56" i="1" s="1"/>
  <c r="AD39" i="1"/>
  <c r="AX122" i="48"/>
  <c r="Y12" i="50"/>
  <c r="S121" i="50" s="1"/>
  <c r="S122" i="50" s="1"/>
  <c r="S123" i="50" s="1"/>
  <c r="S125" i="50" s="1"/>
  <c r="T18" i="1"/>
  <c r="S46" i="1" s="1"/>
  <c r="S50" i="1" s="1"/>
  <c r="S52" i="1" s="1"/>
  <c r="S56" i="1" s="1"/>
  <c r="T17" i="1"/>
  <c r="Y16" i="1" s="1"/>
  <c r="S87" i="1" s="1"/>
  <c r="T17" i="50"/>
  <c r="Y16" i="50" s="1"/>
  <c r="S87" i="50" s="1"/>
  <c r="T18" i="50"/>
  <c r="S46" i="50" s="1"/>
  <c r="S50" i="50" s="1"/>
  <c r="S52" i="50" s="1"/>
  <c r="T18" i="49"/>
  <c r="S46" i="49" s="1"/>
  <c r="S50" i="49" s="1"/>
  <c r="T17" i="49"/>
  <c r="Y16" i="49" s="1"/>
  <c r="AX71" i="49"/>
  <c r="AO18" i="1"/>
  <c r="AN46" i="1" s="1"/>
  <c r="AN50" i="1" s="1"/>
  <c r="AO17" i="1"/>
  <c r="AT16" i="1" s="1"/>
  <c r="AY33" i="49"/>
  <c r="AO17" i="48"/>
  <c r="AT16" i="48" s="1"/>
  <c r="AO18" i="48"/>
  <c r="AN46" i="48" s="1"/>
  <c r="AN50" i="48" s="1"/>
  <c r="AX39" i="49"/>
  <c r="AX96" i="49" s="1"/>
  <c r="AE18" i="50"/>
  <c r="AD46" i="50" s="1"/>
  <c r="AD50" i="50" s="1"/>
  <c r="AE17" i="50"/>
  <c r="AJ16" i="50" s="1"/>
  <c r="AY17" i="1"/>
  <c r="BD16" i="1" s="1"/>
  <c r="AY18" i="1"/>
  <c r="AX46" i="1" s="1"/>
  <c r="AX50" i="1" s="1"/>
  <c r="AE17" i="48"/>
  <c r="AJ16" i="48" s="1"/>
  <c r="AE18" i="48"/>
  <c r="AD46" i="48" s="1"/>
  <c r="AD50" i="48" s="1"/>
  <c r="AY18" i="48"/>
  <c r="AX46" i="48" s="1"/>
  <c r="AX50" i="48" s="1"/>
  <c r="AY17" i="48"/>
  <c r="BD16" i="48" s="1"/>
  <c r="AO17" i="24"/>
  <c r="AT16" i="24" s="1"/>
  <c r="AO18" i="24"/>
  <c r="AN46" i="24" s="1"/>
  <c r="AN50" i="24" s="1"/>
  <c r="Y12" i="49"/>
  <c r="S121" i="49" s="1"/>
  <c r="S122" i="49" s="1"/>
  <c r="T18" i="48"/>
  <c r="S46" i="48" s="1"/>
  <c r="S50" i="48" s="1"/>
  <c r="T17" i="48"/>
  <c r="Y16" i="48" s="1"/>
  <c r="AY17" i="49"/>
  <c r="BD16" i="49" s="1"/>
  <c r="AX87" i="49" s="1"/>
  <c r="AY18" i="49"/>
  <c r="AX46" i="49" s="1"/>
  <c r="AX50" i="49" s="1"/>
  <c r="AX52" i="49" s="1"/>
  <c r="S119" i="49"/>
  <c r="T38" i="49"/>
  <c r="T37" i="49"/>
  <c r="S135" i="49"/>
  <c r="S39" i="49"/>
  <c r="T33" i="49"/>
  <c r="S71" i="49"/>
  <c r="AD135" i="49"/>
  <c r="AD71" i="49"/>
  <c r="AE33" i="49"/>
  <c r="AD39" i="49"/>
  <c r="AE38" i="49"/>
  <c r="AE37" i="49"/>
  <c r="AD119" i="49"/>
  <c r="AX138" i="49"/>
  <c r="AX140" i="49" s="1"/>
  <c r="AX142" i="49" s="1"/>
  <c r="AX148" i="49"/>
  <c r="AX150" i="49" s="1"/>
  <c r="AX122" i="1"/>
  <c r="AX135" i="1"/>
  <c r="AX39" i="1"/>
  <c r="AY33" i="1"/>
  <c r="AX71" i="1"/>
  <c r="AN121" i="1"/>
  <c r="AN122" i="1" s="1"/>
  <c r="AN39" i="1"/>
  <c r="AO33" i="1"/>
  <c r="AN135" i="1"/>
  <c r="AN71" i="1"/>
  <c r="AN119" i="1"/>
  <c r="AO38" i="1"/>
  <c r="AO37" i="1"/>
  <c r="AX119" i="1"/>
  <c r="AY37" i="1"/>
  <c r="AY38" i="1"/>
  <c r="AN97" i="50"/>
  <c r="AN138" i="50"/>
  <c r="AN140" i="50" s="1"/>
  <c r="AN142" i="50" s="1"/>
  <c r="AN148" i="50"/>
  <c r="AN150" i="50" s="1"/>
  <c r="AN100" i="50"/>
  <c r="AN101" i="50" s="1"/>
  <c r="AN96" i="50"/>
  <c r="AO40" i="50"/>
  <c r="AD119" i="50"/>
  <c r="AE38" i="50"/>
  <c r="AE37" i="50"/>
  <c r="AD39" i="50"/>
  <c r="AD135" i="50"/>
  <c r="AE33" i="50"/>
  <c r="AD71" i="50"/>
  <c r="AD121" i="50"/>
  <c r="AD122" i="50" s="1"/>
  <c r="AN52" i="50"/>
  <c r="AN56" i="50" s="1"/>
  <c r="AY33" i="48"/>
  <c r="AX39" i="48"/>
  <c r="AX135" i="48"/>
  <c r="AX71" i="48"/>
  <c r="AE37" i="48"/>
  <c r="AD119" i="48"/>
  <c r="AE38" i="48"/>
  <c r="AO33" i="48"/>
  <c r="AN39" i="48"/>
  <c r="AN135" i="48"/>
  <c r="AN71" i="48"/>
  <c r="S39" i="48"/>
  <c r="T33" i="48"/>
  <c r="S135" i="48"/>
  <c r="S71" i="48"/>
  <c r="AE33" i="48"/>
  <c r="AD39" i="48"/>
  <c r="AD135" i="48"/>
  <c r="AD71" i="48"/>
  <c r="S121" i="48"/>
  <c r="S122" i="48" s="1"/>
  <c r="AN122" i="48"/>
  <c r="AD121" i="48"/>
  <c r="AD122" i="48" s="1"/>
  <c r="AY38" i="48"/>
  <c r="AY37" i="48"/>
  <c r="AX119" i="48"/>
  <c r="AO37" i="48"/>
  <c r="AO38" i="48"/>
  <c r="AN119" i="48"/>
  <c r="T38" i="48"/>
  <c r="T37" i="48"/>
  <c r="S119" i="48"/>
  <c r="AY40" i="24"/>
  <c r="AX96" i="24"/>
  <c r="AX100" i="24"/>
  <c r="AX101" i="24" s="1"/>
  <c r="AN121" i="24"/>
  <c r="AN122" i="24" s="1"/>
  <c r="AX87" i="24"/>
  <c r="AX89" i="24"/>
  <c r="AD97" i="24"/>
  <c r="AX52" i="24"/>
  <c r="AX56" i="24" s="1"/>
  <c r="AN39" i="24"/>
  <c r="AO33" i="24"/>
  <c r="AN71" i="24"/>
  <c r="AN135" i="24"/>
  <c r="AD52" i="24"/>
  <c r="AD56" i="24" s="1"/>
  <c r="AO38" i="24"/>
  <c r="AO37" i="24"/>
  <c r="AN119" i="24"/>
  <c r="AN96" i="82" l="1"/>
  <c r="AN148" i="84"/>
  <c r="G225" i="84"/>
  <c r="I225" i="84" s="1"/>
  <c r="AP125" i="84"/>
  <c r="S58" i="86"/>
  <c r="S63" i="86"/>
  <c r="S67" i="86" s="1"/>
  <c r="S70" i="86"/>
  <c r="S72" i="86" s="1"/>
  <c r="S102" i="86"/>
  <c r="S103" i="86" s="1"/>
  <c r="S108" i="86"/>
  <c r="AX102" i="86"/>
  <c r="AX103" i="86" s="1"/>
  <c r="AX108" i="86"/>
  <c r="S113" i="86"/>
  <c r="S114" i="86" s="1"/>
  <c r="S110" i="86"/>
  <c r="S105" i="86"/>
  <c r="AN100" i="83"/>
  <c r="AN101" i="83" s="1"/>
  <c r="AN102" i="83" s="1"/>
  <c r="AN103" i="83" s="1"/>
  <c r="AD58" i="86"/>
  <c r="AD63" i="86"/>
  <c r="AD67" i="86" s="1"/>
  <c r="AD70" i="86"/>
  <c r="AD72" i="86" s="1"/>
  <c r="AD102" i="86"/>
  <c r="AD103" i="86" s="1"/>
  <c r="AD108" i="86"/>
  <c r="AX123" i="24"/>
  <c r="AX125" i="24" s="1"/>
  <c r="AO40" i="83"/>
  <c r="AN113" i="83" s="1"/>
  <c r="AN114" i="83" s="1"/>
  <c r="AN109" i="86"/>
  <c r="AN91" i="86"/>
  <c r="AD105" i="86"/>
  <c r="AD110" i="86"/>
  <c r="AD113" i="86"/>
  <c r="AD114" i="86" s="1"/>
  <c r="G276" i="86"/>
  <c r="I276" i="86" s="1"/>
  <c r="BD142" i="86"/>
  <c r="AZ142" i="86"/>
  <c r="AX113" i="86"/>
  <c r="AX114" i="86" s="1"/>
  <c r="AX110" i="86"/>
  <c r="AX105" i="86"/>
  <c r="AN58" i="86"/>
  <c r="AN70" i="86"/>
  <c r="AN72" i="86" s="1"/>
  <c r="AN63" i="86"/>
  <c r="AN67" i="86" s="1"/>
  <c r="AN73" i="86" s="1"/>
  <c r="AN75" i="86" s="1"/>
  <c r="G178" i="86"/>
  <c r="I178" i="86" s="1"/>
  <c r="AJ142" i="86"/>
  <c r="AF142" i="86"/>
  <c r="AP150" i="86"/>
  <c r="AT150" i="86"/>
  <c r="G229" i="86"/>
  <c r="I229" i="86" s="1"/>
  <c r="AX58" i="86"/>
  <c r="AX70" i="86"/>
  <c r="AX72" i="86" s="1"/>
  <c r="AX63" i="86"/>
  <c r="AX67" i="86" s="1"/>
  <c r="AD123" i="49"/>
  <c r="AD125" i="49" s="1"/>
  <c r="AD91" i="85"/>
  <c r="U150" i="86"/>
  <c r="G126" i="86"/>
  <c r="I126" i="86" s="1"/>
  <c r="Y150" i="86"/>
  <c r="AJ150" i="86"/>
  <c r="G180" i="86"/>
  <c r="I180" i="86" s="1"/>
  <c r="AF150" i="86"/>
  <c r="AN89" i="50"/>
  <c r="AN138" i="49"/>
  <c r="AN140" i="49" s="1"/>
  <c r="AN142" i="49" s="1"/>
  <c r="AZ125" i="82"/>
  <c r="U142" i="86"/>
  <c r="G124" i="86"/>
  <c r="I124" i="86" s="1"/>
  <c r="Y142" i="86"/>
  <c r="AN102" i="86"/>
  <c r="AN103" i="86" s="1"/>
  <c r="AN108" i="86"/>
  <c r="BD125" i="82"/>
  <c r="AN105" i="86"/>
  <c r="AN113" i="86"/>
  <c r="AN114" i="86" s="1"/>
  <c r="AN110" i="86"/>
  <c r="G227" i="86"/>
  <c r="I227" i="86" s="1"/>
  <c r="AP142" i="86"/>
  <c r="AT142" i="86"/>
  <c r="S91" i="86"/>
  <c r="S109" i="86"/>
  <c r="G278" i="86"/>
  <c r="I278" i="86" s="1"/>
  <c r="AZ150" i="86"/>
  <c r="BD150" i="86"/>
  <c r="AO40" i="49"/>
  <c r="AN110" i="49" s="1"/>
  <c r="AD123" i="1"/>
  <c r="AD125" i="1" s="1"/>
  <c r="AD70" i="85"/>
  <c r="AD72" i="85" s="1"/>
  <c r="AD58" i="85"/>
  <c r="AD63" i="85"/>
  <c r="AD67" i="85" s="1"/>
  <c r="U125" i="85"/>
  <c r="G122" i="85"/>
  <c r="I122" i="85" s="1"/>
  <c r="Y125" i="85"/>
  <c r="G274" i="85"/>
  <c r="I274" i="85" s="1"/>
  <c r="AZ125" i="85"/>
  <c r="BD125" i="85"/>
  <c r="AD89" i="83"/>
  <c r="AN91" i="85"/>
  <c r="AN109" i="85"/>
  <c r="AF150" i="85"/>
  <c r="G180" i="85"/>
  <c r="I180" i="85" s="1"/>
  <c r="AJ150" i="85"/>
  <c r="AD87" i="83"/>
  <c r="AD91" i="83" s="1"/>
  <c r="G178" i="85"/>
  <c r="I178" i="85" s="1"/>
  <c r="AJ142" i="85"/>
  <c r="AF142" i="85"/>
  <c r="AY40" i="85"/>
  <c r="AX96" i="85"/>
  <c r="AX100" i="85"/>
  <c r="AX101" i="85" s="1"/>
  <c r="AD113" i="85"/>
  <c r="AD114" i="85" s="1"/>
  <c r="AD105" i="85"/>
  <c r="AD110" i="85"/>
  <c r="G227" i="85"/>
  <c r="I227" i="85" s="1"/>
  <c r="AT142" i="85"/>
  <c r="AP142" i="85"/>
  <c r="AD102" i="85"/>
  <c r="AD103" i="85" s="1"/>
  <c r="AD108" i="85"/>
  <c r="G229" i="85"/>
  <c r="I229" i="85" s="1"/>
  <c r="AT150" i="85"/>
  <c r="AP150" i="85"/>
  <c r="AN58" i="85"/>
  <c r="AN63" i="85"/>
  <c r="AN67" i="85" s="1"/>
  <c r="AN70" i="85"/>
  <c r="AN72" i="85" s="1"/>
  <c r="G257" i="85"/>
  <c r="AX87" i="85"/>
  <c r="AX89" i="85"/>
  <c r="AN102" i="85"/>
  <c r="AN103" i="85" s="1"/>
  <c r="AN108" i="85"/>
  <c r="AX52" i="85"/>
  <c r="AX56" i="85" s="1"/>
  <c r="AX148" i="85"/>
  <c r="AX138" i="85"/>
  <c r="AX140" i="85" s="1"/>
  <c r="G105" i="85"/>
  <c r="S87" i="85"/>
  <c r="S89" i="85"/>
  <c r="S148" i="85"/>
  <c r="S138" i="85"/>
  <c r="S140" i="85" s="1"/>
  <c r="AN105" i="85"/>
  <c r="AN113" i="85"/>
  <c r="AN114" i="85" s="1"/>
  <c r="AN110" i="85"/>
  <c r="S96" i="85"/>
  <c r="S100" i="85"/>
  <c r="S101" i="85" s="1"/>
  <c r="T40" i="85"/>
  <c r="AN96" i="49"/>
  <c r="S52" i="85"/>
  <c r="S56" i="85" s="1"/>
  <c r="AN58" i="84"/>
  <c r="AN63" i="84"/>
  <c r="AN67" i="84" s="1"/>
  <c r="AN70" i="84"/>
  <c r="AN72" i="84" s="1"/>
  <c r="AD58" i="84"/>
  <c r="AD63" i="84"/>
  <c r="AD67" i="84" s="1"/>
  <c r="AD70" i="84"/>
  <c r="AD72" i="84" s="1"/>
  <c r="AY40" i="84"/>
  <c r="AX96" i="84"/>
  <c r="AX100" i="84"/>
  <c r="AX101" i="84" s="1"/>
  <c r="G105" i="84"/>
  <c r="S87" i="84"/>
  <c r="S89" i="84"/>
  <c r="G227" i="84"/>
  <c r="I227" i="84" s="1"/>
  <c r="AT142" i="84"/>
  <c r="AP142" i="84"/>
  <c r="S100" i="81"/>
  <c r="S101" i="81" s="1"/>
  <c r="S102" i="81" s="1"/>
  <c r="S103" i="81" s="1"/>
  <c r="AN91" i="84"/>
  <c r="AN109" i="84"/>
  <c r="G178" i="84"/>
  <c r="I178" i="84" s="1"/>
  <c r="AF142" i="84"/>
  <c r="AJ142" i="84"/>
  <c r="G257" i="84"/>
  <c r="AX87" i="84"/>
  <c r="AX89" i="84"/>
  <c r="AD113" i="84"/>
  <c r="AD114" i="84" s="1"/>
  <c r="AD105" i="84"/>
  <c r="AD110" i="84"/>
  <c r="AZ125" i="84"/>
  <c r="G274" i="84"/>
  <c r="I274" i="84" s="1"/>
  <c r="BD125" i="84"/>
  <c r="U125" i="84"/>
  <c r="G122" i="84"/>
  <c r="I122" i="84" s="1"/>
  <c r="Y125" i="84"/>
  <c r="AF150" i="84"/>
  <c r="G180" i="84"/>
  <c r="I180" i="84" s="1"/>
  <c r="AJ150" i="84"/>
  <c r="AN110" i="84"/>
  <c r="AN105" i="84"/>
  <c r="AN113" i="84"/>
  <c r="AN114" i="84" s="1"/>
  <c r="AD102" i="84"/>
  <c r="AD103" i="84" s="1"/>
  <c r="AD108" i="84"/>
  <c r="S148" i="84"/>
  <c r="S138" i="84"/>
  <c r="S140" i="84" s="1"/>
  <c r="AN102" i="84"/>
  <c r="AN103" i="84" s="1"/>
  <c r="AN108" i="84"/>
  <c r="AT150" i="84"/>
  <c r="AP150" i="84"/>
  <c r="G229" i="84"/>
  <c r="I229" i="84" s="1"/>
  <c r="AX138" i="84"/>
  <c r="AX140" i="84" s="1"/>
  <c r="AX148" i="84"/>
  <c r="T40" i="84"/>
  <c r="S96" i="84"/>
  <c r="S100" i="84"/>
  <c r="S101" i="84" s="1"/>
  <c r="S52" i="84"/>
  <c r="S56" i="84" s="1"/>
  <c r="AX52" i="84"/>
  <c r="AX56" i="84" s="1"/>
  <c r="AX97" i="24"/>
  <c r="AX96" i="50"/>
  <c r="AD91" i="84"/>
  <c r="AD109" i="84"/>
  <c r="S58" i="83"/>
  <c r="S70" i="83"/>
  <c r="S72" i="83" s="1"/>
  <c r="S63" i="83"/>
  <c r="S67" i="83" s="1"/>
  <c r="G274" i="83"/>
  <c r="I274" i="83" s="1"/>
  <c r="BD125" i="83"/>
  <c r="AZ125" i="83"/>
  <c r="AN58" i="83"/>
  <c r="AN63" i="83"/>
  <c r="AN67" i="83" s="1"/>
  <c r="AN70" i="83"/>
  <c r="AN72" i="83" s="1"/>
  <c r="G176" i="83"/>
  <c r="I176" i="83" s="1"/>
  <c r="AJ125" i="83"/>
  <c r="AF125" i="83"/>
  <c r="U150" i="83"/>
  <c r="G126" i="83"/>
  <c r="I126" i="83" s="1"/>
  <c r="Y150" i="83"/>
  <c r="AX138" i="50"/>
  <c r="AX140" i="50" s="1"/>
  <c r="AX142" i="50" s="1"/>
  <c r="AX109" i="82"/>
  <c r="S109" i="83"/>
  <c r="S91" i="83"/>
  <c r="T40" i="81"/>
  <c r="S113" i="81" s="1"/>
  <c r="S114" i="81" s="1"/>
  <c r="S89" i="81"/>
  <c r="AX138" i="83"/>
  <c r="AX140" i="83" s="1"/>
  <c r="AX148" i="83"/>
  <c r="G257" i="83"/>
  <c r="AX87" i="83"/>
  <c r="AX89" i="83"/>
  <c r="AX52" i="83"/>
  <c r="AX56" i="83"/>
  <c r="S102" i="83"/>
  <c r="S103" i="83" s="1"/>
  <c r="S108" i="83"/>
  <c r="AY40" i="50"/>
  <c r="AX113" i="50" s="1"/>
  <c r="AX114" i="50" s="1"/>
  <c r="AX96" i="83"/>
  <c r="AX100" i="83"/>
  <c r="AX101" i="83" s="1"/>
  <c r="AY40" i="83"/>
  <c r="G229" i="83"/>
  <c r="I229" i="83" s="1"/>
  <c r="AT150" i="83"/>
  <c r="AP150" i="83"/>
  <c r="G227" i="83"/>
  <c r="I227" i="83" s="1"/>
  <c r="AP142" i="83"/>
  <c r="AT142" i="83"/>
  <c r="AD148" i="83"/>
  <c r="AD138" i="83"/>
  <c r="AD140" i="83" s="1"/>
  <c r="AD52" i="83"/>
  <c r="AD56" i="83" s="1"/>
  <c r="AN109" i="83"/>
  <c r="AN91" i="83"/>
  <c r="S87" i="81"/>
  <c r="S91" i="81" s="1"/>
  <c r="AD96" i="83"/>
  <c r="AD100" i="83"/>
  <c r="AD101" i="83" s="1"/>
  <c r="AE40" i="83"/>
  <c r="S110" i="83"/>
  <c r="S113" i="83"/>
  <c r="S114" i="83" s="1"/>
  <c r="S105" i="83"/>
  <c r="G124" i="83"/>
  <c r="I124" i="83" s="1"/>
  <c r="U142" i="83"/>
  <c r="Y142" i="83"/>
  <c r="AX148" i="24"/>
  <c r="AX150" i="24" s="1"/>
  <c r="S97" i="24"/>
  <c r="AD58" i="82"/>
  <c r="AD63" i="82"/>
  <c r="AD67" i="82" s="1"/>
  <c r="AD70" i="82"/>
  <c r="AD72" i="82" s="1"/>
  <c r="AX58" i="82"/>
  <c r="AX63" i="82"/>
  <c r="AX67" i="82" s="1"/>
  <c r="AX70" i="82"/>
  <c r="AX72" i="82" s="1"/>
  <c r="AN58" i="82"/>
  <c r="AN70" i="82"/>
  <c r="AN72" i="82" s="1"/>
  <c r="AN63" i="82"/>
  <c r="AN67" i="82" s="1"/>
  <c r="AJ125" i="82"/>
  <c r="G176" i="82"/>
  <c r="I176" i="82" s="1"/>
  <c r="AF125" i="82"/>
  <c r="AX105" i="82"/>
  <c r="AX110" i="82"/>
  <c r="AX113" i="82"/>
  <c r="AX114" i="82" s="1"/>
  <c r="G178" i="82"/>
  <c r="I178" i="82" s="1"/>
  <c r="AJ142" i="82"/>
  <c r="AF142" i="82"/>
  <c r="AD109" i="82"/>
  <c r="AD91" i="82"/>
  <c r="AJ150" i="82"/>
  <c r="G180" i="82"/>
  <c r="I180" i="82" s="1"/>
  <c r="AF150" i="82"/>
  <c r="S102" i="82"/>
  <c r="S103" i="82" s="1"/>
  <c r="S108" i="82"/>
  <c r="AX102" i="82"/>
  <c r="AX103" i="82" s="1"/>
  <c r="AX108" i="82"/>
  <c r="AD110" i="82"/>
  <c r="AD105" i="82"/>
  <c r="AD113" i="82"/>
  <c r="AD114" i="82" s="1"/>
  <c r="G278" i="82"/>
  <c r="I278" i="82" s="1"/>
  <c r="BD150" i="82"/>
  <c r="AZ150" i="82"/>
  <c r="AD89" i="24"/>
  <c r="AN109" i="82"/>
  <c r="AN91" i="82"/>
  <c r="AD102" i="82"/>
  <c r="AD103" i="82" s="1"/>
  <c r="AD108" i="82"/>
  <c r="AT150" i="82"/>
  <c r="G229" i="82"/>
  <c r="I229" i="82" s="1"/>
  <c r="AP150" i="82"/>
  <c r="S58" i="82"/>
  <c r="S63" i="82"/>
  <c r="S67" i="82" s="1"/>
  <c r="S70" i="82"/>
  <c r="S72" i="82" s="1"/>
  <c r="S110" i="82"/>
  <c r="S105" i="82"/>
  <c r="S113" i="82"/>
  <c r="S114" i="82" s="1"/>
  <c r="G276" i="82"/>
  <c r="I276" i="82" s="1"/>
  <c r="AZ142" i="82"/>
  <c r="BD142" i="82"/>
  <c r="G227" i="82"/>
  <c r="I227" i="82" s="1"/>
  <c r="AT142" i="82"/>
  <c r="AP142" i="82"/>
  <c r="AN105" i="82"/>
  <c r="AN110" i="82"/>
  <c r="AN113" i="82"/>
  <c r="AN114" i="82" s="1"/>
  <c r="S91" i="82"/>
  <c r="S109" i="82"/>
  <c r="Y150" i="82"/>
  <c r="U150" i="82"/>
  <c r="G126" i="82"/>
  <c r="I126" i="82" s="1"/>
  <c r="U142" i="82"/>
  <c r="G124" i="82"/>
  <c r="I124" i="82" s="1"/>
  <c r="Y142" i="82"/>
  <c r="AN102" i="82"/>
  <c r="AN103" i="82" s="1"/>
  <c r="AN108" i="82"/>
  <c r="S58" i="81"/>
  <c r="S63" i="81"/>
  <c r="S67" i="81" s="1"/>
  <c r="S70" i="81"/>
  <c r="S72" i="81" s="1"/>
  <c r="AX58" i="81"/>
  <c r="AX63" i="81"/>
  <c r="AX67" i="81" s="1"/>
  <c r="AX70" i="81"/>
  <c r="AX72" i="81" s="1"/>
  <c r="AX87" i="50"/>
  <c r="AX89" i="50"/>
  <c r="AF125" i="81"/>
  <c r="G176" i="81"/>
  <c r="I176" i="81" s="1"/>
  <c r="AJ125" i="81"/>
  <c r="AX102" i="81"/>
  <c r="AX103" i="81" s="1"/>
  <c r="AX108" i="81"/>
  <c r="AN52" i="81"/>
  <c r="AN56" i="81" s="1"/>
  <c r="AZ150" i="81"/>
  <c r="G278" i="81"/>
  <c r="I278" i="81" s="1"/>
  <c r="BD150" i="81"/>
  <c r="AX113" i="81"/>
  <c r="AX114" i="81" s="1"/>
  <c r="AX110" i="81"/>
  <c r="AX105" i="81"/>
  <c r="G276" i="81"/>
  <c r="I276" i="81" s="1"/>
  <c r="BD142" i="81"/>
  <c r="AZ142" i="81"/>
  <c r="G208" i="81"/>
  <c r="AN87" i="81"/>
  <c r="AN89" i="81"/>
  <c r="AN100" i="81"/>
  <c r="AN101" i="81" s="1"/>
  <c r="AO40" i="81"/>
  <c r="AN96" i="81"/>
  <c r="Y125" i="81"/>
  <c r="G122" i="81"/>
  <c r="I122" i="81" s="1"/>
  <c r="U125" i="81"/>
  <c r="AN138" i="81"/>
  <c r="AN140" i="81" s="1"/>
  <c r="AN148" i="81"/>
  <c r="U150" i="81"/>
  <c r="G126" i="81"/>
  <c r="I126" i="81" s="1"/>
  <c r="Y150" i="81"/>
  <c r="G225" i="81"/>
  <c r="I225" i="81" s="1"/>
  <c r="AT125" i="81"/>
  <c r="AP125" i="81"/>
  <c r="Y142" i="81"/>
  <c r="G124" i="81"/>
  <c r="I124" i="81" s="1"/>
  <c r="U142" i="81"/>
  <c r="S123" i="1"/>
  <c r="S125" i="1" s="1"/>
  <c r="S123" i="24"/>
  <c r="S125" i="24" s="1"/>
  <c r="G159" i="81"/>
  <c r="AD87" i="81"/>
  <c r="AD89" i="81"/>
  <c r="AD52" i="81"/>
  <c r="AD56" i="81" s="1"/>
  <c r="AE40" i="81"/>
  <c r="AD96" i="81"/>
  <c r="AD100" i="81"/>
  <c r="AD101" i="81" s="1"/>
  <c r="AD138" i="81"/>
  <c r="AD140" i="81" s="1"/>
  <c r="AD148" i="81"/>
  <c r="AX109" i="81"/>
  <c r="AX91" i="81"/>
  <c r="AD91" i="1"/>
  <c r="AN123" i="49"/>
  <c r="AN125" i="49" s="1"/>
  <c r="S100" i="24"/>
  <c r="S101" i="24" s="1"/>
  <c r="S96" i="24"/>
  <c r="T40" i="24"/>
  <c r="S138" i="24"/>
  <c r="S140" i="24" s="1"/>
  <c r="S142" i="24" s="1"/>
  <c r="S148" i="24"/>
  <c r="S150" i="24" s="1"/>
  <c r="AD100" i="24"/>
  <c r="AD101" i="24" s="1"/>
  <c r="AD96" i="24"/>
  <c r="AE40" i="24"/>
  <c r="AD148" i="24"/>
  <c r="AD150" i="24" s="1"/>
  <c r="AD138" i="24"/>
  <c r="AD140" i="24" s="1"/>
  <c r="AD142" i="24" s="1"/>
  <c r="S87" i="24"/>
  <c r="S109" i="24" s="1"/>
  <c r="S89" i="24"/>
  <c r="T40" i="50"/>
  <c r="S113" i="50" s="1"/>
  <c r="S114" i="50" s="1"/>
  <c r="S96" i="50"/>
  <c r="S100" i="50"/>
  <c r="S101" i="50" s="1"/>
  <c r="AD96" i="1"/>
  <c r="AE40" i="1"/>
  <c r="S97" i="1"/>
  <c r="S97" i="50"/>
  <c r="AD100" i="1"/>
  <c r="AD101" i="1" s="1"/>
  <c r="AN97" i="49"/>
  <c r="AN89" i="49"/>
  <c r="S100" i="1"/>
  <c r="S101" i="1" s="1"/>
  <c r="S96" i="1"/>
  <c r="S148" i="1"/>
  <c r="S150" i="1" s="1"/>
  <c r="AD97" i="1"/>
  <c r="AD148" i="1"/>
  <c r="AD150" i="1" s="1"/>
  <c r="S89" i="1"/>
  <c r="S138" i="50"/>
  <c r="S140" i="50" s="1"/>
  <c r="S142" i="50" s="1"/>
  <c r="S56" i="50"/>
  <c r="S58" i="50" s="1"/>
  <c r="AX89" i="49"/>
  <c r="AX56" i="49"/>
  <c r="AX123" i="1"/>
  <c r="AX125" i="1" s="1"/>
  <c r="AX123" i="48"/>
  <c r="AX125" i="48" s="1"/>
  <c r="S89" i="50"/>
  <c r="AD89" i="1"/>
  <c r="AD97" i="49"/>
  <c r="AX100" i="49"/>
  <c r="AX101" i="49" s="1"/>
  <c r="AX102" i="49" s="1"/>
  <c r="AX103" i="49" s="1"/>
  <c r="S123" i="49"/>
  <c r="S125" i="49" s="1"/>
  <c r="AY40" i="49"/>
  <c r="AX110" i="49" s="1"/>
  <c r="S97" i="48"/>
  <c r="AN97" i="48"/>
  <c r="AD97" i="48"/>
  <c r="AX97" i="49"/>
  <c r="S97" i="49"/>
  <c r="T40" i="49"/>
  <c r="S100" i="49"/>
  <c r="S101" i="49" s="1"/>
  <c r="S96" i="49"/>
  <c r="AD138" i="49"/>
  <c r="AD140" i="49" s="1"/>
  <c r="AD142" i="49" s="1"/>
  <c r="AD148" i="49"/>
  <c r="AD150" i="49" s="1"/>
  <c r="AN102" i="49"/>
  <c r="AN103" i="49" s="1"/>
  <c r="AN108" i="49"/>
  <c r="AN58" i="49"/>
  <c r="AN70" i="49"/>
  <c r="AN72" i="49" s="1"/>
  <c r="AN63" i="49"/>
  <c r="AN67" i="49" s="1"/>
  <c r="S138" i="49"/>
  <c r="S140" i="49" s="1"/>
  <c r="S142" i="49" s="1"/>
  <c r="S148" i="49"/>
  <c r="S150" i="49" s="1"/>
  <c r="S89" i="49"/>
  <c r="S87" i="49"/>
  <c r="S52" i="49"/>
  <c r="S56" i="49" s="1"/>
  <c r="AD87" i="49"/>
  <c r="AD89" i="49"/>
  <c r="AN113" i="49"/>
  <c r="AN114" i="49" s="1"/>
  <c r="AN105" i="49"/>
  <c r="AX109" i="49"/>
  <c r="AX91" i="49"/>
  <c r="AD96" i="49"/>
  <c r="AD100" i="49"/>
  <c r="AD101" i="49" s="1"/>
  <c r="AE40" i="49"/>
  <c r="AD52" i="49"/>
  <c r="AD56" i="49" s="1"/>
  <c r="AN91" i="49"/>
  <c r="AN109" i="49"/>
  <c r="S63" i="1"/>
  <c r="S67" i="1" s="1"/>
  <c r="S58" i="1"/>
  <c r="S70" i="1"/>
  <c r="S72" i="1" s="1"/>
  <c r="AD63" i="1"/>
  <c r="AD67" i="1" s="1"/>
  <c r="AD58" i="1"/>
  <c r="AD70" i="1"/>
  <c r="AD72" i="1" s="1"/>
  <c r="AN87" i="1"/>
  <c r="AN89" i="1"/>
  <c r="AX100" i="1"/>
  <c r="AX101" i="1" s="1"/>
  <c r="AY40" i="1"/>
  <c r="AX96" i="1"/>
  <c r="S110" i="1"/>
  <c r="S105" i="1"/>
  <c r="S113" i="1"/>
  <c r="S114" i="1" s="1"/>
  <c r="AN52" i="1"/>
  <c r="AN56" i="1" s="1"/>
  <c r="AN100" i="1"/>
  <c r="AN101" i="1" s="1"/>
  <c r="AO40" i="1"/>
  <c r="AN96" i="1"/>
  <c r="AX97" i="1"/>
  <c r="AN123" i="1"/>
  <c r="AN125" i="1" s="1"/>
  <c r="AX52" i="1"/>
  <c r="AX56" i="1" s="1"/>
  <c r="AX87" i="1"/>
  <c r="AX89" i="1"/>
  <c r="AX148" i="1"/>
  <c r="AX150" i="1" s="1"/>
  <c r="AX138" i="1"/>
  <c r="AX140" i="1" s="1"/>
  <c r="AX142" i="1" s="1"/>
  <c r="AN148" i="1"/>
  <c r="AN150" i="1" s="1"/>
  <c r="AN138" i="1"/>
  <c r="AN140" i="1" s="1"/>
  <c r="AN142" i="1" s="1"/>
  <c r="AN97" i="1"/>
  <c r="S91" i="1"/>
  <c r="S109" i="1"/>
  <c r="AN58" i="50"/>
  <c r="AN63" i="50"/>
  <c r="AN67" i="50" s="1"/>
  <c r="AN70" i="50"/>
  <c r="AN72" i="50" s="1"/>
  <c r="AD87" i="50"/>
  <c r="AD89" i="50"/>
  <c r="AN91" i="50"/>
  <c r="AN109" i="50"/>
  <c r="AD138" i="50"/>
  <c r="AD140" i="50" s="1"/>
  <c r="AD142" i="50" s="1"/>
  <c r="AD148" i="50"/>
  <c r="AD150" i="50" s="1"/>
  <c r="AE40" i="50"/>
  <c r="AD100" i="50"/>
  <c r="AD101" i="50" s="1"/>
  <c r="AD96" i="50"/>
  <c r="AD123" i="50"/>
  <c r="AD125" i="50" s="1"/>
  <c r="AD97" i="50"/>
  <c r="AD52" i="50"/>
  <c r="AD56" i="50" s="1"/>
  <c r="AN113" i="50"/>
  <c r="AN114" i="50" s="1"/>
  <c r="AN105" i="50"/>
  <c r="AN110" i="50"/>
  <c r="AX102" i="50"/>
  <c r="AX103" i="50" s="1"/>
  <c r="AX108" i="50"/>
  <c r="S91" i="50"/>
  <c r="S109" i="50"/>
  <c r="AX58" i="50"/>
  <c r="AX63" i="50"/>
  <c r="AX67" i="50" s="1"/>
  <c r="AX70" i="50"/>
  <c r="AX72" i="50" s="1"/>
  <c r="AN102" i="50"/>
  <c r="AN103" i="50" s="1"/>
  <c r="AN108" i="50"/>
  <c r="AN123" i="48"/>
  <c r="AN125" i="48" s="1"/>
  <c r="AX97" i="48"/>
  <c r="AN87" i="48"/>
  <c r="AN89" i="48"/>
  <c r="AD123" i="48"/>
  <c r="AD125" i="48" s="1"/>
  <c r="AN52" i="48"/>
  <c r="AN56" i="48" s="1"/>
  <c r="S138" i="48"/>
  <c r="S140" i="48" s="1"/>
  <c r="S142" i="48" s="1"/>
  <c r="S148" i="48"/>
  <c r="S150" i="48" s="1"/>
  <c r="AD87" i="48"/>
  <c r="AD89" i="48"/>
  <c r="AE40" i="48"/>
  <c r="AD100" i="48"/>
  <c r="AD101" i="48" s="1"/>
  <c r="AD96" i="48"/>
  <c r="AN100" i="48"/>
  <c r="AN101" i="48" s="1"/>
  <c r="AO40" i="48"/>
  <c r="AN96" i="48"/>
  <c r="AD52" i="48"/>
  <c r="AD56" i="48" s="1"/>
  <c r="S87" i="48"/>
  <c r="S89" i="48"/>
  <c r="AX138" i="48"/>
  <c r="AX140" i="48" s="1"/>
  <c r="AX142" i="48" s="1"/>
  <c r="AX148" i="48"/>
  <c r="AX150" i="48" s="1"/>
  <c r="AX100" i="48"/>
  <c r="AX101" i="48" s="1"/>
  <c r="AY40" i="48"/>
  <c r="AX96" i="48"/>
  <c r="S123" i="48"/>
  <c r="S125" i="48" s="1"/>
  <c r="AD138" i="48"/>
  <c r="AD140" i="48" s="1"/>
  <c r="AD142" i="48" s="1"/>
  <c r="AD148" i="48"/>
  <c r="AD150" i="48" s="1"/>
  <c r="AX87" i="48"/>
  <c r="AX89" i="48"/>
  <c r="AX52" i="48"/>
  <c r="AX56" i="48" s="1"/>
  <c r="T40" i="48"/>
  <c r="S100" i="48"/>
  <c r="S101" i="48" s="1"/>
  <c r="S96" i="48"/>
  <c r="S52" i="48"/>
  <c r="S56" i="48" s="1"/>
  <c r="AN138" i="48"/>
  <c r="AN140" i="48" s="1"/>
  <c r="AN142" i="48" s="1"/>
  <c r="AN148" i="48"/>
  <c r="AN150" i="48" s="1"/>
  <c r="AN123" i="24"/>
  <c r="AN125" i="24" s="1"/>
  <c r="AX58" i="24"/>
  <c r="AX63" i="24"/>
  <c r="AX67" i="24" s="1"/>
  <c r="AX70" i="24"/>
  <c r="AX72" i="24" s="1"/>
  <c r="AN87" i="24"/>
  <c r="AN89" i="24"/>
  <c r="AN97" i="24"/>
  <c r="AX102" i="24"/>
  <c r="AX103" i="24" s="1"/>
  <c r="AX108" i="24"/>
  <c r="AX109" i="24"/>
  <c r="AX91" i="24"/>
  <c r="AN148" i="24"/>
  <c r="AN150" i="24" s="1"/>
  <c r="AN138" i="24"/>
  <c r="AN140" i="24" s="1"/>
  <c r="AN142" i="24" s="1"/>
  <c r="AN52" i="24"/>
  <c r="AN56" i="24" s="1"/>
  <c r="S58" i="24"/>
  <c r="S63" i="24"/>
  <c r="S67" i="24" s="1"/>
  <c r="S70" i="24"/>
  <c r="S72" i="24" s="1"/>
  <c r="AX113" i="24"/>
  <c r="AX114" i="24" s="1"/>
  <c r="AX110" i="24"/>
  <c r="AX105" i="24"/>
  <c r="AN96" i="24"/>
  <c r="AN100" i="24"/>
  <c r="AN101" i="24" s="1"/>
  <c r="AO40" i="24"/>
  <c r="AD58" i="24"/>
  <c r="AD63" i="24"/>
  <c r="AD67" i="24" s="1"/>
  <c r="AD70" i="24"/>
  <c r="AD72" i="24" s="1"/>
  <c r="AD109" i="24"/>
  <c r="AD91" i="24"/>
  <c r="AN105" i="83" l="1"/>
  <c r="AN110" i="83"/>
  <c r="AX73" i="86"/>
  <c r="AX75" i="86" s="1"/>
  <c r="AD73" i="86"/>
  <c r="AD75" i="86" s="1"/>
  <c r="S73" i="86"/>
  <c r="S75" i="86" s="1"/>
  <c r="AT77" i="86"/>
  <c r="AP77" i="86"/>
  <c r="AF116" i="86"/>
  <c r="G174" i="86"/>
  <c r="I174" i="86" s="1"/>
  <c r="AJ116" i="86"/>
  <c r="AN108" i="83"/>
  <c r="G174" i="85"/>
  <c r="I174" i="85" s="1"/>
  <c r="AZ77" i="86"/>
  <c r="BD77" i="86"/>
  <c r="AN73" i="85"/>
  <c r="AN75" i="85" s="1"/>
  <c r="AJ77" i="86"/>
  <c r="AF77" i="86"/>
  <c r="U77" i="86"/>
  <c r="Y77" i="86"/>
  <c r="S63" i="85"/>
  <c r="S67" i="85" s="1"/>
  <c r="S70" i="85"/>
  <c r="S72" i="85" s="1"/>
  <c r="S58" i="85"/>
  <c r="G278" i="85"/>
  <c r="I278" i="85" s="1"/>
  <c r="BD150" i="85"/>
  <c r="AZ150" i="85"/>
  <c r="S108" i="81"/>
  <c r="AX113" i="85"/>
  <c r="AX114" i="85" s="1"/>
  <c r="AX110" i="85"/>
  <c r="AX105" i="85"/>
  <c r="AD73" i="84"/>
  <c r="AD75" i="84" s="1"/>
  <c r="S105" i="85"/>
  <c r="S113" i="85"/>
  <c r="S114" i="85" s="1"/>
  <c r="S110" i="85"/>
  <c r="AX63" i="85"/>
  <c r="AX67" i="85" s="1"/>
  <c r="AX58" i="85"/>
  <c r="AX70" i="85"/>
  <c r="AX72" i="85" s="1"/>
  <c r="U150" i="85"/>
  <c r="G126" i="85"/>
  <c r="I126" i="85" s="1"/>
  <c r="Y150" i="85"/>
  <c r="AX109" i="85"/>
  <c r="AX91" i="85"/>
  <c r="AD73" i="85"/>
  <c r="AD75" i="85" s="1"/>
  <c r="S109" i="85"/>
  <c r="S91" i="85"/>
  <c r="AJ77" i="85"/>
  <c r="AF77" i="85"/>
  <c r="AT77" i="85"/>
  <c r="AP77" i="85"/>
  <c r="S102" i="85"/>
  <c r="S103" i="85" s="1"/>
  <c r="S108" i="85"/>
  <c r="AD109" i="83"/>
  <c r="AX102" i="85"/>
  <c r="AX103" i="85" s="1"/>
  <c r="AX108" i="85"/>
  <c r="Y142" i="85"/>
  <c r="U142" i="85"/>
  <c r="G124" i="85"/>
  <c r="I124" i="85" s="1"/>
  <c r="G276" i="85"/>
  <c r="I276" i="85" s="1"/>
  <c r="AZ142" i="85"/>
  <c r="BD142" i="85"/>
  <c r="G174" i="84"/>
  <c r="I174" i="84" s="1"/>
  <c r="AX58" i="84"/>
  <c r="AX70" i="84"/>
  <c r="AX72" i="84" s="1"/>
  <c r="AX63" i="84"/>
  <c r="AX67" i="84" s="1"/>
  <c r="U150" i="84"/>
  <c r="G126" i="84"/>
  <c r="I126" i="84" s="1"/>
  <c r="Y150" i="84"/>
  <c r="S102" i="84"/>
  <c r="S103" i="84" s="1"/>
  <c r="S108" i="84"/>
  <c r="AX110" i="84"/>
  <c r="AX105" i="84"/>
  <c r="AX113" i="84"/>
  <c r="AX114" i="84" s="1"/>
  <c r="Y142" i="84"/>
  <c r="U142" i="84"/>
  <c r="G124" i="84"/>
  <c r="I124" i="84" s="1"/>
  <c r="AZ142" i="84"/>
  <c r="BD142" i="84"/>
  <c r="G276" i="84"/>
  <c r="I276" i="84" s="1"/>
  <c r="AX110" i="50"/>
  <c r="AX109" i="84"/>
  <c r="AX91" i="84"/>
  <c r="AN73" i="84"/>
  <c r="AN75" i="84" s="1"/>
  <c r="S70" i="84"/>
  <c r="S72" i="84" s="1"/>
  <c r="S63" i="84"/>
  <c r="S67" i="84" s="1"/>
  <c r="S58" i="84"/>
  <c r="S105" i="84"/>
  <c r="S113" i="84"/>
  <c r="S114" i="84" s="1"/>
  <c r="S110" i="84"/>
  <c r="BD150" i="84"/>
  <c r="AZ150" i="84"/>
  <c r="G278" i="84"/>
  <c r="I278" i="84" s="1"/>
  <c r="AJ77" i="84"/>
  <c r="AF77" i="84"/>
  <c r="AX105" i="50"/>
  <c r="S109" i="84"/>
  <c r="S91" i="84"/>
  <c r="AT77" i="84"/>
  <c r="AP77" i="84"/>
  <c r="AX102" i="84"/>
  <c r="AX103" i="84" s="1"/>
  <c r="AX108" i="84"/>
  <c r="AD58" i="83"/>
  <c r="AD70" i="83"/>
  <c r="AD72" i="83" s="1"/>
  <c r="AD63" i="83"/>
  <c r="AD67" i="83" s="1"/>
  <c r="AN73" i="83"/>
  <c r="AN75" i="83" s="1"/>
  <c r="S110" i="81"/>
  <c r="S105" i="81"/>
  <c r="AN73" i="82"/>
  <c r="AN75" i="82" s="1"/>
  <c r="AX105" i="83"/>
  <c r="AX113" i="83"/>
  <c r="AX114" i="83" s="1"/>
  <c r="AX110" i="83"/>
  <c r="AX91" i="83"/>
  <c r="AX109" i="83"/>
  <c r="AX58" i="83"/>
  <c r="AX63" i="83"/>
  <c r="AX67" i="83" s="1"/>
  <c r="AX70" i="83"/>
  <c r="AX72" i="83" s="1"/>
  <c r="AX102" i="83"/>
  <c r="AX103" i="83" s="1"/>
  <c r="AX108" i="83"/>
  <c r="AT77" i="83"/>
  <c r="AP77" i="83"/>
  <c r="S109" i="81"/>
  <c r="AT116" i="82"/>
  <c r="AZ150" i="83"/>
  <c r="G278" i="83"/>
  <c r="I278" i="83" s="1"/>
  <c r="BD150" i="83"/>
  <c r="S73" i="83"/>
  <c r="S75" i="83" s="1"/>
  <c r="AD105" i="83"/>
  <c r="AD113" i="83"/>
  <c r="AD114" i="83" s="1"/>
  <c r="AD110" i="83"/>
  <c r="AD102" i="83"/>
  <c r="AD103" i="83" s="1"/>
  <c r="AD108" i="83"/>
  <c r="G178" i="83"/>
  <c r="I178" i="83" s="1"/>
  <c r="AJ142" i="83"/>
  <c r="AF142" i="83"/>
  <c r="G276" i="83"/>
  <c r="I276" i="83" s="1"/>
  <c r="BD142" i="83"/>
  <c r="AZ142" i="83"/>
  <c r="G180" i="83"/>
  <c r="I180" i="83" s="1"/>
  <c r="AF150" i="83"/>
  <c r="AJ150" i="83"/>
  <c r="U77" i="83"/>
  <c r="Y77" i="83"/>
  <c r="BD116" i="82"/>
  <c r="S91" i="24"/>
  <c r="S73" i="82"/>
  <c r="S75" i="82" s="1"/>
  <c r="Y77" i="82"/>
  <c r="U77" i="82"/>
  <c r="AX73" i="82"/>
  <c r="AX75" i="82" s="1"/>
  <c r="AD73" i="82"/>
  <c r="AD75" i="82" s="1"/>
  <c r="AT77" i="82"/>
  <c r="AP77" i="82"/>
  <c r="AJ77" i="82"/>
  <c r="AF77" i="82"/>
  <c r="AZ77" i="82"/>
  <c r="BD77" i="82"/>
  <c r="AX73" i="81"/>
  <c r="AX75" i="81" s="1"/>
  <c r="S73" i="81"/>
  <c r="S75" i="81" s="1"/>
  <c r="AX109" i="50"/>
  <c r="AX91" i="50"/>
  <c r="AN110" i="81"/>
  <c r="AN116" i="81" s="1"/>
  <c r="AN113" i="81"/>
  <c r="AN114" i="81" s="1"/>
  <c r="AN105" i="81"/>
  <c r="AN102" i="81"/>
  <c r="AN103" i="81" s="1"/>
  <c r="AN108" i="81"/>
  <c r="AN58" i="81"/>
  <c r="AN77" i="81" s="1"/>
  <c r="AN63" i="81"/>
  <c r="AN67" i="81" s="1"/>
  <c r="AN70" i="81"/>
  <c r="AN72" i="81" s="1"/>
  <c r="BD77" i="81"/>
  <c r="AZ77" i="81"/>
  <c r="AD91" i="81"/>
  <c r="AD109" i="81"/>
  <c r="AN109" i="81"/>
  <c r="AN91" i="81"/>
  <c r="AF150" i="81"/>
  <c r="G180" i="81"/>
  <c r="I180" i="81" s="1"/>
  <c r="AJ150" i="81"/>
  <c r="AD105" i="81"/>
  <c r="AD110" i="81"/>
  <c r="AD113" i="81"/>
  <c r="AD114" i="81" s="1"/>
  <c r="AD58" i="81"/>
  <c r="AD70" i="81"/>
  <c r="AD72" i="81" s="1"/>
  <c r="AD63" i="81"/>
  <c r="AD67" i="81" s="1"/>
  <c r="G178" i="81"/>
  <c r="I178" i="81" s="1"/>
  <c r="AJ142" i="81"/>
  <c r="AF142" i="81"/>
  <c r="AT150" i="81"/>
  <c r="G229" i="81"/>
  <c r="I229" i="81" s="1"/>
  <c r="AP150" i="81"/>
  <c r="U77" i="81"/>
  <c r="Y77" i="81"/>
  <c r="AD102" i="81"/>
  <c r="AD103" i="81" s="1"/>
  <c r="AD108" i="81"/>
  <c r="AT142" i="81"/>
  <c r="G227" i="81"/>
  <c r="I227" i="81" s="1"/>
  <c r="AP142" i="81"/>
  <c r="AX58" i="49"/>
  <c r="AX63" i="49"/>
  <c r="AX67" i="49" s="1"/>
  <c r="S105" i="50"/>
  <c r="S110" i="50"/>
  <c r="S108" i="24"/>
  <c r="S102" i="24"/>
  <c r="S103" i="24" s="1"/>
  <c r="S113" i="24"/>
  <c r="S114" i="24" s="1"/>
  <c r="S105" i="24"/>
  <c r="S110" i="24"/>
  <c r="AD102" i="24"/>
  <c r="AD103" i="24" s="1"/>
  <c r="AD108" i="24"/>
  <c r="AD113" i="24"/>
  <c r="AD114" i="24" s="1"/>
  <c r="AD105" i="24"/>
  <c r="AD110" i="24"/>
  <c r="S102" i="50"/>
  <c r="S103" i="50" s="1"/>
  <c r="S108" i="50"/>
  <c r="AD110" i="1"/>
  <c r="AD105" i="1"/>
  <c r="AD113" i="1"/>
  <c r="AD114" i="1" s="1"/>
  <c r="AD102" i="1"/>
  <c r="AD103" i="1" s="1"/>
  <c r="AD108" i="1"/>
  <c r="S102" i="1"/>
  <c r="S103" i="1" s="1"/>
  <c r="S108" i="1"/>
  <c r="AX108" i="49"/>
  <c r="S63" i="50"/>
  <c r="S67" i="50" s="1"/>
  <c r="S70" i="50"/>
  <c r="S72" i="50" s="1"/>
  <c r="AN73" i="49"/>
  <c r="AN75" i="49" s="1"/>
  <c r="AN77" i="49" s="1"/>
  <c r="AX70" i="49"/>
  <c r="AX72" i="49" s="1"/>
  <c r="AN116" i="49"/>
  <c r="AX113" i="49"/>
  <c r="AX114" i="49" s="1"/>
  <c r="AX105" i="49"/>
  <c r="AX116" i="49" s="1"/>
  <c r="AN116" i="50"/>
  <c r="S63" i="49"/>
  <c r="S67" i="49" s="1"/>
  <c r="S70" i="49"/>
  <c r="S72" i="49" s="1"/>
  <c r="S58" i="49"/>
  <c r="AD113" i="49"/>
  <c r="AD114" i="49" s="1"/>
  <c r="AD110" i="49"/>
  <c r="AD105" i="49"/>
  <c r="AD102" i="49"/>
  <c r="AD103" i="49" s="1"/>
  <c r="AD108" i="49"/>
  <c r="S110" i="49"/>
  <c r="S113" i="49"/>
  <c r="S114" i="49" s="1"/>
  <c r="S105" i="49"/>
  <c r="S91" i="49"/>
  <c r="S109" i="49"/>
  <c r="AD63" i="49"/>
  <c r="AD67" i="49" s="1"/>
  <c r="AD70" i="49"/>
  <c r="AD72" i="49" s="1"/>
  <c r="AD58" i="49"/>
  <c r="AD91" i="49"/>
  <c r="AD109" i="49"/>
  <c r="S102" i="49"/>
  <c r="S103" i="49" s="1"/>
  <c r="S108" i="49"/>
  <c r="AD73" i="1"/>
  <c r="AD75" i="1" s="1"/>
  <c r="AD77" i="1" s="1"/>
  <c r="AX58" i="1"/>
  <c r="AX70" i="1"/>
  <c r="AX72" i="1" s="1"/>
  <c r="AX63" i="1"/>
  <c r="AX67" i="1" s="1"/>
  <c r="AN70" i="1"/>
  <c r="AN72" i="1" s="1"/>
  <c r="AN58" i="1"/>
  <c r="AN63" i="1"/>
  <c r="AN67" i="1" s="1"/>
  <c r="AN109" i="1"/>
  <c r="AN91" i="1"/>
  <c r="AN102" i="1"/>
  <c r="AN103" i="1" s="1"/>
  <c r="AN108" i="1"/>
  <c r="AX91" i="1"/>
  <c r="AX109" i="1"/>
  <c r="S116" i="1"/>
  <c r="AX105" i="1"/>
  <c r="AX110" i="1"/>
  <c r="AX113" i="1"/>
  <c r="AX114" i="1" s="1"/>
  <c r="S73" i="1"/>
  <c r="S75" i="1" s="1"/>
  <c r="S77" i="1" s="1"/>
  <c r="AN105" i="1"/>
  <c r="AN110" i="1"/>
  <c r="AN113" i="1"/>
  <c r="AN114" i="1" s="1"/>
  <c r="AX102" i="1"/>
  <c r="AX103" i="1" s="1"/>
  <c r="AX108" i="1"/>
  <c r="AD58" i="50"/>
  <c r="AD70" i="50"/>
  <c r="AD72" i="50" s="1"/>
  <c r="AD63" i="50"/>
  <c r="AD67" i="50" s="1"/>
  <c r="AD91" i="50"/>
  <c r="AD109" i="50"/>
  <c r="AX77" i="50"/>
  <c r="AN73" i="50"/>
  <c r="AN75" i="50" s="1"/>
  <c r="AN77" i="50"/>
  <c r="AD102" i="50"/>
  <c r="AD103" i="50" s="1"/>
  <c r="AD108" i="50"/>
  <c r="AD113" i="50"/>
  <c r="AD114" i="50" s="1"/>
  <c r="AD105" i="50"/>
  <c r="AD110" i="50"/>
  <c r="AX73" i="50"/>
  <c r="AX75" i="50" s="1"/>
  <c r="S109" i="48"/>
  <c r="S91" i="48"/>
  <c r="AD58" i="48"/>
  <c r="AD70" i="48"/>
  <c r="AD72" i="48" s="1"/>
  <c r="AD63" i="48"/>
  <c r="AD67" i="48" s="1"/>
  <c r="AX91" i="48"/>
  <c r="AX109" i="48"/>
  <c r="AN58" i="48"/>
  <c r="AN70" i="48"/>
  <c r="AN72" i="48" s="1"/>
  <c r="AN63" i="48"/>
  <c r="AN67" i="48" s="1"/>
  <c r="S58" i="48"/>
  <c r="S70" i="48"/>
  <c r="S72" i="48" s="1"/>
  <c r="S63" i="48"/>
  <c r="S67" i="48" s="1"/>
  <c r="AN105" i="48"/>
  <c r="AN113" i="48"/>
  <c r="AN114" i="48" s="1"/>
  <c r="AN110" i="48"/>
  <c r="AD109" i="48"/>
  <c r="AD91" i="48"/>
  <c r="S102" i="48"/>
  <c r="S103" i="48" s="1"/>
  <c r="S108" i="48"/>
  <c r="AX113" i="48"/>
  <c r="AX114" i="48" s="1"/>
  <c r="AX105" i="48"/>
  <c r="AX110" i="48"/>
  <c r="AN102" i="48"/>
  <c r="AN103" i="48" s="1"/>
  <c r="AN108" i="48"/>
  <c r="AN91" i="48"/>
  <c r="AN109" i="48"/>
  <c r="S113" i="48"/>
  <c r="S114" i="48" s="1"/>
  <c r="S105" i="48"/>
  <c r="S110" i="48"/>
  <c r="AX102" i="48"/>
  <c r="AX103" i="48" s="1"/>
  <c r="AX108" i="48"/>
  <c r="AX58" i="48"/>
  <c r="AX63" i="48"/>
  <c r="AX67" i="48" s="1"/>
  <c r="AX70" i="48"/>
  <c r="AX72" i="48" s="1"/>
  <c r="AD102" i="48"/>
  <c r="AD103" i="48" s="1"/>
  <c r="AD108" i="48"/>
  <c r="AD105" i="48"/>
  <c r="AD113" i="48"/>
  <c r="AD114" i="48" s="1"/>
  <c r="AD110" i="48"/>
  <c r="AN58" i="24"/>
  <c r="AN70" i="24"/>
  <c r="AN72" i="24" s="1"/>
  <c r="AN63" i="24"/>
  <c r="AN67" i="24" s="1"/>
  <c r="AN110" i="24"/>
  <c r="AN113" i="24"/>
  <c r="AN114" i="24" s="1"/>
  <c r="AN105" i="24"/>
  <c r="S73" i="24"/>
  <c r="S75" i="24" s="1"/>
  <c r="S77" i="24" s="1"/>
  <c r="AX116" i="24"/>
  <c r="AN91" i="24"/>
  <c r="AN109" i="24"/>
  <c r="AD73" i="24"/>
  <c r="AD75" i="24" s="1"/>
  <c r="AX73" i="24"/>
  <c r="AX75" i="24" s="1"/>
  <c r="AN102" i="24"/>
  <c r="AN103" i="24" s="1"/>
  <c r="AN108" i="24"/>
  <c r="AD77" i="24"/>
  <c r="AX77" i="24"/>
  <c r="AF116" i="85" l="1"/>
  <c r="AJ116" i="84"/>
  <c r="AF116" i="84"/>
  <c r="AJ116" i="85"/>
  <c r="G118" i="86"/>
  <c r="I118" i="86" s="1"/>
  <c r="Y159" i="86"/>
  <c r="Y187" i="86"/>
  <c r="Y164" i="86"/>
  <c r="Y201" i="86"/>
  <c r="Y189" i="86"/>
  <c r="Y186" i="86"/>
  <c r="Y178" i="86"/>
  <c r="Y205" i="86"/>
  <c r="Y204" i="86"/>
  <c r="Y163" i="86"/>
  <c r="Y160" i="86"/>
  <c r="Y175" i="86"/>
  <c r="Y197" i="86"/>
  <c r="Y199" i="86"/>
  <c r="Y174" i="86"/>
  <c r="Y198" i="86"/>
  <c r="Y185" i="86"/>
  <c r="Y158" i="86"/>
  <c r="Y176" i="86"/>
  <c r="Y173" i="86"/>
  <c r="Y194" i="86"/>
  <c r="Y168" i="86"/>
  <c r="Y170" i="86"/>
  <c r="Y167" i="86"/>
  <c r="Y161" i="86"/>
  <c r="Y177" i="86"/>
  <c r="Y166" i="86"/>
  <c r="Y190" i="86"/>
  <c r="Y162" i="86"/>
  <c r="Y195" i="86"/>
  <c r="Y192" i="86"/>
  <c r="Y193" i="86"/>
  <c r="Y203" i="86"/>
  <c r="Y179" i="86"/>
  <c r="Y171" i="86"/>
  <c r="Y184" i="86"/>
  <c r="Y191" i="86"/>
  <c r="Y169" i="86"/>
  <c r="Y188" i="86"/>
  <c r="Y196" i="86"/>
  <c r="Y165" i="86"/>
  <c r="Y172" i="86"/>
  <c r="Y202" i="86"/>
  <c r="Y200" i="86"/>
  <c r="G272" i="86"/>
  <c r="I272" i="86" s="1"/>
  <c r="AZ116" i="86"/>
  <c r="BD116" i="86"/>
  <c r="G172" i="86"/>
  <c r="I172" i="86" s="1"/>
  <c r="AJ170" i="86"/>
  <c r="AJ171" i="86"/>
  <c r="AJ193" i="86"/>
  <c r="AJ160" i="86"/>
  <c r="AJ177" i="86"/>
  <c r="AJ165" i="86"/>
  <c r="AJ167" i="86"/>
  <c r="AJ201" i="86"/>
  <c r="AJ196" i="86"/>
  <c r="AJ195" i="86"/>
  <c r="AJ175" i="86"/>
  <c r="AJ178" i="86"/>
  <c r="AJ203" i="86"/>
  <c r="AJ200" i="86"/>
  <c r="AJ168" i="86"/>
  <c r="AJ199" i="86"/>
  <c r="AJ190" i="86"/>
  <c r="AJ176" i="86"/>
  <c r="AJ191" i="86"/>
  <c r="AJ161" i="86"/>
  <c r="AJ166" i="86"/>
  <c r="AJ194" i="86"/>
  <c r="AJ204" i="86"/>
  <c r="AJ189" i="86"/>
  <c r="AJ162" i="86"/>
  <c r="AJ188" i="86"/>
  <c r="AJ187" i="86"/>
  <c r="AJ202" i="86"/>
  <c r="AJ205" i="86"/>
  <c r="AJ198" i="86"/>
  <c r="AJ163" i="86"/>
  <c r="AJ164" i="86"/>
  <c r="AJ173" i="86"/>
  <c r="AJ169" i="86"/>
  <c r="AJ174" i="86"/>
  <c r="AJ186" i="86"/>
  <c r="AJ179" i="86"/>
  <c r="AJ172" i="86"/>
  <c r="AJ159" i="86"/>
  <c r="AJ158" i="86"/>
  <c r="AJ197" i="86"/>
  <c r="AJ192" i="86"/>
  <c r="AJ185" i="86"/>
  <c r="AJ184" i="86"/>
  <c r="AT116" i="86"/>
  <c r="AP116" i="86"/>
  <c r="G223" i="86"/>
  <c r="I223" i="86" s="1"/>
  <c r="G221" i="86"/>
  <c r="I221" i="86" s="1"/>
  <c r="AT167" i="86"/>
  <c r="AT158" i="86"/>
  <c r="AT196" i="86"/>
  <c r="AT169" i="86"/>
  <c r="AT199" i="86"/>
  <c r="AT178" i="86"/>
  <c r="AT191" i="86"/>
  <c r="AT193" i="86"/>
  <c r="AT170" i="86"/>
  <c r="AT190" i="86"/>
  <c r="AT203" i="86"/>
  <c r="AT186" i="86"/>
  <c r="AT205" i="86"/>
  <c r="AT172" i="86"/>
  <c r="AT185" i="86"/>
  <c r="AT164" i="86"/>
  <c r="AT188" i="86"/>
  <c r="AT174" i="86"/>
  <c r="AT160" i="86"/>
  <c r="AT173" i="86"/>
  <c r="AT202" i="86"/>
  <c r="AT177" i="86"/>
  <c r="AT201" i="86"/>
  <c r="AT187" i="86"/>
  <c r="AT197" i="86"/>
  <c r="AT198" i="86"/>
  <c r="AT165" i="86"/>
  <c r="AT194" i="86"/>
  <c r="AT175" i="86"/>
  <c r="AT184" i="86"/>
  <c r="AT200" i="86"/>
  <c r="AT168" i="86"/>
  <c r="AT162" i="86"/>
  <c r="AT161" i="86"/>
  <c r="AT192" i="86"/>
  <c r="AT189" i="86"/>
  <c r="AT171" i="86"/>
  <c r="AT179" i="86"/>
  <c r="AT195" i="86"/>
  <c r="AT159" i="86"/>
  <c r="AT204" i="86"/>
  <c r="AT163" i="86"/>
  <c r="AT166" i="86"/>
  <c r="AT176" i="86"/>
  <c r="G270" i="86"/>
  <c r="I270" i="86" s="1"/>
  <c r="BD175" i="86"/>
  <c r="BD200" i="86"/>
  <c r="BD193" i="86"/>
  <c r="BD159" i="86"/>
  <c r="BD184" i="86"/>
  <c r="BD174" i="86"/>
  <c r="BD204" i="86"/>
  <c r="BD197" i="86"/>
  <c r="BD168" i="86"/>
  <c r="BD164" i="86"/>
  <c r="BD202" i="86"/>
  <c r="BD160" i="86"/>
  <c r="BD185" i="86"/>
  <c r="BD203" i="86"/>
  <c r="BD186" i="86"/>
  <c r="BD198" i="86"/>
  <c r="BD205" i="86"/>
  <c r="BD195" i="86"/>
  <c r="BD170" i="86"/>
  <c r="BD196" i="86"/>
  <c r="BD178" i="86"/>
  <c r="BD172" i="86"/>
  <c r="BD158" i="86"/>
  <c r="BD188" i="86"/>
  <c r="BD199" i="86"/>
  <c r="BD166" i="86"/>
  <c r="BD177" i="86"/>
  <c r="BD163" i="86"/>
  <c r="BD173" i="86"/>
  <c r="BD171" i="86"/>
  <c r="BD169" i="86"/>
  <c r="BD201" i="86"/>
  <c r="BD189" i="86"/>
  <c r="BD167" i="86"/>
  <c r="BD179" i="86"/>
  <c r="BD161" i="86"/>
  <c r="BD192" i="86"/>
  <c r="BD191" i="86"/>
  <c r="BD187" i="86"/>
  <c r="BD194" i="86"/>
  <c r="BD165" i="86"/>
  <c r="BD162" i="86"/>
  <c r="BD176" i="86"/>
  <c r="BD190" i="86"/>
  <c r="G120" i="86"/>
  <c r="I120" i="86" s="1"/>
  <c r="Y116" i="86"/>
  <c r="U116" i="86"/>
  <c r="AX73" i="85"/>
  <c r="AX75" i="85" s="1"/>
  <c r="G223" i="85"/>
  <c r="I223" i="85" s="1"/>
  <c r="AT116" i="85"/>
  <c r="AP116" i="85"/>
  <c r="U116" i="84"/>
  <c r="BD77" i="85"/>
  <c r="AZ77" i="85"/>
  <c r="Y116" i="81"/>
  <c r="U77" i="85"/>
  <c r="Y77" i="85"/>
  <c r="G221" i="85"/>
  <c r="I221" i="85" s="1"/>
  <c r="AT161" i="85"/>
  <c r="AT166" i="85"/>
  <c r="AT160" i="85"/>
  <c r="AT174" i="85"/>
  <c r="AT179" i="85"/>
  <c r="AT158" i="85"/>
  <c r="AT164" i="85"/>
  <c r="AT170" i="85"/>
  <c r="AT198" i="85"/>
  <c r="AT163" i="85"/>
  <c r="AT159" i="85"/>
  <c r="AT203" i="85"/>
  <c r="AT193" i="85"/>
  <c r="AT201" i="85"/>
  <c r="AT173" i="85"/>
  <c r="AT188" i="85"/>
  <c r="AT175" i="85"/>
  <c r="AT177" i="85"/>
  <c r="AT162" i="85"/>
  <c r="AT172" i="85"/>
  <c r="AT194" i="85"/>
  <c r="AT185" i="85"/>
  <c r="AT187" i="85"/>
  <c r="AT191" i="85"/>
  <c r="AT165" i="85"/>
  <c r="AT202" i="85"/>
  <c r="AT171" i="85"/>
  <c r="AT184" i="85"/>
  <c r="AT199" i="85"/>
  <c r="AT205" i="85"/>
  <c r="AT200" i="85"/>
  <c r="AT189" i="85"/>
  <c r="AT204" i="85"/>
  <c r="AT178" i="85"/>
  <c r="AT167" i="85"/>
  <c r="AT197" i="85"/>
  <c r="AT196" i="85"/>
  <c r="AT169" i="85"/>
  <c r="AT190" i="85"/>
  <c r="AT176" i="85"/>
  <c r="AT168" i="85"/>
  <c r="AT186" i="85"/>
  <c r="AT195" i="85"/>
  <c r="AT192" i="85"/>
  <c r="G172" i="85"/>
  <c r="I172" i="85" s="1"/>
  <c r="AJ175" i="85"/>
  <c r="AJ177" i="85"/>
  <c r="AJ203" i="85"/>
  <c r="AJ188" i="85"/>
  <c r="AJ167" i="85"/>
  <c r="AJ199" i="85"/>
  <c r="AJ198" i="85"/>
  <c r="AJ165" i="85"/>
  <c r="AJ192" i="85"/>
  <c r="AJ159" i="85"/>
  <c r="AJ170" i="85"/>
  <c r="AJ173" i="85"/>
  <c r="AJ194" i="85"/>
  <c r="AJ169" i="85"/>
  <c r="AJ158" i="85"/>
  <c r="AJ205" i="85"/>
  <c r="AJ162" i="85"/>
  <c r="AJ168" i="85"/>
  <c r="AJ164" i="85"/>
  <c r="AJ195" i="85"/>
  <c r="AJ161" i="85"/>
  <c r="AJ193" i="85"/>
  <c r="AJ190" i="85"/>
  <c r="AJ187" i="85"/>
  <c r="AJ196" i="85"/>
  <c r="AJ178" i="85"/>
  <c r="AJ186" i="85"/>
  <c r="AJ172" i="85"/>
  <c r="AJ171" i="85"/>
  <c r="AJ202" i="85"/>
  <c r="AJ201" i="85"/>
  <c r="AJ185" i="85"/>
  <c r="AJ200" i="85"/>
  <c r="AJ160" i="85"/>
  <c r="AJ189" i="85"/>
  <c r="AJ204" i="85"/>
  <c r="AJ166" i="85"/>
  <c r="AJ174" i="85"/>
  <c r="AJ197" i="85"/>
  <c r="AJ163" i="85"/>
  <c r="AJ179" i="85"/>
  <c r="AJ176" i="85"/>
  <c r="AJ184" i="85"/>
  <c r="AJ191" i="85"/>
  <c r="S73" i="85"/>
  <c r="S75" i="85" s="1"/>
  <c r="G221" i="84"/>
  <c r="I221" i="84" s="1"/>
  <c r="AT160" i="84"/>
  <c r="AT168" i="84"/>
  <c r="AT163" i="84"/>
  <c r="AT199" i="84"/>
  <c r="AT189" i="84"/>
  <c r="AT202" i="84"/>
  <c r="AT172" i="84"/>
  <c r="AT184" i="84"/>
  <c r="AT193" i="84"/>
  <c r="AT203" i="84"/>
  <c r="AT175" i="84"/>
  <c r="AT205" i="84"/>
  <c r="AT161" i="84"/>
  <c r="AT190" i="84"/>
  <c r="AT198" i="84"/>
  <c r="AT195" i="84"/>
  <c r="AT167" i="84"/>
  <c r="AT185" i="84"/>
  <c r="AT197" i="84"/>
  <c r="AT196" i="84"/>
  <c r="AT173" i="84"/>
  <c r="AT194" i="84"/>
  <c r="AT166" i="84"/>
  <c r="AT162" i="84"/>
  <c r="AT165" i="84"/>
  <c r="AT169" i="84"/>
  <c r="AT186" i="84"/>
  <c r="AT187" i="84"/>
  <c r="AT177" i="84"/>
  <c r="AT179" i="84"/>
  <c r="AT159" i="84"/>
  <c r="AT171" i="84"/>
  <c r="AT191" i="84"/>
  <c r="AT201" i="84"/>
  <c r="AT200" i="84"/>
  <c r="AT164" i="84"/>
  <c r="AT192" i="84"/>
  <c r="AT158" i="84"/>
  <c r="AT204" i="84"/>
  <c r="AT188" i="84"/>
  <c r="AT176" i="84"/>
  <c r="AT178" i="84"/>
  <c r="AT174" i="84"/>
  <c r="AT170" i="84"/>
  <c r="Y116" i="84"/>
  <c r="G174" i="83"/>
  <c r="I174" i="83" s="1"/>
  <c r="S73" i="84"/>
  <c r="S75" i="84" s="1"/>
  <c r="AX73" i="84"/>
  <c r="AX75" i="84" s="1"/>
  <c r="G172" i="84"/>
  <c r="I172" i="84" s="1"/>
  <c r="AJ168" i="84"/>
  <c r="AJ205" i="84"/>
  <c r="AJ161" i="84"/>
  <c r="AJ178" i="84"/>
  <c r="AJ184" i="84"/>
  <c r="AJ169" i="84"/>
  <c r="AJ191" i="84"/>
  <c r="AJ173" i="84"/>
  <c r="AJ189" i="84"/>
  <c r="AJ195" i="84"/>
  <c r="AJ158" i="84"/>
  <c r="AJ204" i="84"/>
  <c r="AJ202" i="84"/>
  <c r="AJ176" i="84"/>
  <c r="AJ172" i="84"/>
  <c r="AJ170" i="84"/>
  <c r="AJ167" i="84"/>
  <c r="AJ164" i="84"/>
  <c r="AJ171" i="84"/>
  <c r="AJ203" i="84"/>
  <c r="AJ165" i="84"/>
  <c r="AJ166" i="84"/>
  <c r="AJ163" i="84"/>
  <c r="AJ198" i="84"/>
  <c r="AJ175" i="84"/>
  <c r="AJ185" i="84"/>
  <c r="AJ160" i="84"/>
  <c r="AJ193" i="84"/>
  <c r="AJ179" i="84"/>
  <c r="AJ192" i="84"/>
  <c r="AJ197" i="84"/>
  <c r="AJ199" i="84"/>
  <c r="AJ188" i="84"/>
  <c r="AJ186" i="84"/>
  <c r="AJ159" i="84"/>
  <c r="AJ196" i="84"/>
  <c r="AJ190" i="84"/>
  <c r="AJ174" i="84"/>
  <c r="AJ187" i="84"/>
  <c r="AJ201" i="84"/>
  <c r="AJ162" i="84"/>
  <c r="AJ194" i="84"/>
  <c r="AJ177" i="84"/>
  <c r="AJ200" i="84"/>
  <c r="G223" i="84"/>
  <c r="I223" i="84" s="1"/>
  <c r="AP116" i="84"/>
  <c r="AT116" i="84"/>
  <c r="AD73" i="83"/>
  <c r="AD75" i="83" s="1"/>
  <c r="BD77" i="84"/>
  <c r="AZ77" i="84"/>
  <c r="AX116" i="50"/>
  <c r="Y77" i="84"/>
  <c r="U77" i="84"/>
  <c r="AD116" i="1"/>
  <c r="AJ116" i="83"/>
  <c r="AF116" i="83"/>
  <c r="G223" i="82"/>
  <c r="I223" i="82" s="1"/>
  <c r="G272" i="82"/>
  <c r="I272" i="82" s="1"/>
  <c r="G223" i="83"/>
  <c r="I223" i="83" s="1"/>
  <c r="AT116" i="83"/>
  <c r="AP116" i="83"/>
  <c r="AP116" i="82"/>
  <c r="G120" i="83"/>
  <c r="I120" i="83" s="1"/>
  <c r="Y116" i="83"/>
  <c r="U116" i="83"/>
  <c r="AX73" i="83"/>
  <c r="AX75" i="83" s="1"/>
  <c r="Y197" i="83"/>
  <c r="G118" i="83"/>
  <c r="I118" i="83" s="1"/>
  <c r="Y201" i="83"/>
  <c r="Y169" i="83"/>
  <c r="Y198" i="83"/>
  <c r="Y164" i="83"/>
  <c r="Y166" i="83"/>
  <c r="Y163" i="83"/>
  <c r="Y195" i="83"/>
  <c r="Y196" i="83"/>
  <c r="Y184" i="83"/>
  <c r="Y186" i="83"/>
  <c r="Y204" i="83"/>
  <c r="Y172" i="83"/>
  <c r="Y167" i="83"/>
  <c r="Y189" i="83"/>
  <c r="Y159" i="83"/>
  <c r="Y171" i="83"/>
  <c r="Y176" i="83"/>
  <c r="Y177" i="83"/>
  <c r="Y200" i="83"/>
  <c r="Y193" i="83"/>
  <c r="Y175" i="83"/>
  <c r="Y165" i="83"/>
  <c r="Y202" i="83"/>
  <c r="Y199" i="83"/>
  <c r="Y192" i="83"/>
  <c r="Y178" i="83"/>
  <c r="Y194" i="83"/>
  <c r="Y191" i="83"/>
  <c r="Y160" i="83"/>
  <c r="Y185" i="83"/>
  <c r="Y170" i="83"/>
  <c r="Y173" i="83"/>
  <c r="Y162" i="83"/>
  <c r="Y158" i="83"/>
  <c r="Y174" i="83"/>
  <c r="Y161" i="83"/>
  <c r="Y203" i="83"/>
  <c r="Y205" i="83"/>
  <c r="Y188" i="83"/>
  <c r="Y187" i="83"/>
  <c r="Y168" i="83"/>
  <c r="Y190" i="83"/>
  <c r="Y179" i="83"/>
  <c r="S116" i="24"/>
  <c r="BD77" i="83"/>
  <c r="AZ77" i="83"/>
  <c r="G221" i="83"/>
  <c r="I221" i="83" s="1"/>
  <c r="AT196" i="83"/>
  <c r="AT199" i="83"/>
  <c r="AT189" i="83"/>
  <c r="AT186" i="83"/>
  <c r="AT191" i="83"/>
  <c r="AT162" i="83"/>
  <c r="AT158" i="83"/>
  <c r="AT198" i="83"/>
  <c r="AT173" i="83"/>
  <c r="AT192" i="83"/>
  <c r="AT169" i="83"/>
  <c r="AT187" i="83"/>
  <c r="AT170" i="83"/>
  <c r="AT163" i="83"/>
  <c r="AT164" i="83"/>
  <c r="AT194" i="83"/>
  <c r="AT172" i="83"/>
  <c r="AT159" i="83"/>
  <c r="AT160" i="83"/>
  <c r="AT179" i="83"/>
  <c r="AT200" i="83"/>
  <c r="AT176" i="83"/>
  <c r="AT168" i="83"/>
  <c r="AT174" i="83"/>
  <c r="AT175" i="83"/>
  <c r="AT185" i="83"/>
  <c r="AT167" i="83"/>
  <c r="AT171" i="83"/>
  <c r="AT178" i="83"/>
  <c r="AT184" i="83"/>
  <c r="AT205" i="83"/>
  <c r="AT166" i="83"/>
  <c r="AT197" i="83"/>
  <c r="AT193" i="83"/>
  <c r="AT188" i="83"/>
  <c r="AT204" i="83"/>
  <c r="AT201" i="83"/>
  <c r="AT161" i="83"/>
  <c r="AT165" i="83"/>
  <c r="AT190" i="83"/>
  <c r="AT177" i="83"/>
  <c r="AT203" i="83"/>
  <c r="AT202" i="83"/>
  <c r="AT195" i="83"/>
  <c r="AF77" i="83"/>
  <c r="AJ77" i="83"/>
  <c r="AZ116" i="82"/>
  <c r="G120" i="82"/>
  <c r="I120" i="82" s="1"/>
  <c r="U116" i="82"/>
  <c r="Y116" i="82"/>
  <c r="G221" i="82"/>
  <c r="I221" i="82" s="1"/>
  <c r="AT178" i="82"/>
  <c r="AT198" i="82"/>
  <c r="AT172" i="82"/>
  <c r="AT202" i="82"/>
  <c r="AT184" i="82"/>
  <c r="AT174" i="82"/>
  <c r="AT160" i="82"/>
  <c r="AT188" i="82"/>
  <c r="AT161" i="82"/>
  <c r="AT164" i="82"/>
  <c r="AT185" i="82"/>
  <c r="AT159" i="82"/>
  <c r="AT191" i="82"/>
  <c r="AT195" i="82"/>
  <c r="AT189" i="82"/>
  <c r="AT179" i="82"/>
  <c r="AT199" i="82"/>
  <c r="AT203" i="82"/>
  <c r="AT190" i="82"/>
  <c r="AT168" i="82"/>
  <c r="AT200" i="82"/>
  <c r="AT205" i="82"/>
  <c r="AT171" i="82"/>
  <c r="AT177" i="82"/>
  <c r="AT173" i="82"/>
  <c r="AT166" i="82"/>
  <c r="AT194" i="82"/>
  <c r="AT170" i="82"/>
  <c r="AT176" i="82"/>
  <c r="AT201" i="82"/>
  <c r="AT204" i="82"/>
  <c r="AT167" i="82"/>
  <c r="AT165" i="82"/>
  <c r="AT197" i="82"/>
  <c r="AT163" i="82"/>
  <c r="AT193" i="82"/>
  <c r="AT186" i="82"/>
  <c r="AT162" i="82"/>
  <c r="AT192" i="82"/>
  <c r="AT196" i="82"/>
  <c r="AT175" i="82"/>
  <c r="AT187" i="82"/>
  <c r="AT169" i="82"/>
  <c r="AT158" i="82"/>
  <c r="G118" i="82"/>
  <c r="I118" i="82" s="1"/>
  <c r="Y174" i="82"/>
  <c r="Y196" i="82"/>
  <c r="Y164" i="82"/>
  <c r="Y193" i="82"/>
  <c r="Y197" i="82"/>
  <c r="Y200" i="82"/>
  <c r="Y199" i="82"/>
  <c r="Y172" i="82"/>
  <c r="Y165" i="82"/>
  <c r="Y187" i="82"/>
  <c r="Y175" i="82"/>
  <c r="Y185" i="82"/>
  <c r="Y170" i="82"/>
  <c r="Y158" i="82"/>
  <c r="Y179" i="82"/>
  <c r="Y169" i="82"/>
  <c r="Y161" i="82"/>
  <c r="Y160" i="82"/>
  <c r="Y168" i="82"/>
  <c r="Y201" i="82"/>
  <c r="Y192" i="82"/>
  <c r="Y176" i="82"/>
  <c r="Y198" i="82"/>
  <c r="Y177" i="82"/>
  <c r="Y184" i="82"/>
  <c r="Y173" i="82"/>
  <c r="Y167" i="82"/>
  <c r="Y204" i="82"/>
  <c r="Y186" i="82"/>
  <c r="Y195" i="82"/>
  <c r="Y194" i="82"/>
  <c r="Y178" i="82"/>
  <c r="Y202" i="82"/>
  <c r="Y171" i="82"/>
  <c r="Y159" i="82"/>
  <c r="Y163" i="82"/>
  <c r="Y190" i="82"/>
  <c r="Y189" i="82"/>
  <c r="Y162" i="82"/>
  <c r="Y166" i="82"/>
  <c r="Y191" i="82"/>
  <c r="Y203" i="82"/>
  <c r="Y205" i="82"/>
  <c r="Y188" i="82"/>
  <c r="G270" i="82"/>
  <c r="I270" i="82" s="1"/>
  <c r="BD168" i="82"/>
  <c r="BD162" i="82"/>
  <c r="BD187" i="82"/>
  <c r="BD205" i="82"/>
  <c r="BD179" i="82"/>
  <c r="BD195" i="82"/>
  <c r="BD163" i="82"/>
  <c r="BD194" i="82"/>
  <c r="BD203" i="82"/>
  <c r="BD188" i="82"/>
  <c r="BD204" i="82"/>
  <c r="BD196" i="82"/>
  <c r="BD175" i="82"/>
  <c r="BD191" i="82"/>
  <c r="BD167" i="82"/>
  <c r="BD190" i="82"/>
  <c r="BD186" i="82"/>
  <c r="BD193" i="82"/>
  <c r="BD166" i="82"/>
  <c r="BD185" i="82"/>
  <c r="BD173" i="82"/>
  <c r="BD189" i="82"/>
  <c r="BD161" i="82"/>
  <c r="BD200" i="82"/>
  <c r="BD174" i="82"/>
  <c r="BD199" i="82"/>
  <c r="BD197" i="82"/>
  <c r="BD169" i="82"/>
  <c r="BD176" i="82"/>
  <c r="BD158" i="82"/>
  <c r="BD178" i="82"/>
  <c r="BD201" i="82"/>
  <c r="BD165" i="82"/>
  <c r="BD170" i="82"/>
  <c r="BD202" i="82"/>
  <c r="BD159" i="82"/>
  <c r="BD184" i="82"/>
  <c r="BD172" i="82"/>
  <c r="BD198" i="82"/>
  <c r="BD164" i="82"/>
  <c r="BD177" i="82"/>
  <c r="BD171" i="82"/>
  <c r="BD192" i="82"/>
  <c r="BD160" i="82"/>
  <c r="G172" i="82"/>
  <c r="I172" i="82" s="1"/>
  <c r="AJ175" i="82"/>
  <c r="AJ203" i="82"/>
  <c r="AJ189" i="82"/>
  <c r="AJ160" i="82"/>
  <c r="AJ177" i="82"/>
  <c r="AJ184" i="82"/>
  <c r="AJ194" i="82"/>
  <c r="AJ205" i="82"/>
  <c r="AJ193" i="82"/>
  <c r="AJ158" i="82"/>
  <c r="AJ161" i="82"/>
  <c r="AJ185" i="82"/>
  <c r="AJ168" i="82"/>
  <c r="AJ190" i="82"/>
  <c r="AJ197" i="82"/>
  <c r="AJ169" i="82"/>
  <c r="AJ187" i="82"/>
  <c r="AJ164" i="82"/>
  <c r="AJ191" i="82"/>
  <c r="AJ188" i="82"/>
  <c r="AJ172" i="82"/>
  <c r="AJ171" i="82"/>
  <c r="AJ198" i="82"/>
  <c r="AJ165" i="82"/>
  <c r="AJ196" i="82"/>
  <c r="AJ192" i="82"/>
  <c r="AJ202" i="82"/>
  <c r="AJ178" i="82"/>
  <c r="AJ201" i="82"/>
  <c r="AJ163" i="82"/>
  <c r="AJ166" i="82"/>
  <c r="AJ167" i="82"/>
  <c r="AJ186" i="82"/>
  <c r="AJ173" i="82"/>
  <c r="AJ170" i="82"/>
  <c r="AJ204" i="82"/>
  <c r="AJ174" i="82"/>
  <c r="AJ176" i="82"/>
  <c r="AJ179" i="82"/>
  <c r="AJ162" i="82"/>
  <c r="AJ200" i="82"/>
  <c r="AJ199" i="82"/>
  <c r="AJ159" i="82"/>
  <c r="AJ195" i="82"/>
  <c r="AF116" i="82"/>
  <c r="G174" i="82"/>
  <c r="I174" i="82" s="1"/>
  <c r="AJ116" i="82"/>
  <c r="AD73" i="81"/>
  <c r="AD75" i="81" s="1"/>
  <c r="G118" i="81"/>
  <c r="I118" i="81" s="1"/>
  <c r="Y179" i="81"/>
  <c r="Y189" i="81"/>
  <c r="Y197" i="81"/>
  <c r="G270" i="81"/>
  <c r="I270" i="81" s="1"/>
  <c r="BD164" i="81"/>
  <c r="BD166" i="81"/>
  <c r="BD168" i="81"/>
  <c r="BD170" i="81"/>
  <c r="BD163" i="81"/>
  <c r="BD196" i="81"/>
  <c r="BD158" i="81"/>
  <c r="BD169" i="81"/>
  <c r="BD191" i="81"/>
  <c r="BD176" i="81"/>
  <c r="BD197" i="81"/>
  <c r="BD165" i="81"/>
  <c r="BD185" i="81"/>
  <c r="BD194" i="81"/>
  <c r="BD162" i="81"/>
  <c r="BD167" i="81"/>
  <c r="BD188" i="81"/>
  <c r="BD202" i="81"/>
  <c r="BD174" i="81"/>
  <c r="BD173" i="81"/>
  <c r="BD160" i="81"/>
  <c r="BD177" i="81"/>
  <c r="BD161" i="81"/>
  <c r="BD199" i="81"/>
  <c r="BD190" i="81"/>
  <c r="BD203" i="81"/>
  <c r="BD205" i="81"/>
  <c r="BD187" i="81"/>
  <c r="BD175" i="81"/>
  <c r="BD184" i="81"/>
  <c r="BD178" i="81"/>
  <c r="BD192" i="81"/>
  <c r="BD193" i="81"/>
  <c r="BD200" i="81"/>
  <c r="BD198" i="81"/>
  <c r="BD186" i="81"/>
  <c r="BD189" i="81"/>
  <c r="BD201" i="81"/>
  <c r="BD204" i="81"/>
  <c r="BD159" i="81"/>
  <c r="BD171" i="81"/>
  <c r="BD195" i="81"/>
  <c r="BD172" i="81"/>
  <c r="BD179" i="81"/>
  <c r="AF77" i="81"/>
  <c r="AJ77" i="81"/>
  <c r="AN73" i="81"/>
  <c r="AN75" i="81" s="1"/>
  <c r="AP77" i="81"/>
  <c r="AT77" i="81"/>
  <c r="G272" i="81"/>
  <c r="I272" i="81" s="1"/>
  <c r="BD116" i="81"/>
  <c r="AZ116" i="81"/>
  <c r="AX73" i="49"/>
  <c r="AX75" i="49" s="1"/>
  <c r="AX77" i="49" s="1"/>
  <c r="S116" i="50"/>
  <c r="AD116" i="24"/>
  <c r="S73" i="50"/>
  <c r="S75" i="50" s="1"/>
  <c r="S77" i="50" s="1"/>
  <c r="S73" i="48"/>
  <c r="S75" i="48" s="1"/>
  <c r="S77" i="48" s="1"/>
  <c r="AN116" i="48"/>
  <c r="AD73" i="48"/>
  <c r="AD75" i="48" s="1"/>
  <c r="AX73" i="1"/>
  <c r="AX75" i="1" s="1"/>
  <c r="AD116" i="48"/>
  <c r="AD116" i="50"/>
  <c r="AN73" i="48"/>
  <c r="AN75" i="48" s="1"/>
  <c r="S116" i="49"/>
  <c r="AD73" i="49"/>
  <c r="AD75" i="49" s="1"/>
  <c r="AD77" i="49" s="1"/>
  <c r="AD116" i="49"/>
  <c r="S73" i="49"/>
  <c r="S75" i="49" s="1"/>
  <c r="S77" i="49" s="1"/>
  <c r="AX116" i="1"/>
  <c r="AN116" i="1"/>
  <c r="AN73" i="1"/>
  <c r="AN75" i="1" s="1"/>
  <c r="AN77" i="1"/>
  <c r="AX77" i="1"/>
  <c r="AD73" i="50"/>
  <c r="AD75" i="50" s="1"/>
  <c r="AD77" i="50" s="1"/>
  <c r="AN77" i="48"/>
  <c r="AX73" i="48"/>
  <c r="AX75" i="48" s="1"/>
  <c r="AX116" i="48"/>
  <c r="AX77" i="48"/>
  <c r="AD77" i="48"/>
  <c r="S116" i="48"/>
  <c r="AN116" i="24"/>
  <c r="AN73" i="24"/>
  <c r="AN75" i="24" s="1"/>
  <c r="AN77" i="24"/>
  <c r="Y163" i="81" l="1"/>
  <c r="Y201" i="81"/>
  <c r="Y186" i="81"/>
  <c r="Y170" i="81"/>
  <c r="Y195" i="81"/>
  <c r="Y188" i="81"/>
  <c r="Y191" i="81"/>
  <c r="Y171" i="81"/>
  <c r="Y176" i="81"/>
  <c r="Y205" i="81"/>
  <c r="G120" i="84"/>
  <c r="I120" i="84" s="1"/>
  <c r="U116" i="81"/>
  <c r="C284" i="86"/>
  <c r="C286" i="49" s="1"/>
  <c r="C132" i="86"/>
  <c r="C134" i="49" s="1"/>
  <c r="C186" i="86"/>
  <c r="C188" i="49" s="1"/>
  <c r="C235" i="86"/>
  <c r="C237" i="49" s="1"/>
  <c r="Y165" i="81"/>
  <c r="Y203" i="81"/>
  <c r="G272" i="85"/>
  <c r="I272" i="85" s="1"/>
  <c r="BD116" i="85"/>
  <c r="AZ116" i="85"/>
  <c r="G120" i="85"/>
  <c r="I120" i="85" s="1"/>
  <c r="Y116" i="85"/>
  <c r="U116" i="85"/>
  <c r="Y162" i="81"/>
  <c r="Y178" i="81"/>
  <c r="C235" i="85"/>
  <c r="C237" i="1" s="1"/>
  <c r="Y177" i="81"/>
  <c r="Y173" i="81"/>
  <c r="Y159" i="81"/>
  <c r="Y169" i="81"/>
  <c r="Y161" i="81"/>
  <c r="Y199" i="81"/>
  <c r="Y187" i="81"/>
  <c r="Y175" i="81"/>
  <c r="Y196" i="81"/>
  <c r="Y204" i="81"/>
  <c r="Y198" i="81"/>
  <c r="Y190" i="81"/>
  <c r="Y184" i="81"/>
  <c r="Y193" i="81"/>
  <c r="Y172" i="81"/>
  <c r="Y200" i="81"/>
  <c r="G120" i="81"/>
  <c r="I120" i="81" s="1"/>
  <c r="G270" i="85"/>
  <c r="I270" i="85" s="1"/>
  <c r="BD174" i="85"/>
  <c r="BD167" i="85"/>
  <c r="BD190" i="85"/>
  <c r="BD186" i="85"/>
  <c r="BD200" i="85"/>
  <c r="BD191" i="85"/>
  <c r="BD172" i="85"/>
  <c r="BD193" i="85"/>
  <c r="BD192" i="85"/>
  <c r="BD173" i="85"/>
  <c r="BD185" i="85"/>
  <c r="BD188" i="85"/>
  <c r="BD187" i="85"/>
  <c r="BD201" i="85"/>
  <c r="BD179" i="85"/>
  <c r="BD161" i="85"/>
  <c r="BD163" i="85"/>
  <c r="BD197" i="85"/>
  <c r="BD204" i="85"/>
  <c r="BD178" i="85"/>
  <c r="BD160" i="85"/>
  <c r="BD162" i="85"/>
  <c r="BD158" i="85"/>
  <c r="BD184" i="85"/>
  <c r="BD177" i="85"/>
  <c r="BD159" i="85"/>
  <c r="BD165" i="85"/>
  <c r="BD175" i="85"/>
  <c r="BD168" i="85"/>
  <c r="BD198" i="85"/>
  <c r="BD199" i="85"/>
  <c r="BD176" i="85"/>
  <c r="BD195" i="85"/>
  <c r="BD164" i="85"/>
  <c r="BD196" i="85"/>
  <c r="BD194" i="85"/>
  <c r="BD169" i="85"/>
  <c r="BD170" i="85"/>
  <c r="BD171" i="85"/>
  <c r="BD205" i="85"/>
  <c r="BD203" i="85"/>
  <c r="BD202" i="85"/>
  <c r="BD166" i="85"/>
  <c r="BD189" i="85"/>
  <c r="Y202" i="81"/>
  <c r="Y166" i="81"/>
  <c r="C186" i="85"/>
  <c r="C188" i="1" s="1"/>
  <c r="Y164" i="81"/>
  <c r="Y194" i="81"/>
  <c r="Y158" i="81"/>
  <c r="Y167" i="81"/>
  <c r="Y160" i="81"/>
  <c r="Y185" i="81"/>
  <c r="Y168" i="81"/>
  <c r="Y174" i="81"/>
  <c r="Y192" i="81"/>
  <c r="Y161" i="85"/>
  <c r="G118" i="85"/>
  <c r="I118" i="85" s="1"/>
  <c r="Y175" i="85"/>
  <c r="Y179" i="85"/>
  <c r="Y173" i="85"/>
  <c r="Y193" i="85"/>
  <c r="Y170" i="85"/>
  <c r="Y169" i="85"/>
  <c r="Y187" i="85"/>
  <c r="Y163" i="85"/>
  <c r="Y202" i="85"/>
  <c r="Y184" i="85"/>
  <c r="Y167" i="85"/>
  <c r="Y176" i="85"/>
  <c r="Y198" i="85"/>
  <c r="Y195" i="85"/>
  <c r="Y194" i="85"/>
  <c r="Y171" i="85"/>
  <c r="Y197" i="85"/>
  <c r="Y165" i="85"/>
  <c r="Y164" i="85"/>
  <c r="Y191" i="85"/>
  <c r="Y160" i="85"/>
  <c r="Y185" i="85"/>
  <c r="Y168" i="85"/>
  <c r="Y200" i="85"/>
  <c r="Y158" i="85"/>
  <c r="Y172" i="85"/>
  <c r="Y196" i="85"/>
  <c r="Y166" i="85"/>
  <c r="Y205" i="85"/>
  <c r="Y203" i="85"/>
  <c r="Y190" i="85"/>
  <c r="Y186" i="85"/>
  <c r="Y159" i="85"/>
  <c r="Y204" i="85"/>
  <c r="Y178" i="85"/>
  <c r="Y199" i="85"/>
  <c r="Y177" i="85"/>
  <c r="Y192" i="85"/>
  <c r="Y188" i="85"/>
  <c r="Y189" i="85"/>
  <c r="Y162" i="85"/>
  <c r="Y201" i="85"/>
  <c r="Y174" i="85"/>
  <c r="G270" i="84"/>
  <c r="I270" i="84" s="1"/>
  <c r="BD205" i="84"/>
  <c r="BD168" i="84"/>
  <c r="BD185" i="84"/>
  <c r="BD170" i="84"/>
  <c r="BD173" i="84"/>
  <c r="BD164" i="84"/>
  <c r="BD165" i="84"/>
  <c r="BD177" i="84"/>
  <c r="BD184" i="84"/>
  <c r="BD191" i="84"/>
  <c r="BD200" i="84"/>
  <c r="BD204" i="84"/>
  <c r="BD197" i="84"/>
  <c r="BD178" i="84"/>
  <c r="BD187" i="84"/>
  <c r="BD186" i="84"/>
  <c r="BD196" i="84"/>
  <c r="BD190" i="84"/>
  <c r="BD169" i="84"/>
  <c r="BD161" i="84"/>
  <c r="BD158" i="84"/>
  <c r="BD174" i="84"/>
  <c r="BD176" i="84"/>
  <c r="BD160" i="84"/>
  <c r="BD179" i="84"/>
  <c r="BD163" i="84"/>
  <c r="BD195" i="84"/>
  <c r="BD159" i="84"/>
  <c r="BD189" i="84"/>
  <c r="BD202" i="84"/>
  <c r="BD162" i="84"/>
  <c r="BD171" i="84"/>
  <c r="BD203" i="84"/>
  <c r="BD198" i="84"/>
  <c r="BD192" i="84"/>
  <c r="BD201" i="84"/>
  <c r="BD194" i="84"/>
  <c r="BD193" i="84"/>
  <c r="BD188" i="84"/>
  <c r="BD175" i="84"/>
  <c r="BD166" i="84"/>
  <c r="BD167" i="84"/>
  <c r="BD172" i="84"/>
  <c r="BD199" i="84"/>
  <c r="Y160" i="84"/>
  <c r="Y173" i="84"/>
  <c r="G118" i="84"/>
  <c r="I118" i="84" s="1"/>
  <c r="Y187" i="84"/>
  <c r="Y205" i="84"/>
  <c r="Y190" i="84"/>
  <c r="Y186" i="84"/>
  <c r="Y162" i="84"/>
  <c r="Y184" i="84"/>
  <c r="Y161" i="84"/>
  <c r="Y196" i="84"/>
  <c r="Y189" i="84"/>
  <c r="Y192" i="84"/>
  <c r="Y168" i="84"/>
  <c r="Y202" i="84"/>
  <c r="Y175" i="84"/>
  <c r="Y199" i="84"/>
  <c r="Y159" i="84"/>
  <c r="Y185" i="84"/>
  <c r="Y197" i="84"/>
  <c r="Y200" i="84"/>
  <c r="Y167" i="84"/>
  <c r="Y188" i="84"/>
  <c r="Y169" i="84"/>
  <c r="Y201" i="84"/>
  <c r="Y158" i="84"/>
  <c r="Y195" i="84"/>
  <c r="Y164" i="84"/>
  <c r="Y165" i="84"/>
  <c r="Y174" i="84"/>
  <c r="Y163" i="84"/>
  <c r="Y171" i="84"/>
  <c r="Y194" i="84"/>
  <c r="Y166" i="84"/>
  <c r="Y193" i="84"/>
  <c r="Y198" i="84"/>
  <c r="Y176" i="84"/>
  <c r="Y179" i="84"/>
  <c r="Y204" i="84"/>
  <c r="Y170" i="84"/>
  <c r="Y178" i="84"/>
  <c r="Y172" i="84"/>
  <c r="Y191" i="84"/>
  <c r="Y177" i="84"/>
  <c r="Y203" i="84"/>
  <c r="C186" i="84"/>
  <c r="C188" i="50" s="1"/>
  <c r="C235" i="84"/>
  <c r="C237" i="50" s="1"/>
  <c r="BD116" i="84"/>
  <c r="G272" i="84"/>
  <c r="I272" i="84" s="1"/>
  <c r="AZ116" i="84"/>
  <c r="C235" i="83"/>
  <c r="C237" i="48" s="1"/>
  <c r="G272" i="83"/>
  <c r="I272" i="83" s="1"/>
  <c r="AZ116" i="83"/>
  <c r="BD116" i="83"/>
  <c r="G172" i="83"/>
  <c r="I172" i="83" s="1"/>
  <c r="AJ177" i="83"/>
  <c r="AJ199" i="83"/>
  <c r="AJ203" i="83"/>
  <c r="AJ161" i="83"/>
  <c r="AJ187" i="83"/>
  <c r="AJ163" i="83"/>
  <c r="AJ189" i="83"/>
  <c r="AJ191" i="83"/>
  <c r="AJ198" i="83"/>
  <c r="AJ195" i="83"/>
  <c r="AJ176" i="83"/>
  <c r="AJ201" i="83"/>
  <c r="AJ164" i="83"/>
  <c r="AJ196" i="83"/>
  <c r="AJ179" i="83"/>
  <c r="AJ173" i="83"/>
  <c r="AJ170" i="83"/>
  <c r="AJ167" i="83"/>
  <c r="AJ174" i="83"/>
  <c r="AJ178" i="83"/>
  <c r="AJ204" i="83"/>
  <c r="AJ158" i="83"/>
  <c r="AJ202" i="83"/>
  <c r="AJ165" i="83"/>
  <c r="AJ194" i="83"/>
  <c r="AJ166" i="83"/>
  <c r="AJ184" i="83"/>
  <c r="AJ193" i="83"/>
  <c r="AJ188" i="83"/>
  <c r="AJ186" i="83"/>
  <c r="AJ168" i="83"/>
  <c r="AJ172" i="83"/>
  <c r="AJ160" i="83"/>
  <c r="AJ169" i="83"/>
  <c r="AJ190" i="83"/>
  <c r="AJ197" i="83"/>
  <c r="AJ162" i="83"/>
  <c r="AJ205" i="83"/>
  <c r="AJ175" i="83"/>
  <c r="AJ159" i="83"/>
  <c r="AJ185" i="83"/>
  <c r="AJ192" i="83"/>
  <c r="AJ200" i="83"/>
  <c r="AJ171" i="83"/>
  <c r="G270" i="83"/>
  <c r="I270" i="83" s="1"/>
  <c r="BD201" i="83"/>
  <c r="BD197" i="83"/>
  <c r="BD204" i="83"/>
  <c r="BD172" i="83"/>
  <c r="BD177" i="83"/>
  <c r="BD190" i="83"/>
  <c r="BD166" i="83"/>
  <c r="BD191" i="83"/>
  <c r="BD188" i="83"/>
  <c r="BD169" i="83"/>
  <c r="BD193" i="83"/>
  <c r="BD168" i="83"/>
  <c r="BD202" i="83"/>
  <c r="BD198" i="83"/>
  <c r="BD161" i="83"/>
  <c r="BD200" i="83"/>
  <c r="BD203" i="83"/>
  <c r="BD159" i="83"/>
  <c r="BD160" i="83"/>
  <c r="BD186" i="83"/>
  <c r="BD178" i="83"/>
  <c r="BD199" i="83"/>
  <c r="BD165" i="83"/>
  <c r="BD171" i="83"/>
  <c r="BD192" i="83"/>
  <c r="BD187" i="83"/>
  <c r="BD196" i="83"/>
  <c r="BD184" i="83"/>
  <c r="BD167" i="83"/>
  <c r="BD179" i="83"/>
  <c r="BD164" i="83"/>
  <c r="BD163" i="83"/>
  <c r="BD158" i="83"/>
  <c r="BD185" i="83"/>
  <c r="BD205" i="83"/>
  <c r="BD195" i="83"/>
  <c r="BD189" i="83"/>
  <c r="BD174" i="83"/>
  <c r="BD170" i="83"/>
  <c r="BD194" i="83"/>
  <c r="BD162" i="83"/>
  <c r="BD175" i="83"/>
  <c r="BD173" i="83"/>
  <c r="BD176" i="83"/>
  <c r="C132" i="83"/>
  <c r="C134" i="48" s="1"/>
  <c r="C235" i="82"/>
  <c r="C237" i="24" s="1"/>
  <c r="C284" i="82"/>
  <c r="C286" i="24" s="1"/>
  <c r="C186" i="82"/>
  <c r="C188" i="24" s="1"/>
  <c r="C132" i="82"/>
  <c r="C134" i="24" s="1"/>
  <c r="G172" i="81"/>
  <c r="I172" i="81" s="1"/>
  <c r="AJ171" i="81"/>
  <c r="AJ160" i="81"/>
  <c r="AJ177" i="81"/>
  <c r="AJ167" i="81"/>
  <c r="AJ166" i="81"/>
  <c r="AJ168" i="81"/>
  <c r="AJ189" i="81"/>
  <c r="AJ193" i="81"/>
  <c r="AJ170" i="81"/>
  <c r="AJ176" i="81"/>
  <c r="AJ200" i="81"/>
  <c r="AJ204" i="81"/>
  <c r="AJ192" i="81"/>
  <c r="AJ199" i="81"/>
  <c r="AJ191" i="81"/>
  <c r="AJ159" i="81"/>
  <c r="AJ203" i="81"/>
  <c r="AJ185" i="81"/>
  <c r="AJ187" i="81"/>
  <c r="AJ190" i="81"/>
  <c r="AJ197" i="81"/>
  <c r="AJ164" i="81"/>
  <c r="AJ205" i="81"/>
  <c r="AJ163" i="81"/>
  <c r="AJ186" i="81"/>
  <c r="AJ195" i="81"/>
  <c r="AJ198" i="81"/>
  <c r="AJ184" i="81"/>
  <c r="AJ188" i="81"/>
  <c r="AJ158" i="81"/>
  <c r="AJ178" i="81"/>
  <c r="AJ201" i="81"/>
  <c r="AJ175" i="81"/>
  <c r="AJ172" i="81"/>
  <c r="AJ179" i="81"/>
  <c r="AJ162" i="81"/>
  <c r="AJ194" i="81"/>
  <c r="AJ161" i="81"/>
  <c r="AJ202" i="81"/>
  <c r="AJ165" i="81"/>
  <c r="AJ196" i="81"/>
  <c r="AJ169" i="81"/>
  <c r="AJ173" i="81"/>
  <c r="AJ174" i="81"/>
  <c r="G223" i="81"/>
  <c r="I223" i="81" s="1"/>
  <c r="AT116" i="81"/>
  <c r="AP116" i="81"/>
  <c r="G174" i="81"/>
  <c r="I174" i="81" s="1"/>
  <c r="AJ116" i="81"/>
  <c r="AF116" i="81"/>
  <c r="G221" i="81"/>
  <c r="I221" i="81" s="1"/>
  <c r="AT179" i="81"/>
  <c r="AT203" i="81"/>
  <c r="AT191" i="81"/>
  <c r="AT195" i="81"/>
  <c r="AT202" i="81"/>
  <c r="AT200" i="81"/>
  <c r="AT169" i="81"/>
  <c r="AT166" i="81"/>
  <c r="AT173" i="81"/>
  <c r="AT168" i="81"/>
  <c r="AT178" i="81"/>
  <c r="AT184" i="81"/>
  <c r="AT199" i="81"/>
  <c r="AT187" i="81"/>
  <c r="AT160" i="81"/>
  <c r="AT186" i="81"/>
  <c r="AT205" i="81"/>
  <c r="AT189" i="81"/>
  <c r="AT193" i="81"/>
  <c r="AT175" i="81"/>
  <c r="AT170" i="81"/>
  <c r="AT185" i="81"/>
  <c r="AT190" i="81"/>
  <c r="AT177" i="81"/>
  <c r="AT194" i="81"/>
  <c r="AT204" i="81"/>
  <c r="AT176" i="81"/>
  <c r="AT164" i="81"/>
  <c r="AT192" i="81"/>
  <c r="AT162" i="81"/>
  <c r="AT163" i="81"/>
  <c r="AT172" i="81"/>
  <c r="AT159" i="81"/>
  <c r="AT198" i="81"/>
  <c r="AT171" i="81"/>
  <c r="AT201" i="81"/>
  <c r="AT188" i="81"/>
  <c r="AT167" i="81"/>
  <c r="AT196" i="81"/>
  <c r="AT158" i="81"/>
  <c r="AT161" i="81"/>
  <c r="AT165" i="81"/>
  <c r="AT174" i="81"/>
  <c r="AT197" i="81"/>
  <c r="C284" i="81"/>
  <c r="C286" i="47" s="1"/>
  <c r="C264" i="49"/>
  <c r="C263" i="49"/>
  <c r="C215" i="49"/>
  <c r="C214" i="49"/>
  <c r="P11" i="49" s="1"/>
  <c r="C231" i="49" s="1"/>
  <c r="C166" i="49"/>
  <c r="C165" i="49"/>
  <c r="P10" i="49" s="1"/>
  <c r="C112" i="49"/>
  <c r="C111" i="49"/>
  <c r="C264" i="1"/>
  <c r="C263" i="1"/>
  <c r="P12" i="1" s="1"/>
  <c r="C215" i="1"/>
  <c r="C214" i="1"/>
  <c r="C166" i="1"/>
  <c r="C165" i="1"/>
  <c r="P10" i="1" s="1"/>
  <c r="C112" i="1"/>
  <c r="C111" i="1"/>
  <c r="P9" i="1" s="1"/>
  <c r="C128" i="1" s="1"/>
  <c r="C264" i="50"/>
  <c r="C263" i="50"/>
  <c r="P12" i="50" s="1"/>
  <c r="C215" i="50"/>
  <c r="C214" i="50"/>
  <c r="P11" i="50" s="1"/>
  <c r="C166" i="50"/>
  <c r="C165" i="50"/>
  <c r="P10" i="50" s="1"/>
  <c r="C112" i="50"/>
  <c r="C111" i="50"/>
  <c r="C264" i="48"/>
  <c r="C215" i="48"/>
  <c r="C166" i="48"/>
  <c r="C165" i="48"/>
  <c r="P10" i="48" s="1"/>
  <c r="C112" i="48"/>
  <c r="C111" i="48"/>
  <c r="P9" i="48" s="1"/>
  <c r="C128" i="48" s="1"/>
  <c r="C264" i="24"/>
  <c r="C215" i="24"/>
  <c r="C166" i="24"/>
  <c r="C112" i="24"/>
  <c r="AX23" i="47"/>
  <c r="AN23" i="47"/>
  <c r="AD23" i="47"/>
  <c r="S23" i="47"/>
  <c r="D31" i="79"/>
  <c r="M71" i="79"/>
  <c r="L71" i="79"/>
  <c r="K71" i="79"/>
  <c r="J71" i="79"/>
  <c r="I71" i="79"/>
  <c r="H71" i="79"/>
  <c r="G71" i="79"/>
  <c r="F71" i="79"/>
  <c r="E71" i="79"/>
  <c r="D71" i="79"/>
  <c r="M70" i="79"/>
  <c r="L70" i="79"/>
  <c r="K70" i="79"/>
  <c r="J70" i="79"/>
  <c r="I70" i="79"/>
  <c r="H70" i="79"/>
  <c r="G70" i="79"/>
  <c r="F70" i="79"/>
  <c r="E70" i="79"/>
  <c r="D70" i="79"/>
  <c r="M69" i="79"/>
  <c r="L69" i="79"/>
  <c r="K69" i="79"/>
  <c r="J69" i="79"/>
  <c r="I69" i="79"/>
  <c r="H69" i="79"/>
  <c r="G69" i="79"/>
  <c r="F69" i="79"/>
  <c r="E69" i="79"/>
  <c r="D69" i="79"/>
  <c r="M68" i="79"/>
  <c r="L68" i="79"/>
  <c r="K68" i="79"/>
  <c r="J68" i="79"/>
  <c r="I68" i="79"/>
  <c r="H68" i="79"/>
  <c r="G68" i="79"/>
  <c r="F68" i="79"/>
  <c r="E68" i="79"/>
  <c r="D68" i="79"/>
  <c r="M67" i="79"/>
  <c r="L67" i="79"/>
  <c r="K67" i="79"/>
  <c r="J67" i="79"/>
  <c r="I67" i="79"/>
  <c r="H67" i="79"/>
  <c r="G67" i="79"/>
  <c r="F67" i="79"/>
  <c r="E67" i="79"/>
  <c r="D67" i="79"/>
  <c r="M66" i="79"/>
  <c r="L66" i="79"/>
  <c r="K66" i="79"/>
  <c r="J66" i="79"/>
  <c r="I66" i="79"/>
  <c r="H66" i="79"/>
  <c r="G66" i="79"/>
  <c r="F66" i="79"/>
  <c r="E66" i="79"/>
  <c r="D66" i="79"/>
  <c r="M65" i="79"/>
  <c r="L65" i="79"/>
  <c r="K65" i="79"/>
  <c r="J65" i="79"/>
  <c r="I65" i="79"/>
  <c r="H65" i="79"/>
  <c r="G65" i="79"/>
  <c r="F65" i="79"/>
  <c r="E65" i="79"/>
  <c r="D65" i="79"/>
  <c r="M64" i="79"/>
  <c r="L64" i="79"/>
  <c r="K64" i="79"/>
  <c r="J64" i="79"/>
  <c r="I64" i="79"/>
  <c r="H64" i="79"/>
  <c r="G64" i="79"/>
  <c r="F64" i="79"/>
  <c r="E64" i="79"/>
  <c r="D64" i="79"/>
  <c r="M63" i="79"/>
  <c r="L63" i="79"/>
  <c r="K63" i="79"/>
  <c r="J63" i="79"/>
  <c r="I63" i="79"/>
  <c r="H63" i="79"/>
  <c r="G63" i="79"/>
  <c r="F63" i="79"/>
  <c r="E63" i="79"/>
  <c r="D63" i="79"/>
  <c r="M62" i="79"/>
  <c r="L62" i="79"/>
  <c r="K62" i="79"/>
  <c r="J62" i="79"/>
  <c r="I62" i="79"/>
  <c r="H62" i="79"/>
  <c r="G62" i="79"/>
  <c r="F62" i="79"/>
  <c r="E62" i="79"/>
  <c r="D62" i="79"/>
  <c r="M34" i="79"/>
  <c r="L34" i="79"/>
  <c r="K34" i="79"/>
  <c r="J34" i="79"/>
  <c r="I34" i="79"/>
  <c r="H34" i="79"/>
  <c r="G34" i="79"/>
  <c r="F34" i="79"/>
  <c r="E34" i="79"/>
  <c r="D34" i="79"/>
  <c r="M33" i="79"/>
  <c r="L33" i="79"/>
  <c r="K33" i="79"/>
  <c r="J33" i="79"/>
  <c r="I33" i="79"/>
  <c r="H33" i="79"/>
  <c r="G33" i="79"/>
  <c r="F33" i="79"/>
  <c r="E33" i="79"/>
  <c r="D33" i="79"/>
  <c r="M32" i="79"/>
  <c r="L32" i="79"/>
  <c r="K32" i="79"/>
  <c r="J32" i="79"/>
  <c r="I32" i="79"/>
  <c r="H32" i="79"/>
  <c r="G32" i="79"/>
  <c r="F32" i="79"/>
  <c r="E32" i="79"/>
  <c r="D32" i="79"/>
  <c r="M31" i="79"/>
  <c r="L31" i="79"/>
  <c r="K31" i="79"/>
  <c r="J31" i="79"/>
  <c r="I31" i="79"/>
  <c r="H31" i="79"/>
  <c r="G31" i="79"/>
  <c r="F31" i="79"/>
  <c r="E31" i="79"/>
  <c r="M30" i="79"/>
  <c r="L30" i="79"/>
  <c r="K30" i="79"/>
  <c r="J30" i="79"/>
  <c r="I30" i="79"/>
  <c r="H30" i="79"/>
  <c r="G30" i="79"/>
  <c r="F30" i="79"/>
  <c r="E30" i="79"/>
  <c r="D30" i="79"/>
  <c r="M29" i="79"/>
  <c r="L29" i="79"/>
  <c r="K29" i="79"/>
  <c r="J29" i="79"/>
  <c r="I29" i="79"/>
  <c r="H29" i="79"/>
  <c r="G29" i="79"/>
  <c r="F29" i="79"/>
  <c r="E29" i="79"/>
  <c r="D29" i="79"/>
  <c r="M28" i="79"/>
  <c r="L28" i="79"/>
  <c r="K28" i="79"/>
  <c r="J28" i="79"/>
  <c r="I28" i="79"/>
  <c r="H28" i="79"/>
  <c r="G28" i="79"/>
  <c r="F28" i="79"/>
  <c r="E28" i="79"/>
  <c r="D28" i="79"/>
  <c r="M27" i="79"/>
  <c r="L27" i="79"/>
  <c r="K27" i="79"/>
  <c r="J27" i="79"/>
  <c r="I27" i="79"/>
  <c r="H27" i="79"/>
  <c r="G27" i="79"/>
  <c r="F27" i="79"/>
  <c r="E27" i="79"/>
  <c r="D27" i="79"/>
  <c r="M26" i="79"/>
  <c r="L26" i="79"/>
  <c r="K26" i="79"/>
  <c r="J26" i="79"/>
  <c r="I26" i="79"/>
  <c r="H26" i="79"/>
  <c r="G26" i="79"/>
  <c r="F26" i="79"/>
  <c r="E26" i="79"/>
  <c r="D26" i="79"/>
  <c r="M25" i="79"/>
  <c r="L25" i="79"/>
  <c r="K25" i="79"/>
  <c r="J25" i="79"/>
  <c r="I25" i="79"/>
  <c r="H25" i="79"/>
  <c r="G25" i="79"/>
  <c r="F25" i="79"/>
  <c r="E25" i="79"/>
  <c r="D25" i="79"/>
  <c r="C13" i="47"/>
  <c r="C14" i="47"/>
  <c r="C15" i="47"/>
  <c r="C16" i="47"/>
  <c r="C17" i="47"/>
  <c r="C18" i="47"/>
  <c r="C19" i="47"/>
  <c r="C20" i="47"/>
  <c r="C21" i="47"/>
  <c r="C22" i="47"/>
  <c r="C23" i="47"/>
  <c r="C24" i="47"/>
  <c r="C50" i="48" s="1"/>
  <c r="C25" i="47"/>
  <c r="C26" i="47"/>
  <c r="C27" i="47"/>
  <c r="C28" i="47"/>
  <c r="C29" i="47"/>
  <c r="C30" i="47"/>
  <c r="C31" i="47"/>
  <c r="C32" i="47"/>
  <c r="C33" i="47"/>
  <c r="C12" i="47"/>
  <c r="D45" i="78"/>
  <c r="E44" i="78"/>
  <c r="D44" i="78"/>
  <c r="E43" i="78"/>
  <c r="D41" i="78"/>
  <c r="E40" i="78"/>
  <c r="D40" i="78"/>
  <c r="E38" i="78"/>
  <c r="D37" i="78"/>
  <c r="E36" i="78"/>
  <c r="D32" i="78"/>
  <c r="E27" i="78"/>
  <c r="D27" i="78"/>
  <c r="M93" i="78"/>
  <c r="L93" i="78"/>
  <c r="K93" i="78"/>
  <c r="J93" i="78"/>
  <c r="I93" i="78"/>
  <c r="H93" i="78"/>
  <c r="G93" i="78"/>
  <c r="F93" i="78"/>
  <c r="E93" i="78"/>
  <c r="D93" i="78"/>
  <c r="M92" i="78"/>
  <c r="L92" i="78"/>
  <c r="K92" i="78"/>
  <c r="J92" i="78"/>
  <c r="I92" i="78"/>
  <c r="H92" i="78"/>
  <c r="G92" i="78"/>
  <c r="F92" i="78"/>
  <c r="E92" i="78"/>
  <c r="D92" i="78"/>
  <c r="M91" i="78"/>
  <c r="L91" i="78"/>
  <c r="K91" i="78"/>
  <c r="J91" i="78"/>
  <c r="I91" i="78"/>
  <c r="H91" i="78"/>
  <c r="G91" i="78"/>
  <c r="F91" i="78"/>
  <c r="E91" i="78"/>
  <c r="D91" i="78"/>
  <c r="M90" i="78"/>
  <c r="L90" i="78"/>
  <c r="K90" i="78"/>
  <c r="J90" i="78"/>
  <c r="I90" i="78"/>
  <c r="H90" i="78"/>
  <c r="G90" i="78"/>
  <c r="F90" i="78"/>
  <c r="E90" i="78"/>
  <c r="D90" i="78"/>
  <c r="M89" i="78"/>
  <c r="L89" i="78"/>
  <c r="K89" i="78"/>
  <c r="J89" i="78"/>
  <c r="I89" i="78"/>
  <c r="H89" i="78"/>
  <c r="G89" i="78"/>
  <c r="F89" i="78"/>
  <c r="E89" i="78"/>
  <c r="D89" i="78"/>
  <c r="M88" i="78"/>
  <c r="L88" i="78"/>
  <c r="K88" i="78"/>
  <c r="J88" i="78"/>
  <c r="I88" i="78"/>
  <c r="H88" i="78"/>
  <c r="G88" i="78"/>
  <c r="F88" i="78"/>
  <c r="E88" i="78"/>
  <c r="D88" i="78"/>
  <c r="M87" i="78"/>
  <c r="L87" i="78"/>
  <c r="K87" i="78"/>
  <c r="J87" i="78"/>
  <c r="I87" i="78"/>
  <c r="H87" i="78"/>
  <c r="G87" i="78"/>
  <c r="F87" i="78"/>
  <c r="E87" i="78"/>
  <c r="D87" i="78"/>
  <c r="M86" i="78"/>
  <c r="L86" i="78"/>
  <c r="K86" i="78"/>
  <c r="J86" i="78"/>
  <c r="I86" i="78"/>
  <c r="H86" i="78"/>
  <c r="G86" i="78"/>
  <c r="F86" i="78"/>
  <c r="E86" i="78"/>
  <c r="D86" i="78"/>
  <c r="M85" i="78"/>
  <c r="L85" i="78"/>
  <c r="K85" i="78"/>
  <c r="J85" i="78"/>
  <c r="I85" i="78"/>
  <c r="H85" i="78"/>
  <c r="G85" i="78"/>
  <c r="F85" i="78"/>
  <c r="E85" i="78"/>
  <c r="D85" i="78"/>
  <c r="M84" i="78"/>
  <c r="L84" i="78"/>
  <c r="K84" i="78"/>
  <c r="J84" i="78"/>
  <c r="I84" i="78"/>
  <c r="H84" i="78"/>
  <c r="G84" i="78"/>
  <c r="F84" i="78"/>
  <c r="E84" i="78"/>
  <c r="D84" i="78"/>
  <c r="M83" i="78"/>
  <c r="L83" i="78"/>
  <c r="K83" i="78"/>
  <c r="J83" i="78"/>
  <c r="I83" i="78"/>
  <c r="H83" i="78"/>
  <c r="G83" i="78"/>
  <c r="F83" i="78"/>
  <c r="E83" i="78"/>
  <c r="D83" i="78"/>
  <c r="M82" i="78"/>
  <c r="L82" i="78"/>
  <c r="K82" i="78"/>
  <c r="J82" i="78"/>
  <c r="I82" i="78"/>
  <c r="H82" i="78"/>
  <c r="G82" i="78"/>
  <c r="F82" i="78"/>
  <c r="E82" i="78"/>
  <c r="D82" i="78"/>
  <c r="M81" i="78"/>
  <c r="L81" i="78"/>
  <c r="K81" i="78"/>
  <c r="J81" i="78"/>
  <c r="I81" i="78"/>
  <c r="H81" i="78"/>
  <c r="G81" i="78"/>
  <c r="F81" i="78"/>
  <c r="E81" i="78"/>
  <c r="D81" i="78"/>
  <c r="M80" i="78"/>
  <c r="L80" i="78"/>
  <c r="K80" i="78"/>
  <c r="J80" i="78"/>
  <c r="I80" i="78"/>
  <c r="H80" i="78"/>
  <c r="G80" i="78"/>
  <c r="F80" i="78"/>
  <c r="E80" i="78"/>
  <c r="D80" i="78"/>
  <c r="M79" i="78"/>
  <c r="L79" i="78"/>
  <c r="K79" i="78"/>
  <c r="J79" i="78"/>
  <c r="I79" i="78"/>
  <c r="H79" i="78"/>
  <c r="G79" i="78"/>
  <c r="F79" i="78"/>
  <c r="E79" i="78"/>
  <c r="D79" i="78"/>
  <c r="M78" i="78"/>
  <c r="L78" i="78"/>
  <c r="K78" i="78"/>
  <c r="J78" i="78"/>
  <c r="I78" i="78"/>
  <c r="H78" i="78"/>
  <c r="G78" i="78"/>
  <c r="F78" i="78"/>
  <c r="E78" i="78"/>
  <c r="D78" i="78"/>
  <c r="M77" i="78"/>
  <c r="L77" i="78"/>
  <c r="K77" i="78"/>
  <c r="J77" i="78"/>
  <c r="I77" i="78"/>
  <c r="H77" i="78"/>
  <c r="G77" i="78"/>
  <c r="F77" i="78"/>
  <c r="E77" i="78"/>
  <c r="D77" i="78"/>
  <c r="M76" i="78"/>
  <c r="L76" i="78"/>
  <c r="K76" i="78"/>
  <c r="J76" i="78"/>
  <c r="I76" i="78"/>
  <c r="H76" i="78"/>
  <c r="G76" i="78"/>
  <c r="F76" i="78"/>
  <c r="E76" i="78"/>
  <c r="D76" i="78"/>
  <c r="M75" i="78"/>
  <c r="L75" i="78"/>
  <c r="K75" i="78"/>
  <c r="J75" i="78"/>
  <c r="I75" i="78"/>
  <c r="H75" i="78"/>
  <c r="G75" i="78"/>
  <c r="F75" i="78"/>
  <c r="E75" i="78"/>
  <c r="D75" i="78"/>
  <c r="M74" i="78"/>
  <c r="L74" i="78"/>
  <c r="K74" i="78"/>
  <c r="J74" i="78"/>
  <c r="I74" i="78"/>
  <c r="H74" i="78"/>
  <c r="G74" i="78"/>
  <c r="F74" i="78"/>
  <c r="E74" i="78"/>
  <c r="D74" i="78"/>
  <c r="M73" i="78"/>
  <c r="L73" i="78"/>
  <c r="K73" i="78"/>
  <c r="J73" i="78"/>
  <c r="I73" i="78"/>
  <c r="H73" i="78"/>
  <c r="G73" i="78"/>
  <c r="F73" i="78"/>
  <c r="E73" i="78"/>
  <c r="D73" i="78"/>
  <c r="M45" i="78"/>
  <c r="L45" i="78"/>
  <c r="M44" i="78"/>
  <c r="L44" i="78"/>
  <c r="M43" i="78"/>
  <c r="L43" i="78"/>
  <c r="M42" i="78"/>
  <c r="L42" i="78"/>
  <c r="M41" i="78"/>
  <c r="L41" i="78"/>
  <c r="M40" i="78"/>
  <c r="L40" i="78"/>
  <c r="M39" i="78"/>
  <c r="L39" i="78"/>
  <c r="M38" i="78"/>
  <c r="L38" i="78"/>
  <c r="M37" i="78"/>
  <c r="L37" i="78"/>
  <c r="M36" i="78"/>
  <c r="L36" i="78"/>
  <c r="M35" i="78"/>
  <c r="L35" i="78"/>
  <c r="M34" i="78"/>
  <c r="L34" i="78"/>
  <c r="M33" i="78"/>
  <c r="L33" i="78"/>
  <c r="M32" i="78"/>
  <c r="L32" i="78"/>
  <c r="M31" i="78"/>
  <c r="L31" i="78"/>
  <c r="M30" i="78"/>
  <c r="L30" i="78"/>
  <c r="M29" i="78"/>
  <c r="L29" i="78"/>
  <c r="M28" i="78"/>
  <c r="L28" i="78"/>
  <c r="M27" i="78"/>
  <c r="L27" i="78"/>
  <c r="M26" i="78"/>
  <c r="L26" i="78"/>
  <c r="M25" i="78"/>
  <c r="L25" i="78"/>
  <c r="K45" i="78"/>
  <c r="J45" i="78"/>
  <c r="K44" i="78"/>
  <c r="J44" i="78"/>
  <c r="K43" i="78"/>
  <c r="J43" i="78"/>
  <c r="K42" i="78"/>
  <c r="J42" i="78"/>
  <c r="K41" i="78"/>
  <c r="J41" i="78"/>
  <c r="K40" i="78"/>
  <c r="J40" i="78"/>
  <c r="K39" i="78"/>
  <c r="J39" i="78"/>
  <c r="K38" i="78"/>
  <c r="J38" i="78"/>
  <c r="K37" i="78"/>
  <c r="J37" i="78"/>
  <c r="K36" i="78"/>
  <c r="J36" i="78"/>
  <c r="K35" i="78"/>
  <c r="J35" i="78"/>
  <c r="K34" i="78"/>
  <c r="J34" i="78"/>
  <c r="K33" i="78"/>
  <c r="J33" i="78"/>
  <c r="K32" i="78"/>
  <c r="J32" i="78"/>
  <c r="K31" i="78"/>
  <c r="J31" i="78"/>
  <c r="K30" i="78"/>
  <c r="J30" i="78"/>
  <c r="K29" i="78"/>
  <c r="J29" i="78"/>
  <c r="K28" i="78"/>
  <c r="J28" i="78"/>
  <c r="K27" i="78"/>
  <c r="J27" i="78"/>
  <c r="K26" i="78"/>
  <c r="J26" i="78"/>
  <c r="K25" i="78"/>
  <c r="J25" i="78"/>
  <c r="I45" i="78"/>
  <c r="H45" i="78"/>
  <c r="I44" i="78"/>
  <c r="H44" i="78"/>
  <c r="I43" i="78"/>
  <c r="H43" i="78"/>
  <c r="I42" i="78"/>
  <c r="H42" i="78"/>
  <c r="I41" i="78"/>
  <c r="H41" i="78"/>
  <c r="I40" i="78"/>
  <c r="H40" i="78"/>
  <c r="I39" i="78"/>
  <c r="H39" i="78"/>
  <c r="I38" i="78"/>
  <c r="H38" i="78"/>
  <c r="I37" i="78"/>
  <c r="H37" i="78"/>
  <c r="I36" i="78"/>
  <c r="H36" i="78"/>
  <c r="I35" i="78"/>
  <c r="H35" i="78"/>
  <c r="I34" i="78"/>
  <c r="H34" i="78"/>
  <c r="I33" i="78"/>
  <c r="H33" i="78"/>
  <c r="I32" i="78"/>
  <c r="H32" i="78"/>
  <c r="I31" i="78"/>
  <c r="H31" i="78"/>
  <c r="I30" i="78"/>
  <c r="H30" i="78"/>
  <c r="I29" i="78"/>
  <c r="H29" i="78"/>
  <c r="I28" i="78"/>
  <c r="H28" i="78"/>
  <c r="I27" i="78"/>
  <c r="H27" i="78"/>
  <c r="I26" i="78"/>
  <c r="H26" i="78"/>
  <c r="I25" i="78"/>
  <c r="H25" i="78"/>
  <c r="G45" i="78"/>
  <c r="F45" i="78"/>
  <c r="G44" i="78"/>
  <c r="F44" i="78"/>
  <c r="G43" i="78"/>
  <c r="F43" i="78"/>
  <c r="G42" i="78"/>
  <c r="F42" i="78"/>
  <c r="G41" i="78"/>
  <c r="F41" i="78"/>
  <c r="G40" i="78"/>
  <c r="F40" i="78"/>
  <c r="G39" i="78"/>
  <c r="F39" i="78"/>
  <c r="G38" i="78"/>
  <c r="F38" i="78"/>
  <c r="G37" i="78"/>
  <c r="F37" i="78"/>
  <c r="G36" i="78"/>
  <c r="F36" i="78"/>
  <c r="G35" i="78"/>
  <c r="F35" i="78"/>
  <c r="G34" i="78"/>
  <c r="F34" i="78"/>
  <c r="G33" i="78"/>
  <c r="F33" i="78"/>
  <c r="G32" i="78"/>
  <c r="F32" i="78"/>
  <c r="G31" i="78"/>
  <c r="F31" i="78"/>
  <c r="G30" i="78"/>
  <c r="F30" i="78"/>
  <c r="G29" i="78"/>
  <c r="F29" i="78"/>
  <c r="G28" i="78"/>
  <c r="F28" i="78"/>
  <c r="G27" i="78"/>
  <c r="F27" i="78"/>
  <c r="G26" i="78"/>
  <c r="F26" i="78"/>
  <c r="G25" i="78"/>
  <c r="F25" i="78"/>
  <c r="E45" i="78"/>
  <c r="E41" i="78"/>
  <c r="E42" i="78"/>
  <c r="D43" i="78"/>
  <c r="D42" i="78"/>
  <c r="D39" i="78"/>
  <c r="D38" i="78"/>
  <c r="E39" i="78"/>
  <c r="D36" i="78"/>
  <c r="D35" i="78"/>
  <c r="D34" i="78"/>
  <c r="D33" i="78"/>
  <c r="D31" i="78"/>
  <c r="D30" i="78"/>
  <c r="D29" i="78"/>
  <c r="D28" i="78"/>
  <c r="E37" i="78"/>
  <c r="E35" i="78"/>
  <c r="E34" i="78"/>
  <c r="E33" i="78"/>
  <c r="E32" i="78"/>
  <c r="E31" i="78"/>
  <c r="E30" i="78"/>
  <c r="E29" i="78"/>
  <c r="E28" i="78"/>
  <c r="E26" i="78"/>
  <c r="E25" i="78"/>
  <c r="D26" i="78"/>
  <c r="D25" i="78"/>
  <c r="G249" i="49"/>
  <c r="G200" i="49"/>
  <c r="G151" i="49"/>
  <c r="G97" i="49"/>
  <c r="G249" i="1"/>
  <c r="G200" i="1"/>
  <c r="G151" i="1"/>
  <c r="G97" i="1"/>
  <c r="G249" i="50"/>
  <c r="G200" i="50"/>
  <c r="G151" i="50"/>
  <c r="G97" i="50"/>
  <c r="G249" i="48"/>
  <c r="G200" i="48"/>
  <c r="G151" i="48"/>
  <c r="G97" i="48"/>
  <c r="G249" i="24"/>
  <c r="G200" i="24"/>
  <c r="G151" i="24"/>
  <c r="G97" i="24"/>
  <c r="G249" i="47"/>
  <c r="G200" i="47"/>
  <c r="G151" i="47"/>
  <c r="G97" i="47"/>
  <c r="C263" i="24"/>
  <c r="P12" i="24" s="1"/>
  <c r="C214" i="24"/>
  <c r="P11" i="24" s="1"/>
  <c r="C231" i="24"/>
  <c r="C165" i="24"/>
  <c r="C128" i="24"/>
  <c r="C263" i="48"/>
  <c r="C214" i="48"/>
  <c r="P11" i="48" s="1"/>
  <c r="C182" i="48"/>
  <c r="C231" i="50"/>
  <c r="O10" i="47"/>
  <c r="O11" i="47"/>
  <c r="O12" i="47"/>
  <c r="O9" i="47"/>
  <c r="C206" i="48"/>
  <c r="AO4" i="47"/>
  <c r="AT13" i="47" s="1"/>
  <c r="AO6" i="47"/>
  <c r="AO7" i="47"/>
  <c r="AE4" i="47"/>
  <c r="T4" i="47"/>
  <c r="Y13" i="47" s="1"/>
  <c r="S86" i="47" s="1"/>
  <c r="AY7" i="47"/>
  <c r="AE7" i="47"/>
  <c r="T7" i="47"/>
  <c r="AY6" i="47"/>
  <c r="AE6" i="47"/>
  <c r="T6" i="47"/>
  <c r="AX54" i="47"/>
  <c r="F12" i="47"/>
  <c r="I12" i="47"/>
  <c r="E12" i="47"/>
  <c r="E11" i="73" s="1"/>
  <c r="D20" i="72" s="1"/>
  <c r="G12" i="47"/>
  <c r="H12" i="47"/>
  <c r="F13" i="47"/>
  <c r="I13" i="47"/>
  <c r="E13" i="47"/>
  <c r="G13" i="47"/>
  <c r="H13" i="47"/>
  <c r="F14" i="47"/>
  <c r="I14" i="47"/>
  <c r="E14" i="47"/>
  <c r="G14" i="47"/>
  <c r="H14" i="47"/>
  <c r="F15" i="47"/>
  <c r="I15" i="47"/>
  <c r="E15" i="47"/>
  <c r="G15" i="47"/>
  <c r="H15" i="47"/>
  <c r="F16" i="47"/>
  <c r="I16" i="47"/>
  <c r="E16" i="47"/>
  <c r="G16" i="47"/>
  <c r="H16" i="47"/>
  <c r="F17" i="47"/>
  <c r="I17" i="47"/>
  <c r="E17" i="47"/>
  <c r="E16" i="73" s="1"/>
  <c r="G17" i="47"/>
  <c r="H17" i="47"/>
  <c r="F18" i="47"/>
  <c r="I18" i="47"/>
  <c r="E18" i="47"/>
  <c r="G18" i="47"/>
  <c r="H18" i="47"/>
  <c r="F19" i="47"/>
  <c r="I19" i="47"/>
  <c r="E19" i="47"/>
  <c r="E18" i="73" s="1"/>
  <c r="D27" i="72" s="1"/>
  <c r="G19" i="47"/>
  <c r="G18" i="73" s="1"/>
  <c r="H19" i="47"/>
  <c r="F20" i="47"/>
  <c r="F19" i="73" s="1"/>
  <c r="E28" i="72" s="1"/>
  <c r="I20" i="47"/>
  <c r="E20" i="47"/>
  <c r="G20" i="47"/>
  <c r="H20" i="47"/>
  <c r="F21" i="47"/>
  <c r="I21" i="47"/>
  <c r="E21" i="47"/>
  <c r="G21" i="47"/>
  <c r="H21" i="47"/>
  <c r="F22" i="47"/>
  <c r="I22" i="47"/>
  <c r="E22" i="47"/>
  <c r="G22" i="47"/>
  <c r="H22" i="47"/>
  <c r="F23" i="47"/>
  <c r="I23" i="47"/>
  <c r="E23" i="47"/>
  <c r="G23" i="47"/>
  <c r="H23" i="47"/>
  <c r="F24" i="47"/>
  <c r="I24" i="47"/>
  <c r="E24" i="47"/>
  <c r="G24" i="47"/>
  <c r="G23" i="73" s="1"/>
  <c r="H24" i="47"/>
  <c r="F25" i="47"/>
  <c r="I25" i="47"/>
  <c r="E25" i="47"/>
  <c r="G25" i="47"/>
  <c r="H25" i="47"/>
  <c r="F26" i="47"/>
  <c r="I26" i="47"/>
  <c r="E26" i="47"/>
  <c r="G26" i="47"/>
  <c r="H26" i="47"/>
  <c r="F27" i="47"/>
  <c r="I27" i="47"/>
  <c r="E27" i="47"/>
  <c r="G27" i="47"/>
  <c r="H27" i="47"/>
  <c r="F28" i="47"/>
  <c r="I28" i="47"/>
  <c r="E28" i="47"/>
  <c r="G28" i="47"/>
  <c r="H28" i="47"/>
  <c r="F29" i="47"/>
  <c r="I29" i="47"/>
  <c r="E29" i="47"/>
  <c r="G29" i="47"/>
  <c r="H29" i="47"/>
  <c r="F30" i="47"/>
  <c r="I30" i="47"/>
  <c r="E30" i="47"/>
  <c r="G30" i="47"/>
  <c r="H30" i="47"/>
  <c r="F31" i="47"/>
  <c r="I31" i="47"/>
  <c r="E31" i="47"/>
  <c r="G31" i="47"/>
  <c r="H31" i="47"/>
  <c r="F32" i="47"/>
  <c r="I32" i="47"/>
  <c r="E32" i="47"/>
  <c r="G32" i="47"/>
  <c r="H32" i="47"/>
  <c r="F33" i="47"/>
  <c r="I33" i="47"/>
  <c r="E33" i="47"/>
  <c r="G33" i="47"/>
  <c r="H33" i="47"/>
  <c r="F38" i="47"/>
  <c r="I38" i="47"/>
  <c r="E38" i="47"/>
  <c r="G38" i="47"/>
  <c r="H38" i="47"/>
  <c r="F39" i="47"/>
  <c r="I39" i="47"/>
  <c r="E39" i="47"/>
  <c r="G39" i="47"/>
  <c r="H39" i="47"/>
  <c r="F40" i="47"/>
  <c r="I40" i="47"/>
  <c r="E40" i="47"/>
  <c r="G40" i="47"/>
  <c r="H40" i="47"/>
  <c r="F41" i="47"/>
  <c r="I41" i="47"/>
  <c r="E41" i="47"/>
  <c r="G41" i="47"/>
  <c r="H41" i="47"/>
  <c r="F42" i="47"/>
  <c r="I42" i="47"/>
  <c r="E42" i="47"/>
  <c r="G42" i="47"/>
  <c r="H42" i="47"/>
  <c r="F43" i="47"/>
  <c r="I43" i="47"/>
  <c r="E43" i="47"/>
  <c r="G43" i="47"/>
  <c r="H43" i="47"/>
  <c r="F44" i="47"/>
  <c r="I44" i="47"/>
  <c r="E44" i="47"/>
  <c r="G44" i="47"/>
  <c r="H44" i="47"/>
  <c r="F45" i="47"/>
  <c r="I45" i="47"/>
  <c r="E45" i="47"/>
  <c r="G45" i="47"/>
  <c r="H45" i="47"/>
  <c r="F46" i="47"/>
  <c r="I46" i="47"/>
  <c r="E46" i="47"/>
  <c r="G46" i="47"/>
  <c r="H46" i="47"/>
  <c r="F47" i="47"/>
  <c r="I47" i="47"/>
  <c r="E47" i="47"/>
  <c r="G47" i="47"/>
  <c r="H47" i="47"/>
  <c r="F48" i="47"/>
  <c r="I48" i="47"/>
  <c r="E48" i="47"/>
  <c r="G48" i="47"/>
  <c r="H48" i="47"/>
  <c r="F49" i="47"/>
  <c r="I49" i="47"/>
  <c r="E49" i="47"/>
  <c r="G49" i="47"/>
  <c r="H49" i="47"/>
  <c r="F50" i="47"/>
  <c r="I50" i="47"/>
  <c r="E50" i="47"/>
  <c r="G50" i="47"/>
  <c r="H50" i="47"/>
  <c r="F51" i="47"/>
  <c r="I51" i="47"/>
  <c r="E51" i="47"/>
  <c r="G51" i="47"/>
  <c r="H51" i="47"/>
  <c r="F52" i="47"/>
  <c r="I52" i="47"/>
  <c r="E52" i="47"/>
  <c r="G52" i="47"/>
  <c r="H52" i="47"/>
  <c r="F53" i="47"/>
  <c r="I53" i="47"/>
  <c r="E53" i="47"/>
  <c r="G53" i="47"/>
  <c r="H53" i="47"/>
  <c r="F54" i="47"/>
  <c r="I54" i="47"/>
  <c r="E54" i="47"/>
  <c r="G54" i="47"/>
  <c r="H54" i="47"/>
  <c r="F55" i="47"/>
  <c r="I55" i="47"/>
  <c r="E55" i="47"/>
  <c r="G55" i="47"/>
  <c r="H55" i="47"/>
  <c r="F56" i="47"/>
  <c r="I56" i="47"/>
  <c r="E56" i="47"/>
  <c r="G56" i="47"/>
  <c r="H56" i="47"/>
  <c r="F57" i="47"/>
  <c r="I57" i="47"/>
  <c r="E57" i="47"/>
  <c r="G57" i="47"/>
  <c r="H57" i="47"/>
  <c r="F58" i="47"/>
  <c r="I58" i="47"/>
  <c r="E58" i="47"/>
  <c r="G58" i="47"/>
  <c r="H58" i="47"/>
  <c r="F59" i="47"/>
  <c r="I59" i="47"/>
  <c r="E59" i="47"/>
  <c r="G59" i="47"/>
  <c r="H59" i="47"/>
  <c r="C282" i="47"/>
  <c r="AX146" i="47"/>
  <c r="AX137" i="47"/>
  <c r="C267" i="47"/>
  <c r="C266" i="47"/>
  <c r="D261" i="47"/>
  <c r="B261" i="47"/>
  <c r="D260" i="47"/>
  <c r="B260" i="47"/>
  <c r="E259" i="47"/>
  <c r="D259" i="47"/>
  <c r="B259" i="47"/>
  <c r="H258" i="47"/>
  <c r="E258" i="47"/>
  <c r="D258" i="47"/>
  <c r="B258" i="47"/>
  <c r="H257" i="47"/>
  <c r="E257" i="47"/>
  <c r="D257" i="47"/>
  <c r="B257" i="47"/>
  <c r="E256" i="47"/>
  <c r="D256" i="47"/>
  <c r="B256" i="47"/>
  <c r="H255" i="47"/>
  <c r="E255" i="47"/>
  <c r="D255" i="47"/>
  <c r="B255" i="47"/>
  <c r="H254" i="47"/>
  <c r="E254" i="47"/>
  <c r="D254" i="47"/>
  <c r="B254" i="47"/>
  <c r="H253" i="47"/>
  <c r="E253" i="47"/>
  <c r="D253" i="47"/>
  <c r="B253" i="47"/>
  <c r="H252" i="47"/>
  <c r="E252" i="47"/>
  <c r="D252" i="47"/>
  <c r="B252" i="47"/>
  <c r="AN54" i="47"/>
  <c r="C233" i="47"/>
  <c r="AN146" i="47"/>
  <c r="AN137" i="47"/>
  <c r="C218" i="47"/>
  <c r="C217" i="47"/>
  <c r="D212" i="47"/>
  <c r="B212" i="47"/>
  <c r="D211" i="47"/>
  <c r="B211" i="47"/>
  <c r="E210" i="47"/>
  <c r="D210" i="47"/>
  <c r="B210" i="47"/>
  <c r="H209" i="47"/>
  <c r="E209" i="47"/>
  <c r="D209" i="47"/>
  <c r="B209" i="47"/>
  <c r="H208" i="47"/>
  <c r="E208" i="47"/>
  <c r="D208" i="47"/>
  <c r="B208" i="47"/>
  <c r="E207" i="47"/>
  <c r="D207" i="47"/>
  <c r="B207" i="47"/>
  <c r="H206" i="47"/>
  <c r="E206" i="47"/>
  <c r="D206" i="47"/>
  <c r="B206" i="47"/>
  <c r="H205" i="47"/>
  <c r="E205" i="47"/>
  <c r="D205" i="47"/>
  <c r="B205" i="47"/>
  <c r="H204" i="47"/>
  <c r="E204" i="47"/>
  <c r="D204" i="47"/>
  <c r="B204" i="47"/>
  <c r="H203" i="47"/>
  <c r="E203" i="47"/>
  <c r="D203" i="47"/>
  <c r="B203" i="47"/>
  <c r="AD54" i="47"/>
  <c r="C184" i="47"/>
  <c r="AD146" i="47"/>
  <c r="AD137" i="47"/>
  <c r="C169" i="47"/>
  <c r="C168" i="47"/>
  <c r="D163" i="47"/>
  <c r="B163" i="47"/>
  <c r="D162" i="47"/>
  <c r="B162" i="47"/>
  <c r="E161" i="47"/>
  <c r="D161" i="47"/>
  <c r="B161" i="47"/>
  <c r="H160" i="47"/>
  <c r="E160" i="47"/>
  <c r="D160" i="47"/>
  <c r="B160" i="47"/>
  <c r="H159" i="47"/>
  <c r="E159" i="47"/>
  <c r="D159" i="47"/>
  <c r="B159" i="47"/>
  <c r="E158" i="47"/>
  <c r="D158" i="47"/>
  <c r="B158" i="47"/>
  <c r="H157" i="47"/>
  <c r="E157" i="47"/>
  <c r="D157" i="47"/>
  <c r="B157" i="47"/>
  <c r="H156" i="47"/>
  <c r="E156" i="47"/>
  <c r="D156" i="47"/>
  <c r="B156" i="47"/>
  <c r="H155" i="47"/>
  <c r="E155" i="47"/>
  <c r="D155" i="47"/>
  <c r="B155" i="47"/>
  <c r="H154" i="47"/>
  <c r="E154" i="47"/>
  <c r="D154" i="47"/>
  <c r="B154" i="47"/>
  <c r="S54" i="47"/>
  <c r="S64" i="47"/>
  <c r="C130" i="47"/>
  <c r="S146" i="47"/>
  <c r="S137" i="47"/>
  <c r="C115" i="47"/>
  <c r="C114" i="47"/>
  <c r="D109" i="47"/>
  <c r="B109" i="47"/>
  <c r="D108" i="47"/>
  <c r="B108" i="47"/>
  <c r="E107" i="47"/>
  <c r="D107" i="47"/>
  <c r="B107" i="47"/>
  <c r="H106" i="47"/>
  <c r="E106" i="47"/>
  <c r="D106" i="47"/>
  <c r="B106" i="47"/>
  <c r="H105" i="47"/>
  <c r="E105" i="47"/>
  <c r="D105" i="47"/>
  <c r="B105" i="47"/>
  <c r="E104" i="47"/>
  <c r="D104" i="47"/>
  <c r="B104" i="47"/>
  <c r="H103" i="47"/>
  <c r="E103" i="47"/>
  <c r="D103" i="47"/>
  <c r="B103" i="47"/>
  <c r="H102" i="47"/>
  <c r="E102" i="47"/>
  <c r="D102" i="47"/>
  <c r="B102" i="47"/>
  <c r="H101" i="47"/>
  <c r="E101" i="47"/>
  <c r="D101" i="47"/>
  <c r="B101" i="47"/>
  <c r="H100" i="47"/>
  <c r="E100" i="47"/>
  <c r="D100" i="47"/>
  <c r="B100" i="47"/>
  <c r="I12" i="49"/>
  <c r="E12" i="49"/>
  <c r="H12" i="49"/>
  <c r="G12" i="49"/>
  <c r="F12" i="49"/>
  <c r="I13" i="49"/>
  <c r="E13" i="49"/>
  <c r="P171" i="73" s="1"/>
  <c r="H13" i="49"/>
  <c r="G13" i="49"/>
  <c r="F13" i="49"/>
  <c r="I14" i="49"/>
  <c r="E14" i="49"/>
  <c r="P172" i="73" s="1"/>
  <c r="AX90" i="72" s="1"/>
  <c r="H14" i="49"/>
  <c r="G14" i="49"/>
  <c r="F14" i="49"/>
  <c r="I15" i="49"/>
  <c r="E15" i="49"/>
  <c r="H15" i="49"/>
  <c r="G15" i="49"/>
  <c r="F15" i="49"/>
  <c r="I16" i="49"/>
  <c r="E16" i="49"/>
  <c r="H16" i="49"/>
  <c r="G16" i="49"/>
  <c r="F16" i="49"/>
  <c r="I17" i="49"/>
  <c r="E17" i="49"/>
  <c r="H17" i="49"/>
  <c r="G17" i="49"/>
  <c r="F17" i="49"/>
  <c r="I18" i="49"/>
  <c r="E18" i="49"/>
  <c r="H18" i="49"/>
  <c r="G18" i="49"/>
  <c r="F18" i="49"/>
  <c r="I19" i="49"/>
  <c r="E19" i="49"/>
  <c r="H19" i="49"/>
  <c r="G19" i="49"/>
  <c r="F19" i="49"/>
  <c r="I20" i="49"/>
  <c r="E20" i="49"/>
  <c r="H20" i="49"/>
  <c r="G20" i="49"/>
  <c r="F20" i="49"/>
  <c r="I21" i="49"/>
  <c r="E21" i="49"/>
  <c r="H21" i="49"/>
  <c r="G21" i="49"/>
  <c r="F21" i="49"/>
  <c r="I22" i="49"/>
  <c r="E22" i="49"/>
  <c r="H22" i="49"/>
  <c r="G22" i="49"/>
  <c r="F22" i="49"/>
  <c r="I23" i="49"/>
  <c r="E23" i="49"/>
  <c r="H23" i="49"/>
  <c r="G23" i="49"/>
  <c r="F23" i="49"/>
  <c r="Q181" i="73" s="1"/>
  <c r="AY99" i="72" s="1"/>
  <c r="BE99" i="72" s="1"/>
  <c r="I24" i="49"/>
  <c r="E24" i="49"/>
  <c r="H24" i="49"/>
  <c r="G24" i="49"/>
  <c r="F24" i="49"/>
  <c r="Q182" i="73" s="1"/>
  <c r="AY100" i="72" s="1"/>
  <c r="I25" i="49"/>
  <c r="E25" i="49"/>
  <c r="P183" i="73" s="1"/>
  <c r="AX101" i="72" s="1"/>
  <c r="H25" i="49"/>
  <c r="G25" i="49"/>
  <c r="F25" i="49"/>
  <c r="I26" i="49"/>
  <c r="E26" i="49"/>
  <c r="H26" i="49"/>
  <c r="G26" i="49"/>
  <c r="F26" i="49"/>
  <c r="I27" i="49"/>
  <c r="E27" i="49"/>
  <c r="H27" i="49"/>
  <c r="G27" i="49"/>
  <c r="F27" i="49"/>
  <c r="I28" i="49"/>
  <c r="E28" i="49"/>
  <c r="H28" i="49"/>
  <c r="G28" i="49"/>
  <c r="F28" i="49"/>
  <c r="I29" i="49"/>
  <c r="E29" i="49"/>
  <c r="H29" i="49"/>
  <c r="G29" i="49"/>
  <c r="F29" i="49"/>
  <c r="I30" i="49"/>
  <c r="E30" i="49"/>
  <c r="H30" i="49"/>
  <c r="G30" i="49"/>
  <c r="F30" i="49"/>
  <c r="Q188" i="73" s="1"/>
  <c r="AY106" i="72" s="1"/>
  <c r="BG106" i="72" s="1"/>
  <c r="I31" i="49"/>
  <c r="E31" i="49"/>
  <c r="H31" i="49"/>
  <c r="G31" i="49"/>
  <c r="F31" i="49"/>
  <c r="I32" i="49"/>
  <c r="E32" i="49"/>
  <c r="H32" i="49"/>
  <c r="G32" i="49"/>
  <c r="F32" i="49"/>
  <c r="I33" i="49"/>
  <c r="E33" i="49"/>
  <c r="P191" i="73" s="1"/>
  <c r="AX109" i="72" s="1"/>
  <c r="H33" i="49"/>
  <c r="G33" i="49"/>
  <c r="F33" i="49"/>
  <c r="I38" i="49"/>
  <c r="E38" i="49"/>
  <c r="H38" i="49"/>
  <c r="G38" i="49"/>
  <c r="F38" i="49"/>
  <c r="I39" i="49"/>
  <c r="E39" i="49"/>
  <c r="H39" i="49"/>
  <c r="G39" i="49"/>
  <c r="F39" i="49"/>
  <c r="F40" i="49"/>
  <c r="F41" i="49"/>
  <c r="F42" i="49"/>
  <c r="F43" i="49"/>
  <c r="F44" i="49"/>
  <c r="F45" i="49"/>
  <c r="F46" i="49"/>
  <c r="F47" i="49"/>
  <c r="F48" i="49"/>
  <c r="F49" i="49"/>
  <c r="F50" i="49"/>
  <c r="Q208" i="73" s="1"/>
  <c r="AY126" i="72" s="1"/>
  <c r="F51" i="49"/>
  <c r="F52" i="49"/>
  <c r="F53" i="49"/>
  <c r="F54" i="49"/>
  <c r="F55" i="49"/>
  <c r="F56" i="49"/>
  <c r="Q214" i="73" s="1"/>
  <c r="AY132" i="72" s="1"/>
  <c r="F57" i="49"/>
  <c r="F58" i="49"/>
  <c r="F59" i="49"/>
  <c r="I40" i="49"/>
  <c r="E40" i="49"/>
  <c r="P198" i="73" s="1"/>
  <c r="AX116" i="72" s="1"/>
  <c r="H40" i="49"/>
  <c r="G40" i="49"/>
  <c r="R198" i="73" s="1"/>
  <c r="I41" i="49"/>
  <c r="E41" i="49"/>
  <c r="I42" i="49"/>
  <c r="E42" i="49"/>
  <c r="I43" i="49"/>
  <c r="E43" i="49"/>
  <c r="I44" i="49"/>
  <c r="E44" i="49"/>
  <c r="I45" i="49"/>
  <c r="E45" i="49"/>
  <c r="I46" i="49"/>
  <c r="E46" i="49"/>
  <c r="P204" i="73" s="1"/>
  <c r="AX122" i="72" s="1"/>
  <c r="I47" i="49"/>
  <c r="E47" i="49"/>
  <c r="I48" i="49"/>
  <c r="E48" i="49"/>
  <c r="I49" i="49"/>
  <c r="E49" i="49"/>
  <c r="I50" i="49"/>
  <c r="E50" i="49"/>
  <c r="I51" i="49"/>
  <c r="E51" i="49"/>
  <c r="I52" i="49"/>
  <c r="E52" i="49"/>
  <c r="I53" i="49"/>
  <c r="E53" i="49"/>
  <c r="I54" i="49"/>
  <c r="E54" i="49"/>
  <c r="I55" i="49"/>
  <c r="E55" i="49"/>
  <c r="P213" i="73" s="1"/>
  <c r="AX131" i="72" s="1"/>
  <c r="I56" i="49"/>
  <c r="E56" i="49"/>
  <c r="I57" i="49"/>
  <c r="E57" i="49"/>
  <c r="I58" i="49"/>
  <c r="E58" i="49"/>
  <c r="I59" i="49"/>
  <c r="E59" i="49"/>
  <c r="H41" i="49"/>
  <c r="G41" i="49"/>
  <c r="H42" i="49"/>
  <c r="G42" i="49"/>
  <c r="H43" i="49"/>
  <c r="G43" i="49"/>
  <c r="H44" i="49"/>
  <c r="G44" i="49"/>
  <c r="R202" i="73" s="1"/>
  <c r="H45" i="49"/>
  <c r="G45" i="49"/>
  <c r="H46" i="49"/>
  <c r="G46" i="49"/>
  <c r="H47" i="49"/>
  <c r="G47" i="49"/>
  <c r="H48" i="49"/>
  <c r="G48" i="49"/>
  <c r="R206" i="73" s="1"/>
  <c r="AZ124" i="72" s="1"/>
  <c r="H49" i="49"/>
  <c r="G49" i="49"/>
  <c r="H50" i="49"/>
  <c r="G50" i="49"/>
  <c r="H51" i="49"/>
  <c r="G51" i="49"/>
  <c r="H52" i="49"/>
  <c r="G52" i="49"/>
  <c r="H53" i="49"/>
  <c r="G53" i="49"/>
  <c r="H54" i="49"/>
  <c r="G54" i="49"/>
  <c r="H55" i="49"/>
  <c r="G55" i="49"/>
  <c r="H56" i="49"/>
  <c r="G56" i="49"/>
  <c r="H57" i="49"/>
  <c r="G57" i="49"/>
  <c r="H58" i="49"/>
  <c r="G58" i="49"/>
  <c r="R216" i="73" s="1"/>
  <c r="H59" i="49"/>
  <c r="G59" i="49"/>
  <c r="C282" i="49"/>
  <c r="C267" i="49"/>
  <c r="C266" i="49"/>
  <c r="D261" i="49"/>
  <c r="B261" i="49"/>
  <c r="D260" i="49"/>
  <c r="B260" i="49"/>
  <c r="E259" i="49"/>
  <c r="D259" i="49"/>
  <c r="B259" i="49"/>
  <c r="H258" i="49"/>
  <c r="E258" i="49"/>
  <c r="D258" i="49"/>
  <c r="B258" i="49"/>
  <c r="H257" i="49"/>
  <c r="E257" i="49"/>
  <c r="D257" i="49"/>
  <c r="B257" i="49"/>
  <c r="E256" i="49"/>
  <c r="D256" i="49"/>
  <c r="B256" i="49"/>
  <c r="H255" i="49"/>
  <c r="E255" i="49"/>
  <c r="D255" i="49"/>
  <c r="B255" i="49"/>
  <c r="H254" i="49"/>
  <c r="E254" i="49"/>
  <c r="D254" i="49"/>
  <c r="B254" i="49"/>
  <c r="H253" i="49"/>
  <c r="E253" i="49"/>
  <c r="D253" i="49"/>
  <c r="B253" i="49"/>
  <c r="H252" i="49"/>
  <c r="E252" i="49"/>
  <c r="D252" i="49"/>
  <c r="B252" i="49"/>
  <c r="C233" i="49"/>
  <c r="C218" i="49"/>
  <c r="C217" i="49"/>
  <c r="D212" i="49"/>
  <c r="B212" i="49"/>
  <c r="D211" i="49"/>
  <c r="B211" i="49"/>
  <c r="E210" i="49"/>
  <c r="D210" i="49"/>
  <c r="B210" i="49"/>
  <c r="H209" i="49"/>
  <c r="E209" i="49"/>
  <c r="D209" i="49"/>
  <c r="B209" i="49"/>
  <c r="H208" i="49"/>
  <c r="E208" i="49"/>
  <c r="D208" i="49"/>
  <c r="B208" i="49"/>
  <c r="E207" i="49"/>
  <c r="D207" i="49"/>
  <c r="B207" i="49"/>
  <c r="H206" i="49"/>
  <c r="E206" i="49"/>
  <c r="D206" i="49"/>
  <c r="B206" i="49"/>
  <c r="H205" i="49"/>
  <c r="E205" i="49"/>
  <c r="D205" i="49"/>
  <c r="B205" i="49"/>
  <c r="H204" i="49"/>
  <c r="E204" i="49"/>
  <c r="D204" i="49"/>
  <c r="B204" i="49"/>
  <c r="H203" i="49"/>
  <c r="E203" i="49"/>
  <c r="D203" i="49"/>
  <c r="B203" i="49"/>
  <c r="C184" i="49"/>
  <c r="C169" i="49"/>
  <c r="C168" i="49"/>
  <c r="D163" i="49"/>
  <c r="B163" i="49"/>
  <c r="D162" i="49"/>
  <c r="B162" i="49"/>
  <c r="E161" i="49"/>
  <c r="D161" i="49"/>
  <c r="B161" i="49"/>
  <c r="H160" i="49"/>
  <c r="E160" i="49"/>
  <c r="D160" i="49"/>
  <c r="B160" i="49"/>
  <c r="H159" i="49"/>
  <c r="E159" i="49"/>
  <c r="D159" i="49"/>
  <c r="B159" i="49"/>
  <c r="E158" i="49"/>
  <c r="D158" i="49"/>
  <c r="B158" i="49"/>
  <c r="H157" i="49"/>
  <c r="E157" i="49"/>
  <c r="D157" i="49"/>
  <c r="B157" i="49"/>
  <c r="H156" i="49"/>
  <c r="G156" i="49"/>
  <c r="E156" i="49"/>
  <c r="D156" i="49"/>
  <c r="B156" i="49"/>
  <c r="H155" i="49"/>
  <c r="E155" i="49"/>
  <c r="D155" i="49"/>
  <c r="B155" i="49"/>
  <c r="H154" i="49"/>
  <c r="E154" i="49"/>
  <c r="D154" i="49"/>
  <c r="B154" i="49"/>
  <c r="C130" i="49"/>
  <c r="C115" i="49"/>
  <c r="C114" i="49"/>
  <c r="D109" i="49"/>
  <c r="B109" i="49"/>
  <c r="D108" i="49"/>
  <c r="B108" i="49"/>
  <c r="E107" i="49"/>
  <c r="D107" i="49"/>
  <c r="B107" i="49"/>
  <c r="H106" i="49"/>
  <c r="E106" i="49"/>
  <c r="D106" i="49"/>
  <c r="B106" i="49"/>
  <c r="H105" i="49"/>
  <c r="E105" i="49"/>
  <c r="D105" i="49"/>
  <c r="B105" i="49"/>
  <c r="E104" i="49"/>
  <c r="D104" i="49"/>
  <c r="B104" i="49"/>
  <c r="H103" i="49"/>
  <c r="E103" i="49"/>
  <c r="D103" i="49"/>
  <c r="B103" i="49"/>
  <c r="H102" i="49"/>
  <c r="E102" i="49"/>
  <c r="D102" i="49"/>
  <c r="B102" i="49"/>
  <c r="H101" i="49"/>
  <c r="E101" i="49"/>
  <c r="D101" i="49"/>
  <c r="B101" i="49"/>
  <c r="H100" i="49"/>
  <c r="E100" i="49"/>
  <c r="D100" i="49"/>
  <c r="B100" i="49"/>
  <c r="I12" i="1"/>
  <c r="E12" i="1"/>
  <c r="H12" i="1"/>
  <c r="G12" i="1"/>
  <c r="F12" i="1"/>
  <c r="I13" i="1"/>
  <c r="E13" i="1"/>
  <c r="H13" i="1"/>
  <c r="G13" i="1"/>
  <c r="F13" i="1"/>
  <c r="I14" i="1"/>
  <c r="E14" i="1"/>
  <c r="H14" i="1"/>
  <c r="G14" i="1"/>
  <c r="F14" i="1"/>
  <c r="F66" i="73" s="1"/>
  <c r="U22" i="72" s="1"/>
  <c r="I15" i="1"/>
  <c r="E15" i="1"/>
  <c r="H15" i="1"/>
  <c r="G15" i="1"/>
  <c r="F15" i="1"/>
  <c r="I16" i="1"/>
  <c r="E16" i="1"/>
  <c r="H16" i="1"/>
  <c r="G16" i="1"/>
  <c r="F16" i="1"/>
  <c r="I17" i="1"/>
  <c r="E17" i="1"/>
  <c r="H17" i="1"/>
  <c r="G17" i="1"/>
  <c r="F17" i="1"/>
  <c r="I18" i="1"/>
  <c r="E18" i="1"/>
  <c r="H18" i="1"/>
  <c r="G18" i="1"/>
  <c r="F18" i="1"/>
  <c r="I19" i="1"/>
  <c r="E19" i="1"/>
  <c r="H19" i="1"/>
  <c r="G19" i="1"/>
  <c r="G71" i="73" s="1"/>
  <c r="V27" i="72" s="1"/>
  <c r="F19" i="1"/>
  <c r="I20" i="1"/>
  <c r="E20" i="1"/>
  <c r="H20" i="1"/>
  <c r="G20" i="1"/>
  <c r="F20" i="1"/>
  <c r="I21" i="1"/>
  <c r="E21" i="1"/>
  <c r="H21" i="1"/>
  <c r="G21" i="1"/>
  <c r="F21" i="1"/>
  <c r="I22" i="1"/>
  <c r="E22" i="1"/>
  <c r="H22" i="1"/>
  <c r="G22" i="1"/>
  <c r="F22" i="1"/>
  <c r="I23" i="1"/>
  <c r="E23" i="1"/>
  <c r="H23" i="1"/>
  <c r="G23" i="1"/>
  <c r="F23" i="1"/>
  <c r="I24" i="1"/>
  <c r="E24" i="1"/>
  <c r="E76" i="73" s="1"/>
  <c r="T32" i="72" s="1"/>
  <c r="H24" i="1"/>
  <c r="G24" i="1"/>
  <c r="F24" i="1"/>
  <c r="I25" i="1"/>
  <c r="E25" i="1"/>
  <c r="H25" i="1"/>
  <c r="G25" i="1"/>
  <c r="F25" i="1"/>
  <c r="I26" i="1"/>
  <c r="E26" i="1"/>
  <c r="H26" i="1"/>
  <c r="G26" i="1"/>
  <c r="F26" i="1"/>
  <c r="I27" i="1"/>
  <c r="E27" i="1"/>
  <c r="H27" i="1"/>
  <c r="G27" i="1"/>
  <c r="F27" i="1"/>
  <c r="I28" i="1"/>
  <c r="E28" i="1"/>
  <c r="H28" i="1"/>
  <c r="G28" i="1"/>
  <c r="G80" i="73" s="1"/>
  <c r="V36" i="72" s="1"/>
  <c r="F28" i="1"/>
  <c r="I29" i="1"/>
  <c r="E29" i="1"/>
  <c r="E81" i="73" s="1"/>
  <c r="H29" i="1"/>
  <c r="G29" i="1"/>
  <c r="F29" i="1"/>
  <c r="I30" i="1"/>
  <c r="E30" i="1"/>
  <c r="H30" i="1"/>
  <c r="G30" i="1"/>
  <c r="F30" i="1"/>
  <c r="I31" i="1"/>
  <c r="E31" i="1"/>
  <c r="H31" i="1"/>
  <c r="G31" i="1"/>
  <c r="F31" i="1"/>
  <c r="I32" i="1"/>
  <c r="E32" i="1"/>
  <c r="H32" i="1"/>
  <c r="G32" i="1"/>
  <c r="F32" i="1"/>
  <c r="I33" i="1"/>
  <c r="E33" i="1"/>
  <c r="H33" i="1"/>
  <c r="G33" i="1"/>
  <c r="F33" i="1"/>
  <c r="F85" i="73" s="1"/>
  <c r="U41" i="72" s="1"/>
  <c r="AC41" i="72" s="1"/>
  <c r="I38" i="1"/>
  <c r="E38" i="1"/>
  <c r="H38" i="1"/>
  <c r="G38" i="1"/>
  <c r="F38" i="1"/>
  <c r="I39" i="1"/>
  <c r="E39" i="1"/>
  <c r="H39" i="1"/>
  <c r="G39" i="1"/>
  <c r="F39" i="1"/>
  <c r="I40" i="1"/>
  <c r="E40" i="1"/>
  <c r="E92" i="73" s="1"/>
  <c r="T48" i="72" s="1"/>
  <c r="H40" i="1"/>
  <c r="G40" i="1"/>
  <c r="F40" i="1"/>
  <c r="I41" i="1"/>
  <c r="E41" i="1"/>
  <c r="H41" i="1"/>
  <c r="G41" i="1"/>
  <c r="F41" i="1"/>
  <c r="I42" i="1"/>
  <c r="E42" i="1"/>
  <c r="E94" i="73" s="1"/>
  <c r="T50" i="72" s="1"/>
  <c r="H42" i="1"/>
  <c r="G42" i="1"/>
  <c r="F42" i="1"/>
  <c r="I43" i="1"/>
  <c r="E43" i="1"/>
  <c r="H43" i="1"/>
  <c r="G43" i="1"/>
  <c r="F43" i="1"/>
  <c r="I44" i="1"/>
  <c r="E44" i="1"/>
  <c r="H44" i="1"/>
  <c r="G44" i="1"/>
  <c r="F44" i="1"/>
  <c r="F96" i="73" s="1"/>
  <c r="U52" i="72" s="1"/>
  <c r="I45" i="1"/>
  <c r="E45" i="1"/>
  <c r="H45" i="1"/>
  <c r="G45" i="1"/>
  <c r="F45" i="1"/>
  <c r="I46" i="1"/>
  <c r="E46" i="1"/>
  <c r="H46" i="1"/>
  <c r="G46" i="1"/>
  <c r="F46" i="1"/>
  <c r="I47" i="1"/>
  <c r="E47" i="1"/>
  <c r="H47" i="1"/>
  <c r="G47" i="1"/>
  <c r="F47" i="1"/>
  <c r="F99" i="73" s="1"/>
  <c r="U55" i="72" s="1"/>
  <c r="I48" i="1"/>
  <c r="E48" i="1"/>
  <c r="H48" i="1"/>
  <c r="G48" i="1"/>
  <c r="F48" i="1"/>
  <c r="I49" i="1"/>
  <c r="E49" i="1"/>
  <c r="H49" i="1"/>
  <c r="G49" i="1"/>
  <c r="F49" i="1"/>
  <c r="I50" i="1"/>
  <c r="E50" i="1"/>
  <c r="E102" i="73" s="1"/>
  <c r="H50" i="1"/>
  <c r="G50" i="1"/>
  <c r="F50" i="1"/>
  <c r="I51" i="1"/>
  <c r="E51" i="1"/>
  <c r="H51" i="1"/>
  <c r="G51" i="1"/>
  <c r="F51" i="1"/>
  <c r="I52" i="1"/>
  <c r="E52" i="1"/>
  <c r="H52" i="1"/>
  <c r="G52" i="1"/>
  <c r="F52" i="1"/>
  <c r="I53" i="1"/>
  <c r="E53" i="1"/>
  <c r="H53" i="1"/>
  <c r="G53" i="1"/>
  <c r="F53" i="1"/>
  <c r="I54" i="1"/>
  <c r="E54" i="1"/>
  <c r="H54" i="1"/>
  <c r="G54" i="1"/>
  <c r="F54" i="1"/>
  <c r="I55" i="1"/>
  <c r="E55" i="1"/>
  <c r="H55" i="1"/>
  <c r="G55" i="1"/>
  <c r="F55" i="1"/>
  <c r="I56" i="1"/>
  <c r="E56" i="1"/>
  <c r="H56" i="1"/>
  <c r="G56" i="1"/>
  <c r="F56" i="1"/>
  <c r="I57" i="1"/>
  <c r="E57" i="1"/>
  <c r="H57" i="1"/>
  <c r="G57" i="1"/>
  <c r="F57" i="1"/>
  <c r="I58" i="1"/>
  <c r="E58" i="1"/>
  <c r="H58" i="1"/>
  <c r="G58" i="1"/>
  <c r="F58" i="1"/>
  <c r="I59" i="1"/>
  <c r="E59" i="1"/>
  <c r="H59" i="1"/>
  <c r="G59" i="1"/>
  <c r="F59" i="1"/>
  <c r="C282" i="1"/>
  <c r="C267" i="1"/>
  <c r="C266" i="1"/>
  <c r="D261" i="1"/>
  <c r="B261" i="1"/>
  <c r="D260" i="1"/>
  <c r="B260" i="1"/>
  <c r="E259" i="1"/>
  <c r="D259" i="1"/>
  <c r="B259" i="1"/>
  <c r="H258" i="1"/>
  <c r="E258" i="1"/>
  <c r="D258" i="1"/>
  <c r="B258" i="1"/>
  <c r="H257" i="1"/>
  <c r="E257" i="1"/>
  <c r="D257" i="1"/>
  <c r="B257" i="1"/>
  <c r="E256" i="1"/>
  <c r="D256" i="1"/>
  <c r="B256" i="1"/>
  <c r="H255" i="1"/>
  <c r="E255" i="1"/>
  <c r="D255" i="1"/>
  <c r="B255" i="1"/>
  <c r="H254" i="1"/>
  <c r="G254" i="1"/>
  <c r="E254" i="1"/>
  <c r="D254" i="1"/>
  <c r="B254" i="1"/>
  <c r="H253" i="1"/>
  <c r="E253" i="1"/>
  <c r="D253" i="1"/>
  <c r="B253" i="1"/>
  <c r="H252" i="1"/>
  <c r="E252" i="1"/>
  <c r="D252" i="1"/>
  <c r="B252" i="1"/>
  <c r="C233" i="1"/>
  <c r="C218" i="1"/>
  <c r="C217" i="1"/>
  <c r="D212" i="1"/>
  <c r="B212" i="1"/>
  <c r="D211" i="1"/>
  <c r="B211" i="1"/>
  <c r="E210" i="1"/>
  <c r="D210" i="1"/>
  <c r="B210" i="1"/>
  <c r="H209" i="1"/>
  <c r="E209" i="1"/>
  <c r="D209" i="1"/>
  <c r="B209" i="1"/>
  <c r="H208" i="1"/>
  <c r="E208" i="1"/>
  <c r="D208" i="1"/>
  <c r="B208" i="1"/>
  <c r="E207" i="1"/>
  <c r="D207" i="1"/>
  <c r="B207" i="1"/>
  <c r="H206" i="1"/>
  <c r="E206" i="1"/>
  <c r="D206" i="1"/>
  <c r="B206" i="1"/>
  <c r="H205" i="1"/>
  <c r="G205" i="1"/>
  <c r="E205" i="1"/>
  <c r="D205" i="1"/>
  <c r="B205" i="1"/>
  <c r="H204" i="1"/>
  <c r="E204" i="1"/>
  <c r="D204" i="1"/>
  <c r="B204" i="1"/>
  <c r="H203" i="1"/>
  <c r="E203" i="1"/>
  <c r="D203" i="1"/>
  <c r="B203" i="1"/>
  <c r="C184" i="1"/>
  <c r="C169" i="1"/>
  <c r="C168" i="1"/>
  <c r="D163" i="1"/>
  <c r="B163" i="1"/>
  <c r="D162" i="1"/>
  <c r="B162" i="1"/>
  <c r="E161" i="1"/>
  <c r="D161" i="1"/>
  <c r="B161" i="1"/>
  <c r="H160" i="1"/>
  <c r="E160" i="1"/>
  <c r="D160" i="1"/>
  <c r="B160" i="1"/>
  <c r="H159" i="1"/>
  <c r="E159" i="1"/>
  <c r="D159" i="1"/>
  <c r="B159" i="1"/>
  <c r="E158" i="1"/>
  <c r="D158" i="1"/>
  <c r="B158" i="1"/>
  <c r="H157" i="1"/>
  <c r="E157" i="1"/>
  <c r="D157" i="1"/>
  <c r="B157" i="1"/>
  <c r="H156" i="1"/>
  <c r="G156" i="1"/>
  <c r="E156" i="1"/>
  <c r="D156" i="1"/>
  <c r="C156" i="1"/>
  <c r="B156" i="1"/>
  <c r="H155" i="1"/>
  <c r="E155" i="1"/>
  <c r="D155" i="1"/>
  <c r="B155" i="1"/>
  <c r="H154" i="1"/>
  <c r="E154" i="1"/>
  <c r="D154" i="1"/>
  <c r="B154" i="1"/>
  <c r="C130" i="1"/>
  <c r="C115" i="1"/>
  <c r="C114" i="1"/>
  <c r="D109" i="1"/>
  <c r="B109" i="1"/>
  <c r="D108" i="1"/>
  <c r="B108" i="1"/>
  <c r="E107" i="1"/>
  <c r="D107" i="1"/>
  <c r="B107" i="1"/>
  <c r="H106" i="1"/>
  <c r="E106" i="1"/>
  <c r="D106" i="1"/>
  <c r="B106" i="1"/>
  <c r="H105" i="1"/>
  <c r="E105" i="1"/>
  <c r="D105" i="1"/>
  <c r="B105" i="1"/>
  <c r="E104" i="1"/>
  <c r="D104" i="1"/>
  <c r="B104" i="1"/>
  <c r="H103" i="1"/>
  <c r="E103" i="1"/>
  <c r="D103" i="1"/>
  <c r="B103" i="1"/>
  <c r="H102" i="1"/>
  <c r="G102" i="1"/>
  <c r="E102" i="1"/>
  <c r="D102" i="1"/>
  <c r="B102" i="1"/>
  <c r="H101" i="1"/>
  <c r="E101" i="1"/>
  <c r="D101" i="1"/>
  <c r="B101" i="1"/>
  <c r="H100" i="1"/>
  <c r="E100" i="1"/>
  <c r="D100" i="1"/>
  <c r="B100" i="1"/>
  <c r="I12" i="50"/>
  <c r="E12" i="50"/>
  <c r="H12" i="50"/>
  <c r="G12" i="50"/>
  <c r="F12" i="50"/>
  <c r="I13" i="50"/>
  <c r="E13" i="50"/>
  <c r="H13" i="50"/>
  <c r="G13" i="50"/>
  <c r="F13" i="50"/>
  <c r="I14" i="50"/>
  <c r="E14" i="50"/>
  <c r="H14" i="50"/>
  <c r="G14" i="50"/>
  <c r="F14" i="50"/>
  <c r="Q119" i="73" s="1"/>
  <c r="AJ90" i="72" s="1"/>
  <c r="I15" i="50"/>
  <c r="E15" i="50"/>
  <c r="P120" i="73" s="1"/>
  <c r="AI91" i="72" s="1"/>
  <c r="H15" i="50"/>
  <c r="G15" i="50"/>
  <c r="F15" i="50"/>
  <c r="I16" i="50"/>
  <c r="E16" i="50"/>
  <c r="P121" i="73" s="1"/>
  <c r="AI92" i="72" s="1"/>
  <c r="H16" i="50"/>
  <c r="G16" i="50"/>
  <c r="F16" i="50"/>
  <c r="I17" i="50"/>
  <c r="E17" i="50"/>
  <c r="H17" i="50"/>
  <c r="G17" i="50"/>
  <c r="F17" i="50"/>
  <c r="I18" i="50"/>
  <c r="E18" i="50"/>
  <c r="H18" i="50"/>
  <c r="G18" i="50"/>
  <c r="F18" i="50"/>
  <c r="I19" i="50"/>
  <c r="E19" i="50"/>
  <c r="H19" i="50"/>
  <c r="G19" i="50"/>
  <c r="F19" i="50"/>
  <c r="I20" i="50"/>
  <c r="E20" i="50"/>
  <c r="H20" i="50"/>
  <c r="G20" i="50"/>
  <c r="F20" i="50"/>
  <c r="I21" i="50"/>
  <c r="E21" i="50"/>
  <c r="H21" i="50"/>
  <c r="G21" i="50"/>
  <c r="R126" i="73" s="1"/>
  <c r="F21" i="50"/>
  <c r="I22" i="50"/>
  <c r="E22" i="50"/>
  <c r="P127" i="73" s="1"/>
  <c r="H22" i="50"/>
  <c r="G22" i="50"/>
  <c r="F22" i="50"/>
  <c r="I23" i="50"/>
  <c r="E23" i="50"/>
  <c r="H23" i="50"/>
  <c r="G23" i="50"/>
  <c r="F23" i="50"/>
  <c r="I24" i="50"/>
  <c r="E24" i="50"/>
  <c r="P129" i="73" s="1"/>
  <c r="AI100" i="72" s="1"/>
  <c r="H24" i="50"/>
  <c r="G24" i="50"/>
  <c r="F24" i="50"/>
  <c r="I25" i="50"/>
  <c r="E25" i="50"/>
  <c r="H25" i="50"/>
  <c r="G25" i="50"/>
  <c r="F25" i="50"/>
  <c r="I26" i="50"/>
  <c r="E26" i="50"/>
  <c r="H26" i="50"/>
  <c r="G26" i="50"/>
  <c r="R131" i="73" s="1"/>
  <c r="AK102" i="72" s="1"/>
  <c r="F26" i="50"/>
  <c r="I27" i="50"/>
  <c r="E27" i="50"/>
  <c r="P132" i="73" s="1"/>
  <c r="AI103" i="72" s="1"/>
  <c r="H27" i="50"/>
  <c r="G27" i="50"/>
  <c r="F27" i="50"/>
  <c r="I28" i="50"/>
  <c r="E28" i="50"/>
  <c r="H28" i="50"/>
  <c r="G28" i="50"/>
  <c r="F28" i="50"/>
  <c r="I29" i="50"/>
  <c r="E29" i="50"/>
  <c r="H29" i="50"/>
  <c r="G29" i="50"/>
  <c r="F29" i="50"/>
  <c r="I30" i="50"/>
  <c r="E30" i="50"/>
  <c r="H30" i="50"/>
  <c r="G30" i="50"/>
  <c r="F30" i="50"/>
  <c r="Q135" i="73" s="1"/>
  <c r="AJ106" i="72" s="1"/>
  <c r="I31" i="50"/>
  <c r="E31" i="50"/>
  <c r="P136" i="73" s="1"/>
  <c r="H31" i="50"/>
  <c r="G31" i="50"/>
  <c r="F31" i="50"/>
  <c r="I32" i="50"/>
  <c r="E32" i="50"/>
  <c r="H32" i="50"/>
  <c r="G32" i="50"/>
  <c r="F32" i="50"/>
  <c r="I33" i="50"/>
  <c r="E33" i="50"/>
  <c r="H33" i="50"/>
  <c r="G33" i="50"/>
  <c r="F33" i="50"/>
  <c r="Q138" i="73" s="1"/>
  <c r="AJ109" i="72" s="1"/>
  <c r="AR109" i="72" s="1"/>
  <c r="I38" i="50"/>
  <c r="E38" i="50"/>
  <c r="H38" i="50"/>
  <c r="G38" i="50"/>
  <c r="F38" i="50"/>
  <c r="I39" i="50"/>
  <c r="E39" i="50"/>
  <c r="I40" i="50"/>
  <c r="E40" i="50"/>
  <c r="I41" i="50"/>
  <c r="E41" i="50"/>
  <c r="I42" i="50"/>
  <c r="E42" i="50"/>
  <c r="I43" i="50"/>
  <c r="E43" i="50"/>
  <c r="I44" i="50"/>
  <c r="E44" i="50"/>
  <c r="I45" i="50"/>
  <c r="E45" i="50"/>
  <c r="I46" i="50"/>
  <c r="E46" i="50"/>
  <c r="I47" i="50"/>
  <c r="E47" i="50"/>
  <c r="I48" i="50"/>
  <c r="E48" i="50"/>
  <c r="I49" i="50"/>
  <c r="E49" i="50"/>
  <c r="I50" i="50"/>
  <c r="E50" i="50"/>
  <c r="I51" i="50"/>
  <c r="E51" i="50"/>
  <c r="I52" i="50"/>
  <c r="E52" i="50"/>
  <c r="I53" i="50"/>
  <c r="E53" i="50"/>
  <c r="I54" i="50"/>
  <c r="E54" i="50"/>
  <c r="I55" i="50"/>
  <c r="E55" i="50"/>
  <c r="I56" i="50"/>
  <c r="E56" i="50"/>
  <c r="I57" i="50"/>
  <c r="E57" i="50"/>
  <c r="I58" i="50"/>
  <c r="E58" i="50"/>
  <c r="P163" i="73" s="1"/>
  <c r="I59" i="50"/>
  <c r="E59" i="50"/>
  <c r="H39" i="50"/>
  <c r="G39" i="50"/>
  <c r="F39" i="50"/>
  <c r="H40" i="50"/>
  <c r="G40" i="50"/>
  <c r="F40" i="50"/>
  <c r="H41" i="50"/>
  <c r="G41" i="50"/>
  <c r="F41" i="50"/>
  <c r="Q146" i="73" s="1"/>
  <c r="AJ117" i="72" s="1"/>
  <c r="AR117" i="72" s="1"/>
  <c r="F42" i="50"/>
  <c r="F43" i="50"/>
  <c r="F44" i="50"/>
  <c r="F45" i="50"/>
  <c r="F46" i="50"/>
  <c r="F47" i="50"/>
  <c r="F48" i="50"/>
  <c r="F49" i="50"/>
  <c r="F50" i="50"/>
  <c r="F51" i="50"/>
  <c r="F52" i="50"/>
  <c r="F53" i="50"/>
  <c r="F54" i="50"/>
  <c r="F55" i="50"/>
  <c r="F56" i="50"/>
  <c r="F57" i="50"/>
  <c r="F58" i="50"/>
  <c r="F59" i="50"/>
  <c r="H42" i="50"/>
  <c r="G42" i="50"/>
  <c r="H43" i="50"/>
  <c r="G43" i="50"/>
  <c r="H44" i="50"/>
  <c r="G44" i="50"/>
  <c r="R149" i="73" s="1"/>
  <c r="H45" i="50"/>
  <c r="G45" i="50"/>
  <c r="H46" i="50"/>
  <c r="G46" i="50"/>
  <c r="H47" i="50"/>
  <c r="G47" i="50"/>
  <c r="H48" i="50"/>
  <c r="G48" i="50"/>
  <c r="H49" i="50"/>
  <c r="G49" i="50"/>
  <c r="H50" i="50"/>
  <c r="G50" i="50"/>
  <c r="H51" i="50"/>
  <c r="G51" i="50"/>
  <c r="R156" i="73" s="1"/>
  <c r="AK127" i="72" s="1"/>
  <c r="H52" i="50"/>
  <c r="G52" i="50"/>
  <c r="H53" i="50"/>
  <c r="G53" i="50"/>
  <c r="H54" i="50"/>
  <c r="G54" i="50"/>
  <c r="H55" i="50"/>
  <c r="G55" i="50"/>
  <c r="H56" i="50"/>
  <c r="G56" i="50"/>
  <c r="H57" i="50"/>
  <c r="G57" i="50"/>
  <c r="H58" i="50"/>
  <c r="G58" i="50"/>
  <c r="H59" i="50"/>
  <c r="G59" i="50"/>
  <c r="R164" i="73" s="1"/>
  <c r="C282" i="50"/>
  <c r="C267" i="50"/>
  <c r="C266" i="50"/>
  <c r="D261" i="50"/>
  <c r="B261" i="50"/>
  <c r="D260" i="50"/>
  <c r="B260" i="50"/>
  <c r="E259" i="50"/>
  <c r="D259" i="50"/>
  <c r="B259" i="50"/>
  <c r="H258" i="50"/>
  <c r="E258" i="50"/>
  <c r="D258" i="50"/>
  <c r="B258" i="50"/>
  <c r="H257" i="50"/>
  <c r="E257" i="50"/>
  <c r="D257" i="50"/>
  <c r="B257" i="50"/>
  <c r="E256" i="50"/>
  <c r="D256" i="50"/>
  <c r="B256" i="50"/>
  <c r="H255" i="50"/>
  <c r="E255" i="50"/>
  <c r="D255" i="50"/>
  <c r="B255" i="50"/>
  <c r="H254" i="50"/>
  <c r="E254" i="50"/>
  <c r="D254" i="50"/>
  <c r="B254" i="50"/>
  <c r="H253" i="50"/>
  <c r="E253" i="50"/>
  <c r="D253" i="50"/>
  <c r="B253" i="50"/>
  <c r="H252" i="50"/>
  <c r="E252" i="50"/>
  <c r="D252" i="50"/>
  <c r="B252" i="50"/>
  <c r="C233" i="50"/>
  <c r="C218" i="50"/>
  <c r="C217" i="50"/>
  <c r="D212" i="50"/>
  <c r="B212" i="50"/>
  <c r="D211" i="50"/>
  <c r="B211" i="50"/>
  <c r="E210" i="50"/>
  <c r="D210" i="50"/>
  <c r="B210" i="50"/>
  <c r="H209" i="50"/>
  <c r="E209" i="50"/>
  <c r="D209" i="50"/>
  <c r="B209" i="50"/>
  <c r="H208" i="50"/>
  <c r="E208" i="50"/>
  <c r="D208" i="50"/>
  <c r="B208" i="50"/>
  <c r="E207" i="50"/>
  <c r="D207" i="50"/>
  <c r="B207" i="50"/>
  <c r="H206" i="50"/>
  <c r="E206" i="50"/>
  <c r="D206" i="50"/>
  <c r="B206" i="50"/>
  <c r="H205" i="50"/>
  <c r="G205" i="50"/>
  <c r="E205" i="50"/>
  <c r="D205" i="50"/>
  <c r="B205" i="50"/>
  <c r="H204" i="50"/>
  <c r="E204" i="50"/>
  <c r="D204" i="50"/>
  <c r="B204" i="50"/>
  <c r="H203" i="50"/>
  <c r="E203" i="50"/>
  <c r="D203" i="50"/>
  <c r="B203" i="50"/>
  <c r="C184" i="50"/>
  <c r="C169" i="50"/>
  <c r="C168" i="50"/>
  <c r="D163" i="50"/>
  <c r="B163" i="50"/>
  <c r="D162" i="50"/>
  <c r="B162" i="50"/>
  <c r="E161" i="50"/>
  <c r="D161" i="50"/>
  <c r="B161" i="50"/>
  <c r="H160" i="50"/>
  <c r="E160" i="50"/>
  <c r="D160" i="50"/>
  <c r="B160" i="50"/>
  <c r="H159" i="50"/>
  <c r="E159" i="50"/>
  <c r="D159" i="50"/>
  <c r="B159" i="50"/>
  <c r="E158" i="50"/>
  <c r="D158" i="50"/>
  <c r="B158" i="50"/>
  <c r="H157" i="50"/>
  <c r="E157" i="50"/>
  <c r="D157" i="50"/>
  <c r="B157" i="50"/>
  <c r="H156" i="50"/>
  <c r="G156" i="50"/>
  <c r="E156" i="50"/>
  <c r="D156" i="50"/>
  <c r="B156" i="50"/>
  <c r="H155" i="50"/>
  <c r="E155" i="50"/>
  <c r="D155" i="50"/>
  <c r="B155" i="50"/>
  <c r="H154" i="50"/>
  <c r="E154" i="50"/>
  <c r="D154" i="50"/>
  <c r="B154" i="50"/>
  <c r="C130" i="50"/>
  <c r="C115" i="50"/>
  <c r="C114" i="50"/>
  <c r="D109" i="50"/>
  <c r="B109" i="50"/>
  <c r="D108" i="50"/>
  <c r="B108" i="50"/>
  <c r="E107" i="50"/>
  <c r="D107" i="50"/>
  <c r="B107" i="50"/>
  <c r="H106" i="50"/>
  <c r="E106" i="50"/>
  <c r="D106" i="50"/>
  <c r="B106" i="50"/>
  <c r="H105" i="50"/>
  <c r="E105" i="50"/>
  <c r="D105" i="50"/>
  <c r="B105" i="50"/>
  <c r="E104" i="50"/>
  <c r="D104" i="50"/>
  <c r="B104" i="50"/>
  <c r="H103" i="50"/>
  <c r="E103" i="50"/>
  <c r="D103" i="50"/>
  <c r="B103" i="50"/>
  <c r="H102" i="50"/>
  <c r="G102" i="50"/>
  <c r="E102" i="50"/>
  <c r="D102" i="50"/>
  <c r="B102" i="50"/>
  <c r="H101" i="50"/>
  <c r="E101" i="50"/>
  <c r="D101" i="50"/>
  <c r="B101" i="50"/>
  <c r="H100" i="50"/>
  <c r="E100" i="50"/>
  <c r="D100" i="50"/>
  <c r="B100" i="50"/>
  <c r="I12" i="48"/>
  <c r="E12" i="48"/>
  <c r="H12" i="48"/>
  <c r="G12" i="48"/>
  <c r="I13" i="48"/>
  <c r="E13" i="48"/>
  <c r="H13" i="48"/>
  <c r="G13" i="48"/>
  <c r="I14" i="48"/>
  <c r="E14" i="48"/>
  <c r="P66" i="73" s="1"/>
  <c r="T90" i="72" s="1"/>
  <c r="H14" i="48"/>
  <c r="G14" i="48"/>
  <c r="I15" i="48"/>
  <c r="E15" i="48"/>
  <c r="H15" i="48"/>
  <c r="G15" i="48"/>
  <c r="I16" i="48"/>
  <c r="E16" i="48"/>
  <c r="H16" i="48"/>
  <c r="G16" i="48"/>
  <c r="I17" i="48"/>
  <c r="E17" i="48"/>
  <c r="H17" i="48"/>
  <c r="G17" i="48"/>
  <c r="I18" i="48"/>
  <c r="E18" i="48"/>
  <c r="H18" i="48"/>
  <c r="G18" i="48"/>
  <c r="I19" i="48"/>
  <c r="E19" i="48"/>
  <c r="P71" i="73" s="1"/>
  <c r="T95" i="72" s="1"/>
  <c r="H19" i="48"/>
  <c r="G19" i="48"/>
  <c r="I20" i="48"/>
  <c r="E20" i="48"/>
  <c r="P72" i="73" s="1"/>
  <c r="H20" i="48"/>
  <c r="G20" i="48"/>
  <c r="I21" i="48"/>
  <c r="E21" i="48"/>
  <c r="H21" i="48"/>
  <c r="G21" i="48"/>
  <c r="I22" i="48"/>
  <c r="E22" i="48"/>
  <c r="H22" i="48"/>
  <c r="G22" i="48"/>
  <c r="I23" i="48"/>
  <c r="E23" i="48"/>
  <c r="H23" i="48"/>
  <c r="G23" i="48"/>
  <c r="I24" i="48"/>
  <c r="E24" i="48"/>
  <c r="H24" i="48"/>
  <c r="G24" i="48"/>
  <c r="I25" i="48"/>
  <c r="E25" i="48"/>
  <c r="H25" i="48"/>
  <c r="G25" i="48"/>
  <c r="I26" i="48"/>
  <c r="E26" i="48"/>
  <c r="P78" i="73" s="1"/>
  <c r="H26" i="48"/>
  <c r="G26" i="48"/>
  <c r="I27" i="48"/>
  <c r="E27" i="48"/>
  <c r="H27" i="48"/>
  <c r="G27" i="48"/>
  <c r="I28" i="48"/>
  <c r="E28" i="48"/>
  <c r="H28" i="48"/>
  <c r="G28" i="48"/>
  <c r="I29" i="48"/>
  <c r="E29" i="48"/>
  <c r="H29" i="48"/>
  <c r="G29" i="48"/>
  <c r="R81" i="73" s="1"/>
  <c r="V105" i="72" s="1"/>
  <c r="I30" i="48"/>
  <c r="E30" i="48"/>
  <c r="H30" i="48"/>
  <c r="G30" i="48"/>
  <c r="I31" i="48"/>
  <c r="E31" i="48"/>
  <c r="H31" i="48"/>
  <c r="G31" i="48"/>
  <c r="I32" i="48"/>
  <c r="E32" i="48"/>
  <c r="H32" i="48"/>
  <c r="G32" i="48"/>
  <c r="I33" i="48"/>
  <c r="E33" i="48"/>
  <c r="H33" i="48"/>
  <c r="G33" i="48"/>
  <c r="I38" i="48"/>
  <c r="E38" i="48"/>
  <c r="H38" i="48"/>
  <c r="G38" i="48"/>
  <c r="I39" i="48"/>
  <c r="E39" i="48"/>
  <c r="H39" i="48"/>
  <c r="S91" i="73" s="1"/>
  <c r="W115" i="72" s="1"/>
  <c r="G39" i="48"/>
  <c r="I40" i="48"/>
  <c r="E40" i="48"/>
  <c r="H40" i="48"/>
  <c r="G40" i="48"/>
  <c r="I41" i="48"/>
  <c r="E41" i="48"/>
  <c r="H41" i="48"/>
  <c r="G41" i="48"/>
  <c r="I42" i="48"/>
  <c r="E42" i="48"/>
  <c r="H42" i="48"/>
  <c r="G42" i="48"/>
  <c r="I43" i="48"/>
  <c r="E43" i="48"/>
  <c r="H43" i="48"/>
  <c r="G43" i="48"/>
  <c r="I44" i="48"/>
  <c r="E44" i="48"/>
  <c r="H44" i="48"/>
  <c r="G44" i="48"/>
  <c r="I45" i="48"/>
  <c r="E45" i="48"/>
  <c r="P97" i="73" s="1"/>
  <c r="T121" i="72" s="1"/>
  <c r="I46" i="48"/>
  <c r="E46" i="48"/>
  <c r="I47" i="48"/>
  <c r="E47" i="48"/>
  <c r="I48" i="48"/>
  <c r="E48" i="48"/>
  <c r="I49" i="48"/>
  <c r="E49" i="48"/>
  <c r="I50" i="48"/>
  <c r="E50" i="48"/>
  <c r="I51" i="48"/>
  <c r="E51" i="48"/>
  <c r="I52" i="48"/>
  <c r="E52" i="48"/>
  <c r="I53" i="48"/>
  <c r="E53" i="48"/>
  <c r="I54" i="48"/>
  <c r="E54" i="48"/>
  <c r="I55" i="48"/>
  <c r="E55" i="48"/>
  <c r="I56" i="48"/>
  <c r="E56" i="48"/>
  <c r="I57" i="48"/>
  <c r="E57" i="48"/>
  <c r="I58" i="48"/>
  <c r="E58" i="48"/>
  <c r="I59" i="48"/>
  <c r="E59" i="48"/>
  <c r="P111" i="73" s="1"/>
  <c r="T135" i="72" s="1"/>
  <c r="H45" i="48"/>
  <c r="G45" i="48"/>
  <c r="H46" i="48"/>
  <c r="G46" i="48"/>
  <c r="H47" i="48"/>
  <c r="G47" i="48"/>
  <c r="H48" i="48"/>
  <c r="G48" i="48"/>
  <c r="H49" i="48"/>
  <c r="G49" i="48"/>
  <c r="H50" i="48"/>
  <c r="G50" i="48"/>
  <c r="H51" i="48"/>
  <c r="G51" i="48"/>
  <c r="H52" i="48"/>
  <c r="G52" i="48"/>
  <c r="H53" i="48"/>
  <c r="G53" i="48"/>
  <c r="H54" i="48"/>
  <c r="G54" i="48"/>
  <c r="R106" i="73" s="1"/>
  <c r="V130" i="72" s="1"/>
  <c r="H55" i="48"/>
  <c r="G55" i="48"/>
  <c r="H56" i="48"/>
  <c r="G56" i="48"/>
  <c r="H57" i="48"/>
  <c r="S109" i="73" s="1"/>
  <c r="W133" i="72" s="1"/>
  <c r="G57" i="48"/>
  <c r="H58" i="48"/>
  <c r="G58" i="48"/>
  <c r="H59" i="48"/>
  <c r="G59" i="48"/>
  <c r="C282" i="48"/>
  <c r="F38" i="48"/>
  <c r="Q90" i="73" s="1"/>
  <c r="U114" i="72" s="1"/>
  <c r="AA114" i="72" s="1"/>
  <c r="F39" i="48"/>
  <c r="Q91" i="73" s="1"/>
  <c r="U115" i="72" s="1"/>
  <c r="F40" i="48"/>
  <c r="F41" i="48"/>
  <c r="F42" i="48"/>
  <c r="F43" i="48"/>
  <c r="F44" i="48"/>
  <c r="F45" i="48"/>
  <c r="F46" i="48"/>
  <c r="F47" i="48"/>
  <c r="F48" i="48"/>
  <c r="F49" i="48"/>
  <c r="F50" i="48"/>
  <c r="Q102" i="73" s="1"/>
  <c r="U126" i="72" s="1"/>
  <c r="AA126" i="72" s="1"/>
  <c r="F51" i="48"/>
  <c r="F52" i="48"/>
  <c r="F53" i="48"/>
  <c r="F54" i="48"/>
  <c r="Q106" i="73" s="1"/>
  <c r="U130" i="72" s="1"/>
  <c r="F55" i="48"/>
  <c r="F56" i="48"/>
  <c r="F57" i="48"/>
  <c r="F58" i="48"/>
  <c r="F59" i="48"/>
  <c r="F12" i="48"/>
  <c r="F13" i="48"/>
  <c r="F14" i="48"/>
  <c r="F15" i="48"/>
  <c r="F16" i="48"/>
  <c r="F17" i="48"/>
  <c r="F18" i="48"/>
  <c r="F19" i="48"/>
  <c r="Q71" i="73" s="1"/>
  <c r="U95" i="72" s="1"/>
  <c r="AC95" i="72" s="1"/>
  <c r="F20" i="48"/>
  <c r="F21" i="48"/>
  <c r="Q73" i="73" s="1"/>
  <c r="U97" i="72" s="1"/>
  <c r="AA97" i="72" s="1"/>
  <c r="F22" i="48"/>
  <c r="F23" i="48"/>
  <c r="F24" i="48"/>
  <c r="F25" i="48"/>
  <c r="F26" i="48"/>
  <c r="Q78" i="73" s="1"/>
  <c r="U102" i="72" s="1"/>
  <c r="F27" i="48"/>
  <c r="F28" i="48"/>
  <c r="F29" i="48"/>
  <c r="F30" i="48"/>
  <c r="F31" i="48"/>
  <c r="F32" i="48"/>
  <c r="F33" i="48"/>
  <c r="C267" i="48"/>
  <c r="C266" i="48"/>
  <c r="D261" i="48"/>
  <c r="B261" i="48"/>
  <c r="D260" i="48"/>
  <c r="B260" i="48"/>
  <c r="E259" i="48"/>
  <c r="D259" i="48"/>
  <c r="B259" i="48"/>
  <c r="H258" i="48"/>
  <c r="E258" i="48"/>
  <c r="D258" i="48"/>
  <c r="B258" i="48"/>
  <c r="H257" i="48"/>
  <c r="E257" i="48"/>
  <c r="D257" i="48"/>
  <c r="B257" i="48"/>
  <c r="E256" i="48"/>
  <c r="D256" i="48"/>
  <c r="B256" i="48"/>
  <c r="H255" i="48"/>
  <c r="E255" i="48"/>
  <c r="D255" i="48"/>
  <c r="B255" i="48"/>
  <c r="H254" i="48"/>
  <c r="E254" i="48"/>
  <c r="D254" i="48"/>
  <c r="B254" i="48"/>
  <c r="H253" i="48"/>
  <c r="E253" i="48"/>
  <c r="D253" i="48"/>
  <c r="B253" i="48"/>
  <c r="H252" i="48"/>
  <c r="E252" i="48"/>
  <c r="D252" i="48"/>
  <c r="B252" i="48"/>
  <c r="C233" i="48"/>
  <c r="C218" i="48"/>
  <c r="C217" i="48"/>
  <c r="D212" i="48"/>
  <c r="B212" i="48"/>
  <c r="D211" i="48"/>
  <c r="B211" i="48"/>
  <c r="E210" i="48"/>
  <c r="D210" i="48"/>
  <c r="B210" i="48"/>
  <c r="H209" i="48"/>
  <c r="E209" i="48"/>
  <c r="D209" i="48"/>
  <c r="B209" i="48"/>
  <c r="H208" i="48"/>
  <c r="E208" i="48"/>
  <c r="D208" i="48"/>
  <c r="B208" i="48"/>
  <c r="G207" i="48"/>
  <c r="E207" i="48"/>
  <c r="D207" i="48"/>
  <c r="B207" i="48"/>
  <c r="H206" i="48"/>
  <c r="E206" i="48"/>
  <c r="D206" i="48"/>
  <c r="B206" i="48"/>
  <c r="H205" i="48"/>
  <c r="G205" i="48"/>
  <c r="E205" i="48"/>
  <c r="D205" i="48"/>
  <c r="B205" i="48"/>
  <c r="H204" i="48"/>
  <c r="E204" i="48"/>
  <c r="D204" i="48"/>
  <c r="B204" i="48"/>
  <c r="H203" i="48"/>
  <c r="E203" i="48"/>
  <c r="D203" i="48"/>
  <c r="B203" i="48"/>
  <c r="C184" i="48"/>
  <c r="C169" i="48"/>
  <c r="C168" i="48"/>
  <c r="D163" i="48"/>
  <c r="B163" i="48"/>
  <c r="D162" i="48"/>
  <c r="B162" i="48"/>
  <c r="E161" i="48"/>
  <c r="D161" i="48"/>
  <c r="B161" i="48"/>
  <c r="H160" i="48"/>
  <c r="E160" i="48"/>
  <c r="D160" i="48"/>
  <c r="B160" i="48"/>
  <c r="H159" i="48"/>
  <c r="E159" i="48"/>
  <c r="D159" i="48"/>
  <c r="B159" i="48"/>
  <c r="E158" i="48"/>
  <c r="D158" i="48"/>
  <c r="B158" i="48"/>
  <c r="H157" i="48"/>
  <c r="E157" i="48"/>
  <c r="D157" i="48"/>
  <c r="B157" i="48"/>
  <c r="H156" i="48"/>
  <c r="E156" i="48"/>
  <c r="D156" i="48"/>
  <c r="B156" i="48"/>
  <c r="H155" i="48"/>
  <c r="E155" i="48"/>
  <c r="D155" i="48"/>
  <c r="B155" i="48"/>
  <c r="H154" i="48"/>
  <c r="E154" i="48"/>
  <c r="D154" i="48"/>
  <c r="B154" i="48"/>
  <c r="C130" i="48"/>
  <c r="C115" i="48"/>
  <c r="C114" i="48"/>
  <c r="D109" i="48"/>
  <c r="B109" i="48"/>
  <c r="D108" i="48"/>
  <c r="B108" i="48"/>
  <c r="E107" i="48"/>
  <c r="D107" i="48"/>
  <c r="B107" i="48"/>
  <c r="H106" i="48"/>
  <c r="E106" i="48"/>
  <c r="D106" i="48"/>
  <c r="B106" i="48"/>
  <c r="H105" i="48"/>
  <c r="E105" i="48"/>
  <c r="D105" i="48"/>
  <c r="B105" i="48"/>
  <c r="E104" i="48"/>
  <c r="D104" i="48"/>
  <c r="B104" i="48"/>
  <c r="H103" i="48"/>
  <c r="E103" i="48"/>
  <c r="D103" i="48"/>
  <c r="B103" i="48"/>
  <c r="H102" i="48"/>
  <c r="G102" i="48"/>
  <c r="E102" i="48"/>
  <c r="D102" i="48"/>
  <c r="B102" i="48"/>
  <c r="H101" i="48"/>
  <c r="E101" i="48"/>
  <c r="D101" i="48"/>
  <c r="B101" i="48"/>
  <c r="H100" i="48"/>
  <c r="E100" i="48"/>
  <c r="D100" i="48"/>
  <c r="B100" i="48"/>
  <c r="C160" i="49"/>
  <c r="AX147" i="47"/>
  <c r="AN147" i="47"/>
  <c r="AD147" i="47"/>
  <c r="S147" i="47"/>
  <c r="AX139" i="47"/>
  <c r="AN139" i="47"/>
  <c r="AD139" i="47"/>
  <c r="S139" i="47"/>
  <c r="AX64" i="47"/>
  <c r="AN64" i="47"/>
  <c r="AD64" i="47"/>
  <c r="AX41" i="47"/>
  <c r="AN41" i="47"/>
  <c r="AD41" i="47"/>
  <c r="S41" i="47"/>
  <c r="G256" i="50"/>
  <c r="I38" i="24"/>
  <c r="E38" i="24"/>
  <c r="H38" i="24"/>
  <c r="G38" i="24"/>
  <c r="F38" i="24"/>
  <c r="I39" i="24"/>
  <c r="E39" i="24"/>
  <c r="I12" i="24"/>
  <c r="E12" i="24"/>
  <c r="I13" i="24"/>
  <c r="E13" i="24"/>
  <c r="I14" i="24"/>
  <c r="E14" i="24"/>
  <c r="I15" i="24"/>
  <c r="E15" i="24"/>
  <c r="I16" i="24"/>
  <c r="E16" i="24"/>
  <c r="P15" i="73" s="1"/>
  <c r="D92" i="72" s="1"/>
  <c r="I17" i="24"/>
  <c r="E17" i="24"/>
  <c r="I18" i="24"/>
  <c r="E18" i="24"/>
  <c r="I19" i="24"/>
  <c r="E19" i="24"/>
  <c r="I20" i="24"/>
  <c r="E20" i="24"/>
  <c r="P19" i="73" s="1"/>
  <c r="D96" i="72" s="1"/>
  <c r="I21" i="24"/>
  <c r="E21" i="24"/>
  <c r="I22" i="24"/>
  <c r="E22" i="24"/>
  <c r="I23" i="24"/>
  <c r="E23" i="24"/>
  <c r="I24" i="24"/>
  <c r="E24" i="24"/>
  <c r="I25" i="24"/>
  <c r="E25" i="24"/>
  <c r="I26" i="24"/>
  <c r="E26" i="24"/>
  <c r="I27" i="24"/>
  <c r="E27" i="24"/>
  <c r="I28" i="24"/>
  <c r="E28" i="24"/>
  <c r="P27" i="73" s="1"/>
  <c r="D104" i="72" s="1"/>
  <c r="I29" i="24"/>
  <c r="E29" i="24"/>
  <c r="I30" i="24"/>
  <c r="E30" i="24"/>
  <c r="I31" i="24"/>
  <c r="E31" i="24"/>
  <c r="I32" i="24"/>
  <c r="E32" i="24"/>
  <c r="P31" i="73" s="1"/>
  <c r="D108" i="72" s="1"/>
  <c r="I33" i="24"/>
  <c r="E33" i="24"/>
  <c r="I40" i="24"/>
  <c r="E40" i="24"/>
  <c r="P39" i="73" s="1"/>
  <c r="D116" i="72" s="1"/>
  <c r="I41" i="24"/>
  <c r="E41" i="24"/>
  <c r="I42" i="24"/>
  <c r="E42" i="24"/>
  <c r="I43" i="24"/>
  <c r="E43" i="24"/>
  <c r="I44" i="24"/>
  <c r="E44" i="24"/>
  <c r="I45" i="24"/>
  <c r="E45" i="24"/>
  <c r="I46" i="24"/>
  <c r="E46" i="24"/>
  <c r="P45" i="73" s="1"/>
  <c r="I47" i="24"/>
  <c r="E47" i="24"/>
  <c r="I48" i="24"/>
  <c r="E48" i="24"/>
  <c r="I49" i="24"/>
  <c r="E49" i="24"/>
  <c r="I50" i="24"/>
  <c r="E50" i="24"/>
  <c r="I51" i="24"/>
  <c r="E51" i="24"/>
  <c r="I52" i="24"/>
  <c r="E52" i="24"/>
  <c r="I53" i="24"/>
  <c r="E53" i="24"/>
  <c r="I54" i="24"/>
  <c r="E54" i="24"/>
  <c r="I55" i="24"/>
  <c r="E55" i="24"/>
  <c r="I56" i="24"/>
  <c r="E56" i="24"/>
  <c r="I57" i="24"/>
  <c r="E57" i="24"/>
  <c r="I58" i="24"/>
  <c r="E58" i="24"/>
  <c r="I59" i="24"/>
  <c r="E59" i="24"/>
  <c r="H39" i="24"/>
  <c r="G39" i="24"/>
  <c r="F39" i="24"/>
  <c r="H40" i="24"/>
  <c r="G40" i="24"/>
  <c r="F40" i="24"/>
  <c r="H41" i="24"/>
  <c r="G41" i="24"/>
  <c r="F41" i="24"/>
  <c r="F12" i="24"/>
  <c r="Q11" i="73" s="1"/>
  <c r="E88" i="72" s="1"/>
  <c r="F13" i="24"/>
  <c r="Q12" i="73" s="1"/>
  <c r="E89" i="72" s="1"/>
  <c r="K89" i="72" s="1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Q30" i="73" s="1"/>
  <c r="E107" i="72" s="1"/>
  <c r="F32" i="24"/>
  <c r="F33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F58" i="24"/>
  <c r="F59" i="24"/>
  <c r="H42" i="24"/>
  <c r="G42" i="24"/>
  <c r="H43" i="24"/>
  <c r="G43" i="24"/>
  <c r="H44" i="24"/>
  <c r="G44" i="24"/>
  <c r="H45" i="24"/>
  <c r="G45" i="24"/>
  <c r="H46" i="24"/>
  <c r="G46" i="24"/>
  <c r="H47" i="24"/>
  <c r="G47" i="24"/>
  <c r="H48" i="24"/>
  <c r="G48" i="24"/>
  <c r="H49" i="24"/>
  <c r="G49" i="24"/>
  <c r="H50" i="24"/>
  <c r="G50" i="24"/>
  <c r="H51" i="24"/>
  <c r="G51" i="24"/>
  <c r="H52" i="24"/>
  <c r="G52" i="24"/>
  <c r="H53" i="24"/>
  <c r="G53" i="24"/>
  <c r="H54" i="24"/>
  <c r="G54" i="24"/>
  <c r="H55" i="24"/>
  <c r="G55" i="24"/>
  <c r="H56" i="24"/>
  <c r="G56" i="24"/>
  <c r="H57" i="24"/>
  <c r="G57" i="24"/>
  <c r="H58" i="24"/>
  <c r="G58" i="24"/>
  <c r="H59" i="24"/>
  <c r="G59" i="24"/>
  <c r="R58" i="73" s="1"/>
  <c r="F135" i="72" s="1"/>
  <c r="H13" i="24"/>
  <c r="G13" i="24"/>
  <c r="H14" i="24"/>
  <c r="G14" i="24"/>
  <c r="H15" i="24"/>
  <c r="G15" i="24"/>
  <c r="H16" i="24"/>
  <c r="G16" i="24"/>
  <c r="H17" i="24"/>
  <c r="G17" i="24"/>
  <c r="H18" i="24"/>
  <c r="G18" i="24"/>
  <c r="H19" i="24"/>
  <c r="G19" i="24"/>
  <c r="H20" i="24"/>
  <c r="G20" i="24"/>
  <c r="R19" i="73" s="1"/>
  <c r="H21" i="24"/>
  <c r="G21" i="24"/>
  <c r="H22" i="24"/>
  <c r="G22" i="24"/>
  <c r="H23" i="24"/>
  <c r="G23" i="24"/>
  <c r="R22" i="73" s="1"/>
  <c r="F99" i="72" s="1"/>
  <c r="H24" i="24"/>
  <c r="G24" i="24"/>
  <c r="H25" i="24"/>
  <c r="G25" i="24"/>
  <c r="H26" i="24"/>
  <c r="G26" i="24"/>
  <c r="H27" i="24"/>
  <c r="G27" i="24"/>
  <c r="H28" i="24"/>
  <c r="G28" i="24"/>
  <c r="H29" i="24"/>
  <c r="G29" i="24"/>
  <c r="R28" i="73" s="1"/>
  <c r="S28" i="73" s="1"/>
  <c r="G105" i="72" s="1"/>
  <c r="H30" i="24"/>
  <c r="G30" i="24"/>
  <c r="H31" i="24"/>
  <c r="G31" i="24"/>
  <c r="H32" i="24"/>
  <c r="G32" i="24"/>
  <c r="R31" i="73" s="1"/>
  <c r="H33" i="24"/>
  <c r="G33" i="24"/>
  <c r="H12" i="24"/>
  <c r="G12" i="24"/>
  <c r="C282" i="24"/>
  <c r="C184" i="24"/>
  <c r="C233" i="24"/>
  <c r="C130" i="24"/>
  <c r="C267" i="24"/>
  <c r="C266" i="24"/>
  <c r="H253" i="24"/>
  <c r="H254" i="24"/>
  <c r="H255" i="24"/>
  <c r="H257" i="24"/>
  <c r="H258" i="24"/>
  <c r="E253" i="24"/>
  <c r="E254" i="24"/>
  <c r="E255" i="24"/>
  <c r="E256" i="24"/>
  <c r="E257" i="24"/>
  <c r="E258" i="24"/>
  <c r="E259" i="24"/>
  <c r="D253" i="24"/>
  <c r="D254" i="24"/>
  <c r="D255" i="24"/>
  <c r="D256" i="24"/>
  <c r="D257" i="24"/>
  <c r="D258" i="24"/>
  <c r="D259" i="24"/>
  <c r="D260" i="24"/>
  <c r="D261" i="24"/>
  <c r="B253" i="24"/>
  <c r="B254" i="24"/>
  <c r="B255" i="24"/>
  <c r="B256" i="24"/>
  <c r="B257" i="24"/>
  <c r="B258" i="24"/>
  <c r="B259" i="24"/>
  <c r="B260" i="24"/>
  <c r="B261" i="24"/>
  <c r="H252" i="24"/>
  <c r="E252" i="24"/>
  <c r="D252" i="24"/>
  <c r="B252" i="24"/>
  <c r="C218" i="24"/>
  <c r="C217" i="24"/>
  <c r="H204" i="24"/>
  <c r="H205" i="24"/>
  <c r="H206" i="24"/>
  <c r="H208" i="24"/>
  <c r="H209" i="24"/>
  <c r="E204" i="24"/>
  <c r="E205" i="24"/>
  <c r="E206" i="24"/>
  <c r="E207" i="24"/>
  <c r="E208" i="24"/>
  <c r="E209" i="24"/>
  <c r="E210" i="24"/>
  <c r="D204" i="24"/>
  <c r="D205" i="24"/>
  <c r="D206" i="24"/>
  <c r="D207" i="24"/>
  <c r="D208" i="24"/>
  <c r="D209" i="24"/>
  <c r="D210" i="24"/>
  <c r="D211" i="24"/>
  <c r="D212" i="24"/>
  <c r="B212" i="24"/>
  <c r="B204" i="24"/>
  <c r="B205" i="24"/>
  <c r="B206" i="24"/>
  <c r="B207" i="24"/>
  <c r="B208" i="24"/>
  <c r="B209" i="24"/>
  <c r="B210" i="24"/>
  <c r="B211" i="24"/>
  <c r="H203" i="24"/>
  <c r="E203" i="24"/>
  <c r="D203" i="24"/>
  <c r="B203" i="24"/>
  <c r="C169" i="24"/>
  <c r="C168" i="24"/>
  <c r="H155" i="24"/>
  <c r="H156" i="24"/>
  <c r="H157" i="24"/>
  <c r="H159" i="24"/>
  <c r="H160" i="24"/>
  <c r="E155" i="24"/>
  <c r="E156" i="24"/>
  <c r="E157" i="24"/>
  <c r="E158" i="24"/>
  <c r="E159" i="24"/>
  <c r="E160" i="24"/>
  <c r="E161" i="24"/>
  <c r="H154" i="24"/>
  <c r="E154" i="24"/>
  <c r="D155" i="24"/>
  <c r="D156" i="24"/>
  <c r="D157" i="24"/>
  <c r="D158" i="24"/>
  <c r="D159" i="24"/>
  <c r="D160" i="24"/>
  <c r="D161" i="24"/>
  <c r="D162" i="24"/>
  <c r="D163" i="24"/>
  <c r="D154" i="24"/>
  <c r="B155" i="24"/>
  <c r="B156" i="24"/>
  <c r="B157" i="24"/>
  <c r="B158" i="24"/>
  <c r="B159" i="24"/>
  <c r="B160" i="24"/>
  <c r="B161" i="24"/>
  <c r="B162" i="24"/>
  <c r="B163" i="24"/>
  <c r="B154" i="24"/>
  <c r="H100" i="24"/>
  <c r="H101" i="24"/>
  <c r="G102" i="24"/>
  <c r="H102" i="24"/>
  <c r="H103" i="24"/>
  <c r="H105" i="24"/>
  <c r="H106" i="24"/>
  <c r="E100" i="24"/>
  <c r="E101" i="24"/>
  <c r="E102" i="24"/>
  <c r="E103" i="24"/>
  <c r="E104" i="24"/>
  <c r="E105" i="24"/>
  <c r="E106" i="24"/>
  <c r="E107" i="24"/>
  <c r="D100" i="24"/>
  <c r="D101" i="24"/>
  <c r="D102" i="24"/>
  <c r="D103" i="24"/>
  <c r="D104" i="24"/>
  <c r="D105" i="24"/>
  <c r="D106" i="24"/>
  <c r="D107" i="24"/>
  <c r="D108" i="24"/>
  <c r="D109" i="24"/>
  <c r="B100" i="24"/>
  <c r="B101" i="24"/>
  <c r="B102" i="24"/>
  <c r="B103" i="24"/>
  <c r="B104" i="24"/>
  <c r="B105" i="24"/>
  <c r="B106" i="24"/>
  <c r="B107" i="24"/>
  <c r="B108" i="24"/>
  <c r="B109" i="24"/>
  <c r="C115" i="24"/>
  <c r="C114" i="24"/>
  <c r="D75" i="72"/>
  <c r="T75" i="72"/>
  <c r="AX75" i="72"/>
  <c r="AX73" i="72"/>
  <c r="AX72" i="72"/>
  <c r="R180" i="73"/>
  <c r="Q175" i="73"/>
  <c r="AY93" i="72" s="1"/>
  <c r="BG93" i="72" s="1"/>
  <c r="AI75" i="72"/>
  <c r="AI73" i="72"/>
  <c r="AI72" i="72"/>
  <c r="R138" i="73"/>
  <c r="T73" i="72"/>
  <c r="T72" i="72"/>
  <c r="R104" i="73"/>
  <c r="V128" i="72" s="1"/>
  <c r="AX84" i="72"/>
  <c r="AX74" i="72"/>
  <c r="AX76" i="72"/>
  <c r="AX77" i="72"/>
  <c r="AX78" i="72"/>
  <c r="AX79" i="72"/>
  <c r="AX80" i="72"/>
  <c r="AX81" i="72"/>
  <c r="AX82" i="72"/>
  <c r="AX83" i="72"/>
  <c r="AI74" i="72"/>
  <c r="AI76" i="72"/>
  <c r="AI77" i="72"/>
  <c r="AI78" i="72"/>
  <c r="AI79" i="72"/>
  <c r="AI80" i="72"/>
  <c r="AI81" i="72"/>
  <c r="AI82" i="72"/>
  <c r="AI83" i="72"/>
  <c r="AI84" i="72"/>
  <c r="T13" i="72"/>
  <c r="T12" i="72"/>
  <c r="T74" i="72"/>
  <c r="T76" i="72"/>
  <c r="T77" i="72"/>
  <c r="T78" i="72"/>
  <c r="T79" i="72"/>
  <c r="T80" i="72"/>
  <c r="T81" i="72"/>
  <c r="T82" i="72"/>
  <c r="T83" i="72"/>
  <c r="T84" i="72"/>
  <c r="T5" i="72"/>
  <c r="T6" i="72"/>
  <c r="T7" i="72"/>
  <c r="T8" i="72"/>
  <c r="T9" i="72"/>
  <c r="T10" i="72"/>
  <c r="T11" i="72"/>
  <c r="T14" i="72"/>
  <c r="T15" i="72"/>
  <c r="T16" i="72"/>
  <c r="T4" i="72"/>
  <c r="D7" i="72"/>
  <c r="D6" i="73"/>
  <c r="D5" i="73"/>
  <c r="D76" i="72"/>
  <c r="D77" i="72"/>
  <c r="D78" i="72"/>
  <c r="D80" i="72"/>
  <c r="D81" i="72"/>
  <c r="D82" i="72"/>
  <c r="D83" i="72"/>
  <c r="D84" i="72"/>
  <c r="C7" i="71"/>
  <c r="C7" i="68" s="1"/>
  <c r="C3" i="71"/>
  <c r="C3" i="68" s="1"/>
  <c r="C4" i="71"/>
  <c r="C4" i="68" s="1"/>
  <c r="C5" i="71"/>
  <c r="C5" i="68" s="1"/>
  <c r="C6" i="71"/>
  <c r="C6" i="68" s="1"/>
  <c r="C2" i="71"/>
  <c r="C2" i="68" s="1"/>
  <c r="C11" i="1"/>
  <c r="C27" i="68"/>
  <c r="L13" i="68"/>
  <c r="L14" i="68"/>
  <c r="L15" i="68"/>
  <c r="L16" i="68"/>
  <c r="L17" i="68"/>
  <c r="L18" i="68"/>
  <c r="L19" i="68"/>
  <c r="L20" i="68"/>
  <c r="L21" i="68"/>
  <c r="L22" i="68"/>
  <c r="L23" i="68"/>
  <c r="L24" i="68"/>
  <c r="L25" i="68"/>
  <c r="L12" i="68"/>
  <c r="K13" i="68"/>
  <c r="K14" i="68"/>
  <c r="K15" i="68"/>
  <c r="K16" i="68"/>
  <c r="K17" i="68"/>
  <c r="K18" i="68"/>
  <c r="K19" i="68"/>
  <c r="K20" i="68"/>
  <c r="K21" i="68"/>
  <c r="K22" i="68"/>
  <c r="K23" i="68"/>
  <c r="K24" i="68"/>
  <c r="K25" i="68"/>
  <c r="K12" i="68"/>
  <c r="C34" i="68"/>
  <c r="J13" i="68"/>
  <c r="J14" i="68"/>
  <c r="J15" i="68"/>
  <c r="J16" i="68"/>
  <c r="J17" i="68"/>
  <c r="C35" i="68"/>
  <c r="J18" i="68"/>
  <c r="C32" i="68"/>
  <c r="J19" i="68"/>
  <c r="J20" i="68"/>
  <c r="J21" i="68"/>
  <c r="J22" i="68"/>
  <c r="J23" i="68"/>
  <c r="J24" i="68"/>
  <c r="J25" i="68"/>
  <c r="J12" i="68"/>
  <c r="I13" i="68"/>
  <c r="I14" i="68"/>
  <c r="I15" i="68"/>
  <c r="I16" i="68"/>
  <c r="I17" i="68"/>
  <c r="I18" i="68"/>
  <c r="I19" i="68"/>
  <c r="I20" i="68"/>
  <c r="I21" i="68"/>
  <c r="I22" i="68"/>
  <c r="I23" i="68"/>
  <c r="I24" i="68"/>
  <c r="I25" i="68"/>
  <c r="I12" i="68"/>
  <c r="C30" i="68"/>
  <c r="C28" i="68" a="1"/>
  <c r="C28" i="68"/>
  <c r="C31" i="68"/>
  <c r="C33" i="68"/>
  <c r="J76" i="50"/>
  <c r="I76" i="50"/>
  <c r="J76" i="49"/>
  <c r="I76" i="49"/>
  <c r="J76" i="48"/>
  <c r="I76" i="48"/>
  <c r="J76" i="47"/>
  <c r="I76" i="47"/>
  <c r="C37" i="47"/>
  <c r="J76" i="24"/>
  <c r="I76" i="24"/>
  <c r="J76" i="1"/>
  <c r="I76" i="1"/>
  <c r="AY4" i="47"/>
  <c r="BD13" i="47" s="1"/>
  <c r="G254" i="47" s="1"/>
  <c r="C255" i="48"/>
  <c r="C252" i="48"/>
  <c r="C256" i="48"/>
  <c r="G254" i="48"/>
  <c r="C254" i="48"/>
  <c r="C253" i="48"/>
  <c r="C157" i="24"/>
  <c r="G158" i="24"/>
  <c r="C261" i="48"/>
  <c r="C103" i="24"/>
  <c r="C255" i="24"/>
  <c r="C255" i="49"/>
  <c r="C204" i="48"/>
  <c r="C103" i="1"/>
  <c r="C256" i="1"/>
  <c r="C103" i="49"/>
  <c r="C103" i="50"/>
  <c r="C157" i="1"/>
  <c r="C207" i="48"/>
  <c r="C252" i="1"/>
  <c r="C103" i="48"/>
  <c r="G256" i="1"/>
  <c r="C253" i="1"/>
  <c r="C157" i="49"/>
  <c r="G106" i="50"/>
  <c r="C104" i="50"/>
  <c r="C100" i="50"/>
  <c r="C253" i="24"/>
  <c r="C254" i="1"/>
  <c r="G158" i="1"/>
  <c r="C155" i="1"/>
  <c r="G104" i="50"/>
  <c r="C101" i="50"/>
  <c r="C158" i="1"/>
  <c r="C154" i="1"/>
  <c r="C102" i="50"/>
  <c r="C254" i="49"/>
  <c r="G258" i="48"/>
  <c r="G256" i="48"/>
  <c r="G259" i="48"/>
  <c r="C206" i="50"/>
  <c r="C102" i="1"/>
  <c r="G252" i="48"/>
  <c r="C157" i="50"/>
  <c r="C255" i="1"/>
  <c r="C206" i="1"/>
  <c r="C100" i="49"/>
  <c r="C104" i="49"/>
  <c r="G104" i="1"/>
  <c r="C101" i="1"/>
  <c r="C252" i="49"/>
  <c r="C256" i="49"/>
  <c r="C100" i="24"/>
  <c r="C104" i="24"/>
  <c r="C258" i="48"/>
  <c r="C257" i="48"/>
  <c r="C255" i="50"/>
  <c r="C205" i="48"/>
  <c r="G209" i="48"/>
  <c r="C101" i="49"/>
  <c r="C102" i="49"/>
  <c r="C100" i="1"/>
  <c r="C104" i="1"/>
  <c r="C260" i="48"/>
  <c r="G280" i="48"/>
  <c r="I280" i="48" s="1"/>
  <c r="C157" i="48"/>
  <c r="C254" i="24"/>
  <c r="C158" i="24"/>
  <c r="C253" i="49"/>
  <c r="C203" i="48"/>
  <c r="C158" i="48"/>
  <c r="C212" i="48"/>
  <c r="C102" i="24"/>
  <c r="G258" i="1"/>
  <c r="G255" i="48"/>
  <c r="C252" i="24"/>
  <c r="C256" i="24"/>
  <c r="G104" i="24"/>
  <c r="C101" i="24"/>
  <c r="G100" i="1"/>
  <c r="G103" i="24"/>
  <c r="G280" i="1"/>
  <c r="I280" i="1" s="1"/>
  <c r="C260" i="1"/>
  <c r="G160" i="1"/>
  <c r="C163" i="1"/>
  <c r="G210" i="48"/>
  <c r="G206" i="48"/>
  <c r="C259" i="48"/>
  <c r="G253" i="48"/>
  <c r="C156" i="49"/>
  <c r="C209" i="48"/>
  <c r="C208" i="48"/>
  <c r="G252" i="1"/>
  <c r="C155" i="49"/>
  <c r="C108" i="24"/>
  <c r="G128" i="24"/>
  <c r="I128" i="24" s="1"/>
  <c r="C158" i="50"/>
  <c r="C154" i="50"/>
  <c r="G160" i="50"/>
  <c r="C158" i="49"/>
  <c r="C154" i="49"/>
  <c r="G203" i="48"/>
  <c r="G158" i="50"/>
  <c r="C155" i="50"/>
  <c r="C109" i="50"/>
  <c r="C156" i="50"/>
  <c r="C204" i="49"/>
  <c r="C211" i="48"/>
  <c r="G231" i="48"/>
  <c r="I231" i="48" s="1"/>
  <c r="C253" i="50"/>
  <c r="C109" i="1"/>
  <c r="C204" i="1"/>
  <c r="G207" i="1"/>
  <c r="C205" i="49"/>
  <c r="C254" i="50"/>
  <c r="G106" i="24"/>
  <c r="C205" i="1"/>
  <c r="C207" i="49"/>
  <c r="C261" i="1"/>
  <c r="G103" i="1"/>
  <c r="C256" i="50"/>
  <c r="C252" i="50"/>
  <c r="C203" i="50"/>
  <c r="C207" i="50"/>
  <c r="G209" i="50"/>
  <c r="G100" i="50"/>
  <c r="C104" i="48"/>
  <c r="C100" i="48"/>
  <c r="G100" i="24"/>
  <c r="G106" i="1"/>
  <c r="C203" i="1"/>
  <c r="C207" i="1"/>
  <c r="G209" i="1"/>
  <c r="C204" i="50"/>
  <c r="G207" i="50"/>
  <c r="C101" i="48"/>
  <c r="G104" i="48"/>
  <c r="G128" i="1"/>
  <c r="I128" i="1" s="1"/>
  <c r="C108" i="1"/>
  <c r="C162" i="1"/>
  <c r="G182" i="1"/>
  <c r="I182" i="1" s="1"/>
  <c r="C102" i="48"/>
  <c r="C109" i="24"/>
  <c r="G255" i="1"/>
  <c r="C205" i="50"/>
  <c r="G157" i="1"/>
  <c r="C162" i="50"/>
  <c r="G182" i="50"/>
  <c r="I182" i="50" s="1"/>
  <c r="C109" i="48"/>
  <c r="G101" i="24"/>
  <c r="C159" i="1"/>
  <c r="C160" i="1"/>
  <c r="G107" i="24"/>
  <c r="C212" i="1"/>
  <c r="G182" i="49"/>
  <c r="I182" i="49" s="1"/>
  <c r="C162" i="49"/>
  <c r="G157" i="50"/>
  <c r="G161" i="1"/>
  <c r="G128" i="50"/>
  <c r="I128" i="50" s="1"/>
  <c r="C108" i="50"/>
  <c r="G103" i="48"/>
  <c r="C163" i="50"/>
  <c r="G107" i="1"/>
  <c r="G157" i="49"/>
  <c r="C163" i="49"/>
  <c r="G154" i="1"/>
  <c r="G103" i="50"/>
  <c r="G101" i="1"/>
  <c r="G259" i="1"/>
  <c r="G204" i="48"/>
  <c r="C257" i="1"/>
  <c r="G128" i="48"/>
  <c r="I128" i="48" s="1"/>
  <c r="C108" i="48"/>
  <c r="C211" i="50"/>
  <c r="G231" i="50"/>
  <c r="I231" i="50" s="1"/>
  <c r="G257" i="48"/>
  <c r="G101" i="50"/>
  <c r="G253" i="1"/>
  <c r="C105" i="1"/>
  <c r="G107" i="50"/>
  <c r="G203" i="50"/>
  <c r="G106" i="48"/>
  <c r="C105" i="50"/>
  <c r="C210" i="48"/>
  <c r="C105" i="24"/>
  <c r="C212" i="50"/>
  <c r="C106" i="50"/>
  <c r="G122" i="1"/>
  <c r="G278" i="48"/>
  <c r="C107" i="50"/>
  <c r="G276" i="48"/>
  <c r="C258" i="1"/>
  <c r="G161" i="49"/>
  <c r="C259" i="1"/>
  <c r="C159" i="49"/>
  <c r="C105" i="48"/>
  <c r="C106" i="48"/>
  <c r="G210" i="50"/>
  <c r="G225" i="48"/>
  <c r="C106" i="1"/>
  <c r="G107" i="48"/>
  <c r="C208" i="50"/>
  <c r="G155" i="1"/>
  <c r="C161" i="1"/>
  <c r="C107" i="1"/>
  <c r="G206" i="1"/>
  <c r="G206" i="50"/>
  <c r="G154" i="50"/>
  <c r="G208" i="48"/>
  <c r="G100" i="48"/>
  <c r="C160" i="50"/>
  <c r="C159" i="50"/>
  <c r="C106" i="24"/>
  <c r="C211" i="1"/>
  <c r="G231" i="1"/>
  <c r="I231" i="1" s="1"/>
  <c r="G203" i="1"/>
  <c r="G161" i="50"/>
  <c r="G210" i="1"/>
  <c r="C209" i="1"/>
  <c r="C208" i="1"/>
  <c r="C107" i="24"/>
  <c r="G204" i="50"/>
  <c r="G274" i="48"/>
  <c r="G274" i="1"/>
  <c r="G155" i="50"/>
  <c r="G122" i="50"/>
  <c r="G229" i="48"/>
  <c r="G225" i="50"/>
  <c r="C161" i="50"/>
  <c r="G159" i="1"/>
  <c r="G257" i="1"/>
  <c r="G227" i="48"/>
  <c r="G176" i="1"/>
  <c r="G105" i="50"/>
  <c r="G208" i="1"/>
  <c r="G101" i="48"/>
  <c r="G204" i="1"/>
  <c r="C209" i="50"/>
  <c r="G105" i="48"/>
  <c r="C210" i="50"/>
  <c r="C161" i="49"/>
  <c r="G105" i="24"/>
  <c r="C107" i="48"/>
  <c r="G105" i="1"/>
  <c r="C210" i="1"/>
  <c r="G122" i="24"/>
  <c r="G176" i="50"/>
  <c r="G225" i="1"/>
  <c r="G272" i="48"/>
  <c r="G178" i="1"/>
  <c r="G124" i="24"/>
  <c r="G180" i="1"/>
  <c r="G208" i="50"/>
  <c r="G122" i="48"/>
  <c r="G124" i="50"/>
  <c r="G124" i="1"/>
  <c r="G126" i="24"/>
  <c r="G270" i="48"/>
  <c r="G126" i="1"/>
  <c r="G276" i="1"/>
  <c r="G126" i="50"/>
  <c r="G159" i="50"/>
  <c r="G278" i="1"/>
  <c r="G118" i="50"/>
  <c r="G120" i="24"/>
  <c r="G221" i="48"/>
  <c r="G272" i="1"/>
  <c r="G223" i="48"/>
  <c r="G180" i="50"/>
  <c r="G178" i="50"/>
  <c r="G229" i="50"/>
  <c r="G124" i="48"/>
  <c r="G227" i="50"/>
  <c r="G229" i="1"/>
  <c r="G126" i="48"/>
  <c r="G227" i="1"/>
  <c r="G118" i="1"/>
  <c r="G120" i="50"/>
  <c r="G172" i="1"/>
  <c r="G223" i="50"/>
  <c r="G174" i="1"/>
  <c r="G270" i="1"/>
  <c r="G120" i="1"/>
  <c r="G221" i="50"/>
  <c r="G120" i="48"/>
  <c r="G223" i="1"/>
  <c r="G221" i="1"/>
  <c r="G174" i="50"/>
  <c r="G118" i="48"/>
  <c r="G172" i="50"/>
  <c r="S216" i="73" l="1"/>
  <c r="BA134" i="72" s="1"/>
  <c r="X25" i="47"/>
  <c r="S24" i="47"/>
  <c r="W187" i="47" s="1"/>
  <c r="C132" i="81"/>
  <c r="C134" i="47" s="1"/>
  <c r="C132" i="85"/>
  <c r="C134" i="1" s="1"/>
  <c r="C284" i="85"/>
  <c r="C286" i="1" s="1"/>
  <c r="C132" i="84"/>
  <c r="C134" i="50" s="1"/>
  <c r="C284" i="84"/>
  <c r="C286" i="50" s="1"/>
  <c r="C284" i="83"/>
  <c r="C286" i="48" s="1"/>
  <c r="C186" i="83"/>
  <c r="C188" i="48" s="1"/>
  <c r="C45" i="47"/>
  <c r="C19" i="82"/>
  <c r="C45" i="82"/>
  <c r="C18" i="1"/>
  <c r="C18" i="82"/>
  <c r="C44" i="82"/>
  <c r="C43" i="49"/>
  <c r="C17" i="82"/>
  <c r="C43" i="82"/>
  <c r="C27" i="24"/>
  <c r="C53" i="82"/>
  <c r="C27" i="82"/>
  <c r="C41" i="50"/>
  <c r="C15" i="82"/>
  <c r="C41" i="82"/>
  <c r="C40" i="24"/>
  <c r="C40" i="82"/>
  <c r="C14" i="82"/>
  <c r="C24" i="48"/>
  <c r="C24" i="82"/>
  <c r="C50" i="82"/>
  <c r="C39" i="24"/>
  <c r="C39" i="82"/>
  <c r="C13" i="82"/>
  <c r="C49" i="47"/>
  <c r="C23" i="82"/>
  <c r="C49" i="82"/>
  <c r="C20" i="24"/>
  <c r="C20" i="82"/>
  <c r="C46" i="82"/>
  <c r="C11" i="48"/>
  <c r="C11" i="82"/>
  <c r="C37" i="82"/>
  <c r="C59" i="50"/>
  <c r="C59" i="82"/>
  <c r="C33" i="82"/>
  <c r="C47" i="50"/>
  <c r="C21" i="82"/>
  <c r="C47" i="82"/>
  <c r="C31" i="49"/>
  <c r="C57" i="82"/>
  <c r="C31" i="82"/>
  <c r="C56" i="50"/>
  <c r="C56" i="82"/>
  <c r="C30" i="82"/>
  <c r="C55" i="49"/>
  <c r="C55" i="82"/>
  <c r="C29" i="82"/>
  <c r="C54" i="24"/>
  <c r="C28" i="82"/>
  <c r="C54" i="82"/>
  <c r="C42" i="1"/>
  <c r="C16" i="82"/>
  <c r="C42" i="82"/>
  <c r="C26" i="1"/>
  <c r="C26" i="82"/>
  <c r="C52" i="82"/>
  <c r="C51" i="48"/>
  <c r="C51" i="82"/>
  <c r="C25" i="82"/>
  <c r="C38" i="49"/>
  <c r="C38" i="82"/>
  <c r="C12" i="82"/>
  <c r="C22" i="50"/>
  <c r="C22" i="82"/>
  <c r="C48" i="82"/>
  <c r="C58" i="48"/>
  <c r="C58" i="82"/>
  <c r="C32" i="82"/>
  <c r="C46" i="50"/>
  <c r="C16" i="1"/>
  <c r="C42" i="24"/>
  <c r="C19" i="24"/>
  <c r="C42" i="50"/>
  <c r="T8" i="47"/>
  <c r="C20" i="1"/>
  <c r="C45" i="50"/>
  <c r="C23" i="50"/>
  <c r="AD22" i="47"/>
  <c r="AI34" i="47" s="1"/>
  <c r="C45" i="1"/>
  <c r="C52" i="50"/>
  <c r="C45" i="24"/>
  <c r="C44" i="49"/>
  <c r="C58" i="50"/>
  <c r="C44" i="47"/>
  <c r="C44" i="1"/>
  <c r="C42" i="49"/>
  <c r="C18" i="49"/>
  <c r="C20" i="49"/>
  <c r="C235" i="81"/>
  <c r="C237" i="47" s="1"/>
  <c r="C186" i="81"/>
  <c r="C188" i="47" s="1"/>
  <c r="I102" i="73"/>
  <c r="X58" i="72" s="1"/>
  <c r="C111" i="47"/>
  <c r="P9" i="47" s="1"/>
  <c r="C128" i="47" s="1"/>
  <c r="AN24" i="47"/>
  <c r="X34" i="47"/>
  <c r="BC204" i="24"/>
  <c r="AS204" i="24"/>
  <c r="X204" i="24"/>
  <c r="AI204" i="24"/>
  <c r="AR203" i="24"/>
  <c r="AH203" i="24"/>
  <c r="W203" i="24"/>
  <c r="BB203" i="24"/>
  <c r="AR197" i="24"/>
  <c r="W197" i="24"/>
  <c r="BB197" i="24"/>
  <c r="AH197" i="24"/>
  <c r="AR191" i="24"/>
  <c r="AH191" i="24"/>
  <c r="W191" i="24"/>
  <c r="BB191" i="24"/>
  <c r="AZ200" i="24"/>
  <c r="AP200" i="24"/>
  <c r="U200" i="24"/>
  <c r="AF200" i="24"/>
  <c r="Q41" i="73"/>
  <c r="E118" i="72" s="1"/>
  <c r="K118" i="72" s="1"/>
  <c r="AF188" i="24"/>
  <c r="AP188" i="24"/>
  <c r="U188" i="24"/>
  <c r="AZ188" i="24"/>
  <c r="BA187" i="24"/>
  <c r="AQ187" i="24"/>
  <c r="V187" i="24"/>
  <c r="AG187" i="24"/>
  <c r="AO203" i="24"/>
  <c r="T203" i="24"/>
  <c r="AY203" i="24"/>
  <c r="AE203" i="24"/>
  <c r="AY197" i="24"/>
  <c r="AE197" i="24"/>
  <c r="T197" i="24"/>
  <c r="AO197" i="24"/>
  <c r="AO191" i="24"/>
  <c r="AY191" i="24"/>
  <c r="T191" i="24"/>
  <c r="AE191" i="24"/>
  <c r="AR184" i="24"/>
  <c r="BB184" i="24"/>
  <c r="AH184" i="24"/>
  <c r="W184" i="24"/>
  <c r="AF205" i="48"/>
  <c r="U205" i="48"/>
  <c r="AZ205" i="48"/>
  <c r="AP205" i="48"/>
  <c r="Q99" i="73"/>
  <c r="U123" i="72" s="1"/>
  <c r="AA123" i="72" s="1"/>
  <c r="AZ193" i="48"/>
  <c r="AF193" i="48"/>
  <c r="U193" i="48"/>
  <c r="AP193" i="48"/>
  <c r="W205" i="48"/>
  <c r="BB205" i="48"/>
  <c r="AH205" i="48"/>
  <c r="AR205" i="48"/>
  <c r="S105" i="73"/>
  <c r="W129" i="72" s="1"/>
  <c r="W199" i="48"/>
  <c r="AR199" i="48"/>
  <c r="BB199" i="48"/>
  <c r="AH199" i="48"/>
  <c r="BC202" i="48"/>
  <c r="X202" i="48"/>
  <c r="AS202" i="48"/>
  <c r="AI202" i="48"/>
  <c r="X196" i="48"/>
  <c r="AS196" i="48"/>
  <c r="BC196" i="48"/>
  <c r="AI196" i="48"/>
  <c r="W190" i="48"/>
  <c r="BB190" i="48"/>
  <c r="AH190" i="48"/>
  <c r="AR190" i="48"/>
  <c r="S93" i="73"/>
  <c r="W117" i="72" s="1"/>
  <c r="W187" i="48"/>
  <c r="BB187" i="48"/>
  <c r="AR187" i="48"/>
  <c r="AH187" i="48"/>
  <c r="S90" i="73"/>
  <c r="W114" i="72" s="1"/>
  <c r="W184" i="48"/>
  <c r="AH184" i="48"/>
  <c r="AR184" i="48"/>
  <c r="BB184" i="48"/>
  <c r="AQ200" i="50"/>
  <c r="BA200" i="50"/>
  <c r="V200" i="50"/>
  <c r="AG200" i="50"/>
  <c r="BA194" i="50"/>
  <c r="AQ194" i="50"/>
  <c r="V194" i="50"/>
  <c r="AG194" i="50"/>
  <c r="BA188" i="50"/>
  <c r="AG188" i="50"/>
  <c r="V188" i="50"/>
  <c r="AQ188" i="50"/>
  <c r="AF195" i="50"/>
  <c r="AP195" i="50"/>
  <c r="AZ195" i="50"/>
  <c r="U195" i="50"/>
  <c r="V186" i="50"/>
  <c r="AG186" i="50"/>
  <c r="BA186" i="50"/>
  <c r="AQ186" i="50"/>
  <c r="AS202" i="50"/>
  <c r="X202" i="50"/>
  <c r="BC202" i="50"/>
  <c r="AI202" i="50"/>
  <c r="X196" i="50"/>
  <c r="BC196" i="50"/>
  <c r="AI196" i="50"/>
  <c r="AS196" i="50"/>
  <c r="AS190" i="50"/>
  <c r="X190" i="50"/>
  <c r="BC190" i="50"/>
  <c r="AI190" i="50"/>
  <c r="AQ184" i="50"/>
  <c r="AG184" i="50"/>
  <c r="V184" i="50"/>
  <c r="BA184" i="50"/>
  <c r="X204" i="1"/>
  <c r="BC204" i="1"/>
  <c r="AI204" i="1"/>
  <c r="AS204" i="1"/>
  <c r="V201" i="1"/>
  <c r="BA201" i="1"/>
  <c r="AQ201" i="1"/>
  <c r="AG201" i="1"/>
  <c r="AE199" i="1"/>
  <c r="T199" i="1"/>
  <c r="AO199" i="1"/>
  <c r="AY199" i="1"/>
  <c r="AP196" i="1"/>
  <c r="AF196" i="1"/>
  <c r="AZ196" i="1"/>
  <c r="U196" i="1"/>
  <c r="W194" i="1"/>
  <c r="AH194" i="1"/>
  <c r="BB194" i="1"/>
  <c r="AR194" i="1"/>
  <c r="BC192" i="1"/>
  <c r="AS192" i="1"/>
  <c r="X192" i="1"/>
  <c r="AI192" i="1"/>
  <c r="AG189" i="1"/>
  <c r="V189" i="1"/>
  <c r="BA189" i="1"/>
  <c r="AQ189" i="1"/>
  <c r="AO187" i="1"/>
  <c r="AY187" i="1"/>
  <c r="T187" i="1"/>
  <c r="AE187" i="1"/>
  <c r="AZ184" i="1"/>
  <c r="AP184" i="1"/>
  <c r="U184" i="1"/>
  <c r="AF184" i="1"/>
  <c r="R217" i="73"/>
  <c r="AZ135" i="72" s="1"/>
  <c r="AG205" i="49"/>
  <c r="AQ205" i="49"/>
  <c r="BA205" i="49"/>
  <c r="V205" i="49"/>
  <c r="R211" i="73"/>
  <c r="AZ129" i="72" s="1"/>
  <c r="AG199" i="49"/>
  <c r="BA199" i="49"/>
  <c r="AQ199" i="49"/>
  <c r="V199" i="49"/>
  <c r="R205" i="73"/>
  <c r="AZ123" i="72" s="1"/>
  <c r="V193" i="49"/>
  <c r="AQ193" i="49"/>
  <c r="AG193" i="49"/>
  <c r="BA193" i="49"/>
  <c r="R199" i="73"/>
  <c r="AZ117" i="72" s="1"/>
  <c r="AQ187" i="49"/>
  <c r="BA187" i="49"/>
  <c r="V187" i="49"/>
  <c r="AG187" i="49"/>
  <c r="P212" i="73"/>
  <c r="AX130" i="72" s="1"/>
  <c r="AO200" i="49"/>
  <c r="T200" i="49"/>
  <c r="AE200" i="49"/>
  <c r="AY200" i="49"/>
  <c r="P206" i="73"/>
  <c r="T206" i="73" s="1"/>
  <c r="BB124" i="72" s="1"/>
  <c r="AE194" i="49"/>
  <c r="T194" i="49"/>
  <c r="AO194" i="49"/>
  <c r="AY194" i="49"/>
  <c r="AY188" i="49"/>
  <c r="AE188" i="49"/>
  <c r="T188" i="49"/>
  <c r="AO188" i="49"/>
  <c r="AZ201" i="49"/>
  <c r="AP201" i="49"/>
  <c r="AF201" i="49"/>
  <c r="U201" i="49"/>
  <c r="AZ189" i="49"/>
  <c r="AP189" i="49"/>
  <c r="AF189" i="49"/>
  <c r="U189" i="49"/>
  <c r="P196" i="73"/>
  <c r="AX114" i="72" s="1"/>
  <c r="AE184" i="49"/>
  <c r="AO184" i="49"/>
  <c r="AY184" i="49"/>
  <c r="T184" i="49"/>
  <c r="T200" i="47"/>
  <c r="AY200" i="47"/>
  <c r="AE200" i="47"/>
  <c r="AO200" i="47"/>
  <c r="BA195" i="47"/>
  <c r="AQ195" i="47"/>
  <c r="AG195" i="47"/>
  <c r="V195" i="47"/>
  <c r="AE188" i="47"/>
  <c r="AY188" i="47"/>
  <c r="T188" i="47"/>
  <c r="AO188" i="47"/>
  <c r="AP186" i="47"/>
  <c r="AF186" i="47"/>
  <c r="AZ186" i="47"/>
  <c r="U186" i="47"/>
  <c r="BA202" i="24"/>
  <c r="V202" i="24"/>
  <c r="AG202" i="24"/>
  <c r="AQ202" i="24"/>
  <c r="AQ196" i="24"/>
  <c r="BA196" i="24"/>
  <c r="V196" i="24"/>
  <c r="AG196" i="24"/>
  <c r="BA190" i="24"/>
  <c r="AG190" i="24"/>
  <c r="V190" i="24"/>
  <c r="AQ190" i="24"/>
  <c r="U199" i="24"/>
  <c r="AP199" i="24"/>
  <c r="AF199" i="24"/>
  <c r="AZ199" i="24"/>
  <c r="AR187" i="24"/>
  <c r="BB187" i="24"/>
  <c r="AH187" i="24"/>
  <c r="W187" i="24"/>
  <c r="AS203" i="24"/>
  <c r="BC203" i="24"/>
  <c r="AI203" i="24"/>
  <c r="X203" i="24"/>
  <c r="BC197" i="24"/>
  <c r="AS197" i="24"/>
  <c r="X197" i="24"/>
  <c r="AI197" i="24"/>
  <c r="BC191" i="24"/>
  <c r="AS191" i="24"/>
  <c r="X191" i="24"/>
  <c r="AI191" i="24"/>
  <c r="T184" i="24"/>
  <c r="AE184" i="24"/>
  <c r="AY184" i="24"/>
  <c r="AO184" i="24"/>
  <c r="AP204" i="48"/>
  <c r="AF204" i="48"/>
  <c r="U204" i="48"/>
  <c r="AZ204" i="48"/>
  <c r="Q98" i="73"/>
  <c r="U122" i="72" s="1"/>
  <c r="AC122" i="72" s="1"/>
  <c r="AF192" i="48"/>
  <c r="AP192" i="48"/>
  <c r="AZ192" i="48"/>
  <c r="U192" i="48"/>
  <c r="AQ204" i="48"/>
  <c r="BA204" i="48"/>
  <c r="V204" i="48"/>
  <c r="AG204" i="48"/>
  <c r="AG198" i="48"/>
  <c r="V198" i="48"/>
  <c r="AQ198" i="48"/>
  <c r="BA198" i="48"/>
  <c r="AG192" i="48"/>
  <c r="AQ192" i="48"/>
  <c r="V192" i="48"/>
  <c r="BA192" i="48"/>
  <c r="AO201" i="48"/>
  <c r="AE201" i="48"/>
  <c r="T201" i="48"/>
  <c r="AY201" i="48"/>
  <c r="AO195" i="48"/>
  <c r="T195" i="48"/>
  <c r="AE195" i="48"/>
  <c r="AY195" i="48"/>
  <c r="P96" i="73"/>
  <c r="T120" i="72" s="1"/>
  <c r="AO190" i="48"/>
  <c r="T190" i="48"/>
  <c r="AE190" i="48"/>
  <c r="AY190" i="48"/>
  <c r="T187" i="48"/>
  <c r="AE187" i="48"/>
  <c r="AY187" i="48"/>
  <c r="AO187" i="48"/>
  <c r="AY184" i="48"/>
  <c r="T184" i="48"/>
  <c r="AE184" i="48"/>
  <c r="AO184" i="48"/>
  <c r="AR200" i="50"/>
  <c r="W200" i="50"/>
  <c r="AH200" i="50"/>
  <c r="BB200" i="50"/>
  <c r="AR194" i="50"/>
  <c r="W194" i="50"/>
  <c r="AH194" i="50"/>
  <c r="BB194" i="50"/>
  <c r="AR188" i="50"/>
  <c r="W188" i="50"/>
  <c r="BB188" i="50"/>
  <c r="AH188" i="50"/>
  <c r="AZ194" i="50"/>
  <c r="U194" i="50"/>
  <c r="AP194" i="50"/>
  <c r="AF194" i="50"/>
  <c r="W186" i="50"/>
  <c r="AR186" i="50"/>
  <c r="AH186" i="50"/>
  <c r="BB186" i="50"/>
  <c r="AY201" i="50"/>
  <c r="T201" i="50"/>
  <c r="AE201" i="50"/>
  <c r="AO201" i="50"/>
  <c r="AO195" i="50"/>
  <c r="AE195" i="50"/>
  <c r="T195" i="50"/>
  <c r="AY195" i="50"/>
  <c r="AO189" i="50"/>
  <c r="T189" i="50"/>
  <c r="AY189" i="50"/>
  <c r="AE189" i="50"/>
  <c r="AR184" i="50"/>
  <c r="W184" i="50"/>
  <c r="BB184" i="50"/>
  <c r="AH184" i="50"/>
  <c r="AZ203" i="1"/>
  <c r="AF203" i="1"/>
  <c r="AP203" i="1"/>
  <c r="U203" i="1"/>
  <c r="W201" i="1"/>
  <c r="AR201" i="1"/>
  <c r="BB201" i="1"/>
  <c r="AH201" i="1"/>
  <c r="BC199" i="1"/>
  <c r="AS199" i="1"/>
  <c r="AI199" i="1"/>
  <c r="X199" i="1"/>
  <c r="BA196" i="1"/>
  <c r="AG196" i="1"/>
  <c r="V196" i="1"/>
  <c r="AQ196" i="1"/>
  <c r="AE194" i="1"/>
  <c r="AY194" i="1"/>
  <c r="AO194" i="1"/>
  <c r="T194" i="1"/>
  <c r="AZ191" i="1"/>
  <c r="AP191" i="1"/>
  <c r="AF191" i="1"/>
  <c r="U191" i="1"/>
  <c r="W189" i="1"/>
  <c r="AR189" i="1"/>
  <c r="AH189" i="1"/>
  <c r="BB189" i="1"/>
  <c r="X187" i="1"/>
  <c r="BC187" i="1"/>
  <c r="AI187" i="1"/>
  <c r="AS187" i="1"/>
  <c r="BA184" i="1"/>
  <c r="AQ184" i="1"/>
  <c r="AG184" i="1"/>
  <c r="V184" i="1"/>
  <c r="AR205" i="49"/>
  <c r="W205" i="49"/>
  <c r="AH205" i="49"/>
  <c r="BB205" i="49"/>
  <c r="AR199" i="49"/>
  <c r="BB199" i="49"/>
  <c r="W199" i="49"/>
  <c r="AH199" i="49"/>
  <c r="AR193" i="49"/>
  <c r="BB193" i="49"/>
  <c r="W193" i="49"/>
  <c r="AH193" i="49"/>
  <c r="AR187" i="49"/>
  <c r="AH187" i="49"/>
  <c r="W187" i="49"/>
  <c r="BB187" i="49"/>
  <c r="BC200" i="49"/>
  <c r="X200" i="49"/>
  <c r="AS200" i="49"/>
  <c r="AI200" i="49"/>
  <c r="BC194" i="49"/>
  <c r="X194" i="49"/>
  <c r="AS194" i="49"/>
  <c r="AI194" i="49"/>
  <c r="BC188" i="49"/>
  <c r="AI188" i="49"/>
  <c r="X188" i="49"/>
  <c r="AS188" i="49"/>
  <c r="AF200" i="49"/>
  <c r="U200" i="49"/>
  <c r="AP200" i="49"/>
  <c r="AZ200" i="49"/>
  <c r="AP188" i="49"/>
  <c r="AZ188" i="49"/>
  <c r="AF188" i="49"/>
  <c r="U188" i="49"/>
  <c r="BC184" i="49"/>
  <c r="AS184" i="49"/>
  <c r="AI184" i="49"/>
  <c r="X184" i="49"/>
  <c r="F58" i="73"/>
  <c r="E67" i="72" s="1"/>
  <c r="K67" i="72" s="1"/>
  <c r="AF205" i="47"/>
  <c r="AP205" i="47"/>
  <c r="AZ205" i="47"/>
  <c r="U205" i="47"/>
  <c r="BA202" i="47"/>
  <c r="AG202" i="47"/>
  <c r="V202" i="47"/>
  <c r="AQ202" i="47"/>
  <c r="T195" i="47"/>
  <c r="AO195" i="47"/>
  <c r="AE195" i="47"/>
  <c r="AY195" i="47"/>
  <c r="AP193" i="47"/>
  <c r="U193" i="47"/>
  <c r="AF193" i="47"/>
  <c r="AZ193" i="47"/>
  <c r="G43" i="73"/>
  <c r="F52" i="72" s="1"/>
  <c r="AG190" i="47"/>
  <c r="AQ190" i="47"/>
  <c r="V190" i="47"/>
  <c r="BA190" i="47"/>
  <c r="T194" i="24"/>
  <c r="AE194" i="24"/>
  <c r="AO194" i="24"/>
  <c r="AY194" i="24"/>
  <c r="T111" i="73"/>
  <c r="X135" i="72" s="1"/>
  <c r="AS205" i="48"/>
  <c r="X205" i="48"/>
  <c r="BC205" i="48"/>
  <c r="AI205" i="48"/>
  <c r="AY205" i="1"/>
  <c r="T205" i="1"/>
  <c r="AE205" i="1"/>
  <c r="AO205" i="1"/>
  <c r="AZ195" i="49"/>
  <c r="AP195" i="49"/>
  <c r="U195" i="49"/>
  <c r="AF195" i="49"/>
  <c r="Q207" i="73"/>
  <c r="AY125" i="72" s="1"/>
  <c r="BG125" i="72" s="1"/>
  <c r="AG205" i="24"/>
  <c r="V205" i="24"/>
  <c r="AQ205" i="24"/>
  <c r="BA205" i="24"/>
  <c r="AG193" i="24"/>
  <c r="AQ193" i="24"/>
  <c r="BA193" i="24"/>
  <c r="V193" i="24"/>
  <c r="AP205" i="24"/>
  <c r="U205" i="24"/>
  <c r="AZ205" i="24"/>
  <c r="AF205" i="24"/>
  <c r="AP193" i="24"/>
  <c r="AF193" i="24"/>
  <c r="AZ193" i="24"/>
  <c r="U193" i="24"/>
  <c r="AR185" i="24"/>
  <c r="W185" i="24"/>
  <c r="BB185" i="24"/>
  <c r="AH185" i="24"/>
  <c r="AS200" i="24"/>
  <c r="BC200" i="24"/>
  <c r="AI200" i="24"/>
  <c r="X200" i="24"/>
  <c r="BC194" i="24"/>
  <c r="AS194" i="24"/>
  <c r="AI194" i="24"/>
  <c r="X194" i="24"/>
  <c r="BC188" i="24"/>
  <c r="AS188" i="24"/>
  <c r="AI188" i="24"/>
  <c r="X188" i="24"/>
  <c r="U186" i="48"/>
  <c r="AZ186" i="48"/>
  <c r="AF186" i="48"/>
  <c r="AP186" i="48"/>
  <c r="AQ201" i="48"/>
  <c r="V201" i="48"/>
  <c r="AG201" i="48"/>
  <c r="BA201" i="48"/>
  <c r="AG195" i="48"/>
  <c r="V195" i="48"/>
  <c r="BA195" i="48"/>
  <c r="AQ195" i="48"/>
  <c r="AO204" i="48"/>
  <c r="T204" i="48"/>
  <c r="AE204" i="48"/>
  <c r="AY204" i="48"/>
  <c r="AO198" i="48"/>
  <c r="AY198" i="48"/>
  <c r="T198" i="48"/>
  <c r="AE198" i="48"/>
  <c r="AO192" i="48"/>
  <c r="T192" i="48"/>
  <c r="AY192" i="48"/>
  <c r="AE192" i="48"/>
  <c r="AQ188" i="48"/>
  <c r="V188" i="48"/>
  <c r="AG188" i="48"/>
  <c r="BA188" i="48"/>
  <c r="V185" i="48"/>
  <c r="AG185" i="48"/>
  <c r="AQ185" i="48"/>
  <c r="BA185" i="48"/>
  <c r="AR203" i="50"/>
  <c r="W203" i="50"/>
  <c r="BB203" i="50"/>
  <c r="AH203" i="50"/>
  <c r="W197" i="50"/>
  <c r="AR197" i="50"/>
  <c r="BB197" i="50"/>
  <c r="AH197" i="50"/>
  <c r="W191" i="50"/>
  <c r="AR191" i="50"/>
  <c r="AH191" i="50"/>
  <c r="BB191" i="50"/>
  <c r="AF200" i="50"/>
  <c r="U200" i="50"/>
  <c r="AZ200" i="50"/>
  <c r="AP200" i="50"/>
  <c r="AF188" i="50"/>
  <c r="U188" i="50"/>
  <c r="AP188" i="50"/>
  <c r="AZ188" i="50"/>
  <c r="AE204" i="50"/>
  <c r="AY204" i="50"/>
  <c r="AO204" i="50"/>
  <c r="T204" i="50"/>
  <c r="T198" i="50"/>
  <c r="AY198" i="50"/>
  <c r="AO198" i="50"/>
  <c r="AE198" i="50"/>
  <c r="AY186" i="50"/>
  <c r="T186" i="50"/>
  <c r="AO186" i="50"/>
  <c r="AE186" i="50"/>
  <c r="AI205" i="1"/>
  <c r="BC205" i="1"/>
  <c r="AS205" i="1"/>
  <c r="X205" i="1"/>
  <c r="BA202" i="1"/>
  <c r="V202" i="1"/>
  <c r="AQ202" i="1"/>
  <c r="AG202" i="1"/>
  <c r="AY200" i="1"/>
  <c r="T200" i="1"/>
  <c r="AO200" i="1"/>
  <c r="AE200" i="1"/>
  <c r="AF197" i="1"/>
  <c r="AZ197" i="1"/>
  <c r="U197" i="1"/>
  <c r="AP197" i="1"/>
  <c r="W195" i="1"/>
  <c r="BB195" i="1"/>
  <c r="AH195" i="1"/>
  <c r="AR195" i="1"/>
  <c r="X193" i="1"/>
  <c r="AS193" i="1"/>
  <c r="BC193" i="1"/>
  <c r="AI193" i="1"/>
  <c r="AG190" i="1"/>
  <c r="BA190" i="1"/>
  <c r="AQ190" i="1"/>
  <c r="V190" i="1"/>
  <c r="AZ185" i="1"/>
  <c r="U185" i="1"/>
  <c r="AP185" i="1"/>
  <c r="AF185" i="1"/>
  <c r="AR202" i="49"/>
  <c r="AH202" i="49"/>
  <c r="W202" i="49"/>
  <c r="BB202" i="49"/>
  <c r="AR196" i="49"/>
  <c r="BB196" i="49"/>
  <c r="W196" i="49"/>
  <c r="AH196" i="49"/>
  <c r="AR190" i="49"/>
  <c r="AH190" i="49"/>
  <c r="W190" i="49"/>
  <c r="BB190" i="49"/>
  <c r="BC203" i="49"/>
  <c r="AS203" i="49"/>
  <c r="AI203" i="49"/>
  <c r="X203" i="49"/>
  <c r="BC197" i="49"/>
  <c r="AI197" i="49"/>
  <c r="X197" i="49"/>
  <c r="AS197" i="49"/>
  <c r="BC191" i="49"/>
  <c r="X191" i="49"/>
  <c r="AI191" i="49"/>
  <c r="AS191" i="49"/>
  <c r="BC186" i="49"/>
  <c r="X186" i="49"/>
  <c r="AS186" i="49"/>
  <c r="AI186" i="49"/>
  <c r="AZ194" i="49"/>
  <c r="U194" i="49"/>
  <c r="AP194" i="49"/>
  <c r="AF194" i="49"/>
  <c r="AO201" i="47"/>
  <c r="T201" i="47"/>
  <c r="AY201" i="47"/>
  <c r="AE201" i="47"/>
  <c r="AF199" i="47"/>
  <c r="U199" i="47"/>
  <c r="AZ199" i="47"/>
  <c r="AP199" i="47"/>
  <c r="AQ196" i="47"/>
  <c r="AG196" i="47"/>
  <c r="BA196" i="47"/>
  <c r="V196" i="47"/>
  <c r="AO189" i="47"/>
  <c r="AE189" i="47"/>
  <c r="AY189" i="47"/>
  <c r="T189" i="47"/>
  <c r="AP187" i="47"/>
  <c r="AZ187" i="47"/>
  <c r="U187" i="47"/>
  <c r="AF187" i="47"/>
  <c r="AQ184" i="47"/>
  <c r="V184" i="47"/>
  <c r="AG184" i="47"/>
  <c r="BA184" i="47"/>
  <c r="AR205" i="24"/>
  <c r="AH205" i="24"/>
  <c r="W205" i="24"/>
  <c r="BB205" i="24"/>
  <c r="AR199" i="24"/>
  <c r="AH199" i="24"/>
  <c r="BB199" i="24"/>
  <c r="W199" i="24"/>
  <c r="AF204" i="24"/>
  <c r="U204" i="24"/>
  <c r="AP204" i="24"/>
  <c r="AZ204" i="24"/>
  <c r="AZ192" i="24"/>
  <c r="U192" i="24"/>
  <c r="AP192" i="24"/>
  <c r="AF192" i="24"/>
  <c r="AO205" i="24"/>
  <c r="AY205" i="24"/>
  <c r="AE205" i="24"/>
  <c r="T205" i="24"/>
  <c r="T199" i="24"/>
  <c r="AO199" i="24"/>
  <c r="AE199" i="24"/>
  <c r="AY199" i="24"/>
  <c r="P40" i="73"/>
  <c r="D117" i="72" s="1"/>
  <c r="AO187" i="24"/>
  <c r="AY187" i="24"/>
  <c r="T187" i="24"/>
  <c r="AE187" i="24"/>
  <c r="AY185" i="24"/>
  <c r="AE185" i="24"/>
  <c r="AO185" i="24"/>
  <c r="T185" i="24"/>
  <c r="AZ185" i="48"/>
  <c r="AP185" i="48"/>
  <c r="AF185" i="48"/>
  <c r="U185" i="48"/>
  <c r="W195" i="48"/>
  <c r="AH195" i="48"/>
  <c r="AR195" i="48"/>
  <c r="BB195" i="48"/>
  <c r="W188" i="48"/>
  <c r="AH188" i="48"/>
  <c r="BB188" i="48"/>
  <c r="AR188" i="48"/>
  <c r="BA196" i="50"/>
  <c r="AQ196" i="50"/>
  <c r="AG196" i="50"/>
  <c r="V196" i="50"/>
  <c r="BC198" i="50"/>
  <c r="X198" i="50"/>
  <c r="AS198" i="50"/>
  <c r="AI198" i="50"/>
  <c r="W202" i="1"/>
  <c r="AR202" i="1"/>
  <c r="AH202" i="1"/>
  <c r="BB202" i="1"/>
  <c r="AS188" i="1"/>
  <c r="BC188" i="1"/>
  <c r="AI188" i="1"/>
  <c r="X188" i="1"/>
  <c r="AG195" i="49"/>
  <c r="AQ195" i="49"/>
  <c r="BA195" i="49"/>
  <c r="V195" i="49"/>
  <c r="AY202" i="49"/>
  <c r="AE202" i="49"/>
  <c r="AO202" i="49"/>
  <c r="T202" i="49"/>
  <c r="AE190" i="49"/>
  <c r="AY190" i="49"/>
  <c r="T190" i="49"/>
  <c r="AO190" i="49"/>
  <c r="AZ193" i="49"/>
  <c r="U193" i="49"/>
  <c r="AP193" i="49"/>
  <c r="AF193" i="49"/>
  <c r="AE196" i="47"/>
  <c r="T196" i="47"/>
  <c r="AY196" i="47"/>
  <c r="AO196" i="47"/>
  <c r="BA191" i="47"/>
  <c r="V191" i="47"/>
  <c r="AQ191" i="47"/>
  <c r="AG191" i="47"/>
  <c r="AF203" i="24"/>
  <c r="U203" i="24"/>
  <c r="AP203" i="24"/>
  <c r="AZ203" i="24"/>
  <c r="AR198" i="24"/>
  <c r="W198" i="24"/>
  <c r="BB198" i="24"/>
  <c r="AH198" i="24"/>
  <c r="AR192" i="24"/>
  <c r="BB192" i="24"/>
  <c r="AH192" i="24"/>
  <c r="W192" i="24"/>
  <c r="U190" i="24"/>
  <c r="AF190" i="24"/>
  <c r="AZ190" i="24"/>
  <c r="AP190" i="24"/>
  <c r="AE204" i="24"/>
  <c r="AO204" i="24"/>
  <c r="T204" i="24"/>
  <c r="AY204" i="24"/>
  <c r="AY192" i="24"/>
  <c r="AO192" i="24"/>
  <c r="AE192" i="24"/>
  <c r="T192" i="24"/>
  <c r="U184" i="24"/>
  <c r="AP184" i="24"/>
  <c r="AZ184" i="24"/>
  <c r="AF184" i="24"/>
  <c r="U195" i="48"/>
  <c r="AP195" i="48"/>
  <c r="AZ195" i="48"/>
  <c r="AF195" i="48"/>
  <c r="W200" i="48"/>
  <c r="AR200" i="48"/>
  <c r="AH200" i="48"/>
  <c r="BB200" i="48"/>
  <c r="BC197" i="48"/>
  <c r="AI197" i="48"/>
  <c r="X197" i="48"/>
  <c r="AS197" i="48"/>
  <c r="AS185" i="48"/>
  <c r="X185" i="48"/>
  <c r="BC185" i="48"/>
  <c r="AI185" i="48"/>
  <c r="BA201" i="50"/>
  <c r="AQ201" i="50"/>
  <c r="V201" i="50"/>
  <c r="AG201" i="50"/>
  <c r="AS203" i="50"/>
  <c r="X203" i="50"/>
  <c r="AI203" i="50"/>
  <c r="BC203" i="50"/>
  <c r="T197" i="1"/>
  <c r="AO197" i="1"/>
  <c r="AE197" i="1"/>
  <c r="AY197" i="1"/>
  <c r="AG200" i="49"/>
  <c r="AQ200" i="49"/>
  <c r="BA200" i="49"/>
  <c r="V200" i="49"/>
  <c r="AZ191" i="49"/>
  <c r="AF191" i="49"/>
  <c r="AP191" i="49"/>
  <c r="U191" i="49"/>
  <c r="AQ205" i="47"/>
  <c r="V205" i="47"/>
  <c r="AG205" i="47"/>
  <c r="BA205" i="47"/>
  <c r="AQ193" i="47"/>
  <c r="AG193" i="47"/>
  <c r="BA193" i="47"/>
  <c r="V193" i="47"/>
  <c r="AZ184" i="47"/>
  <c r="U184" i="47"/>
  <c r="AP184" i="47"/>
  <c r="AF184" i="47"/>
  <c r="P98" i="73"/>
  <c r="T122" i="72" s="1"/>
  <c r="R56" i="73"/>
  <c r="F133" i="72" s="1"/>
  <c r="BA203" i="24"/>
  <c r="AG203" i="24"/>
  <c r="V203" i="24"/>
  <c r="AQ203" i="24"/>
  <c r="V191" i="24"/>
  <c r="AQ191" i="24"/>
  <c r="AG191" i="24"/>
  <c r="BA191" i="24"/>
  <c r="U189" i="24"/>
  <c r="AF189" i="24"/>
  <c r="AP189" i="24"/>
  <c r="AZ189" i="24"/>
  <c r="Q40" i="73"/>
  <c r="E117" i="72" s="1"/>
  <c r="K117" i="72" s="1"/>
  <c r="AP187" i="24"/>
  <c r="AF187" i="24"/>
  <c r="U187" i="24"/>
  <c r="AZ187" i="24"/>
  <c r="BC198" i="24"/>
  <c r="AS198" i="24"/>
  <c r="AI198" i="24"/>
  <c r="X198" i="24"/>
  <c r="BC186" i="24"/>
  <c r="AS186" i="24"/>
  <c r="AI186" i="24"/>
  <c r="X186" i="24"/>
  <c r="AG193" i="48"/>
  <c r="AQ193" i="48"/>
  <c r="BA193" i="48"/>
  <c r="V193" i="48"/>
  <c r="AQ187" i="48"/>
  <c r="V187" i="48"/>
  <c r="BA187" i="48"/>
  <c r="AG187" i="48"/>
  <c r="W189" i="50"/>
  <c r="AR189" i="50"/>
  <c r="AH189" i="50"/>
  <c r="BB189" i="50"/>
  <c r="P161" i="73"/>
  <c r="T161" i="73" s="1"/>
  <c r="AM132" i="72" s="1"/>
  <c r="AY202" i="50"/>
  <c r="AE202" i="50"/>
  <c r="AO202" i="50"/>
  <c r="T202" i="50"/>
  <c r="AO190" i="50"/>
  <c r="AY190" i="50"/>
  <c r="AE190" i="50"/>
  <c r="T190" i="50"/>
  <c r="AO204" i="1"/>
  <c r="AE204" i="1"/>
  <c r="T204" i="1"/>
  <c r="AY204" i="1"/>
  <c r="W199" i="1"/>
  <c r="AR199" i="1"/>
  <c r="AH199" i="1"/>
  <c r="BB199" i="1"/>
  <c r="BA194" i="1"/>
  <c r="AQ194" i="1"/>
  <c r="AG194" i="1"/>
  <c r="V194" i="1"/>
  <c r="AF189" i="1"/>
  <c r="AP189" i="1"/>
  <c r="U189" i="1"/>
  <c r="AZ189" i="1"/>
  <c r="X185" i="1"/>
  <c r="AS185" i="1"/>
  <c r="BC185" i="1"/>
  <c r="AI185" i="1"/>
  <c r="AR200" i="49"/>
  <c r="W200" i="49"/>
  <c r="AH200" i="49"/>
  <c r="BB200" i="49"/>
  <c r="AR194" i="49"/>
  <c r="BB194" i="49"/>
  <c r="W194" i="49"/>
  <c r="AH194" i="49"/>
  <c r="X201" i="49"/>
  <c r="BC201" i="49"/>
  <c r="AS201" i="49"/>
  <c r="AI201" i="49"/>
  <c r="AF202" i="49"/>
  <c r="AP202" i="49"/>
  <c r="AZ202" i="49"/>
  <c r="U202" i="49"/>
  <c r="AR184" i="49"/>
  <c r="BB184" i="49"/>
  <c r="AH184" i="49"/>
  <c r="W184" i="49"/>
  <c r="AF203" i="47"/>
  <c r="AZ203" i="47"/>
  <c r="AP203" i="47"/>
  <c r="U203" i="47"/>
  <c r="AQ200" i="47"/>
  <c r="BA200" i="47"/>
  <c r="V200" i="47"/>
  <c r="AG200" i="47"/>
  <c r="BA188" i="47"/>
  <c r="V188" i="47"/>
  <c r="AG188" i="47"/>
  <c r="AQ188" i="47"/>
  <c r="S94" i="73"/>
  <c r="W118" i="72" s="1"/>
  <c r="AR202" i="24"/>
  <c r="BB202" i="24"/>
  <c r="W202" i="24"/>
  <c r="AH202" i="24"/>
  <c r="AR196" i="24"/>
  <c r="W196" i="24"/>
  <c r="AH196" i="24"/>
  <c r="BB196" i="24"/>
  <c r="AR190" i="24"/>
  <c r="AH190" i="24"/>
  <c r="BB190" i="24"/>
  <c r="W190" i="24"/>
  <c r="AZ198" i="24"/>
  <c r="AP198" i="24"/>
  <c r="AF198" i="24"/>
  <c r="U198" i="24"/>
  <c r="AZ186" i="24"/>
  <c r="AP186" i="24"/>
  <c r="AF186" i="24"/>
  <c r="U186" i="24"/>
  <c r="AY202" i="24"/>
  <c r="AO202" i="24"/>
  <c r="T202" i="24"/>
  <c r="AE202" i="24"/>
  <c r="T196" i="24"/>
  <c r="AE196" i="24"/>
  <c r="AO196" i="24"/>
  <c r="AY196" i="24"/>
  <c r="AY190" i="24"/>
  <c r="T190" i="24"/>
  <c r="AE190" i="24"/>
  <c r="AO190" i="24"/>
  <c r="AS184" i="24"/>
  <c r="BC184" i="24"/>
  <c r="X184" i="24"/>
  <c r="AI184" i="24"/>
  <c r="AZ203" i="48"/>
  <c r="AF203" i="48"/>
  <c r="U203" i="48"/>
  <c r="AP203" i="48"/>
  <c r="AZ191" i="48"/>
  <c r="AF191" i="48"/>
  <c r="U191" i="48"/>
  <c r="AP191" i="48"/>
  <c r="W204" i="48"/>
  <c r="AH204" i="48"/>
  <c r="BB204" i="48"/>
  <c r="AR204" i="48"/>
  <c r="S104" i="73"/>
  <c r="W128" i="72" s="1"/>
  <c r="W198" i="48"/>
  <c r="AR198" i="48"/>
  <c r="BB198" i="48"/>
  <c r="AH198" i="48"/>
  <c r="S98" i="73"/>
  <c r="W122" i="72" s="1"/>
  <c r="W192" i="48"/>
  <c r="BB192" i="48"/>
  <c r="AH192" i="48"/>
  <c r="AR192" i="48"/>
  <c r="X201" i="48"/>
  <c r="AS201" i="48"/>
  <c r="AI201" i="48"/>
  <c r="BC201" i="48"/>
  <c r="BC190" i="48"/>
  <c r="X190" i="48"/>
  <c r="AS190" i="48"/>
  <c r="AI190" i="48"/>
  <c r="X187" i="48"/>
  <c r="BC187" i="48"/>
  <c r="AS187" i="48"/>
  <c r="AI187" i="48"/>
  <c r="AI184" i="48"/>
  <c r="AS184" i="48"/>
  <c r="X184" i="48"/>
  <c r="BC184" i="48"/>
  <c r="R158" i="73"/>
  <c r="AQ199" i="50"/>
  <c r="V199" i="50"/>
  <c r="BA199" i="50"/>
  <c r="AG199" i="50"/>
  <c r="AF205" i="50"/>
  <c r="AZ205" i="50"/>
  <c r="U205" i="50"/>
  <c r="AP205" i="50"/>
  <c r="AZ193" i="50"/>
  <c r="AF193" i="50"/>
  <c r="U193" i="50"/>
  <c r="AP193" i="50"/>
  <c r="AP185" i="50"/>
  <c r="U185" i="50"/>
  <c r="AF185" i="50"/>
  <c r="AZ185" i="50"/>
  <c r="X201" i="50"/>
  <c r="AS201" i="50"/>
  <c r="BC201" i="50"/>
  <c r="AI201" i="50"/>
  <c r="X195" i="50"/>
  <c r="AS195" i="50"/>
  <c r="BC195" i="50"/>
  <c r="AI195" i="50"/>
  <c r="X189" i="50"/>
  <c r="AS189" i="50"/>
  <c r="AI189" i="50"/>
  <c r="BC189" i="50"/>
  <c r="T184" i="50"/>
  <c r="AO184" i="50"/>
  <c r="AY184" i="50"/>
  <c r="AE184" i="50"/>
  <c r="BA203" i="1"/>
  <c r="V203" i="1"/>
  <c r="AG203" i="1"/>
  <c r="AQ203" i="1"/>
  <c r="AE201" i="1"/>
  <c r="AY201" i="1"/>
  <c r="T201" i="1"/>
  <c r="AO201" i="1"/>
  <c r="U198" i="1"/>
  <c r="AP198" i="1"/>
  <c r="AZ198" i="1"/>
  <c r="AF198" i="1"/>
  <c r="W196" i="1"/>
  <c r="BB196" i="1"/>
  <c r="AR196" i="1"/>
  <c r="AH196" i="1"/>
  <c r="X194" i="1"/>
  <c r="BC194" i="1"/>
  <c r="AI194" i="1"/>
  <c r="AS194" i="1"/>
  <c r="BA191" i="1"/>
  <c r="AQ191" i="1"/>
  <c r="AG191" i="1"/>
  <c r="V191" i="1"/>
  <c r="AY189" i="1"/>
  <c r="T189" i="1"/>
  <c r="AE189" i="1"/>
  <c r="AO189" i="1"/>
  <c r="AP186" i="1"/>
  <c r="U186" i="1"/>
  <c r="AZ186" i="1"/>
  <c r="AF186" i="1"/>
  <c r="W184" i="1"/>
  <c r="BB184" i="1"/>
  <c r="AR184" i="1"/>
  <c r="AH184" i="1"/>
  <c r="V204" i="49"/>
  <c r="AQ204" i="49"/>
  <c r="BA204" i="49"/>
  <c r="AG204" i="49"/>
  <c r="R210" i="73"/>
  <c r="AZ128" i="72" s="1"/>
  <c r="AG198" i="49"/>
  <c r="BA198" i="49"/>
  <c r="AQ198" i="49"/>
  <c r="V198" i="49"/>
  <c r="R204" i="73"/>
  <c r="AZ122" i="72" s="1"/>
  <c r="AG192" i="49"/>
  <c r="V192" i="49"/>
  <c r="AQ192" i="49"/>
  <c r="BA192" i="49"/>
  <c r="T205" i="49"/>
  <c r="AY205" i="49"/>
  <c r="AO205" i="49"/>
  <c r="AE205" i="49"/>
  <c r="P211" i="73"/>
  <c r="AX129" i="72" s="1"/>
  <c r="T199" i="49"/>
  <c r="AE199" i="49"/>
  <c r="AY199" i="49"/>
  <c r="AO199" i="49"/>
  <c r="AY193" i="49"/>
  <c r="AE193" i="49"/>
  <c r="AO193" i="49"/>
  <c r="T193" i="49"/>
  <c r="T187" i="49"/>
  <c r="AY187" i="49"/>
  <c r="AO187" i="49"/>
  <c r="AE187" i="49"/>
  <c r="AF199" i="49"/>
  <c r="AZ199" i="49"/>
  <c r="AP199" i="49"/>
  <c r="U199" i="49"/>
  <c r="AZ187" i="49"/>
  <c r="AP187" i="49"/>
  <c r="AF187" i="49"/>
  <c r="U187" i="49"/>
  <c r="F53" i="73"/>
  <c r="E62" i="72" s="1"/>
  <c r="K62" i="72" s="1"/>
  <c r="AF200" i="47"/>
  <c r="U200" i="47"/>
  <c r="AZ200" i="47"/>
  <c r="AP200" i="47"/>
  <c r="G50" i="73"/>
  <c r="F59" i="72" s="1"/>
  <c r="BA197" i="47"/>
  <c r="AQ197" i="47"/>
  <c r="AG197" i="47"/>
  <c r="V197" i="47"/>
  <c r="T190" i="47"/>
  <c r="AO190" i="47"/>
  <c r="AY190" i="47"/>
  <c r="AE190" i="47"/>
  <c r="AZ188" i="47"/>
  <c r="U188" i="47"/>
  <c r="AP188" i="47"/>
  <c r="AF188" i="47"/>
  <c r="V185" i="47"/>
  <c r="AG185" i="47"/>
  <c r="BA185" i="47"/>
  <c r="AQ185" i="47"/>
  <c r="P57" i="73"/>
  <c r="D134" i="72" s="1"/>
  <c r="BA201" i="24"/>
  <c r="AG201" i="24"/>
  <c r="V201" i="24"/>
  <c r="AQ201" i="24"/>
  <c r="AG195" i="24"/>
  <c r="AQ195" i="24"/>
  <c r="V195" i="24"/>
  <c r="BA195" i="24"/>
  <c r="AQ189" i="24"/>
  <c r="BA189" i="24"/>
  <c r="V189" i="24"/>
  <c r="AG189" i="24"/>
  <c r="AZ197" i="24"/>
  <c r="U197" i="24"/>
  <c r="AP197" i="24"/>
  <c r="AF197" i="24"/>
  <c r="AQ186" i="24"/>
  <c r="BA186" i="24"/>
  <c r="AG186" i="24"/>
  <c r="V186" i="24"/>
  <c r="BC202" i="24"/>
  <c r="AS202" i="24"/>
  <c r="X202" i="24"/>
  <c r="AI202" i="24"/>
  <c r="AS196" i="24"/>
  <c r="AI196" i="24"/>
  <c r="BC196" i="24"/>
  <c r="X196" i="24"/>
  <c r="AS190" i="24"/>
  <c r="BC190" i="24"/>
  <c r="AI190" i="24"/>
  <c r="X190" i="24"/>
  <c r="AP202" i="48"/>
  <c r="AF202" i="48"/>
  <c r="U202" i="48"/>
  <c r="AZ202" i="48"/>
  <c r="AP190" i="48"/>
  <c r="U190" i="48"/>
  <c r="AZ190" i="48"/>
  <c r="AF190" i="48"/>
  <c r="AQ203" i="48"/>
  <c r="BA203" i="48"/>
  <c r="AG203" i="48"/>
  <c r="V203" i="48"/>
  <c r="R103" i="73"/>
  <c r="V127" i="72" s="1"/>
  <c r="BA197" i="48"/>
  <c r="AQ197" i="48"/>
  <c r="AG197" i="48"/>
  <c r="V197" i="48"/>
  <c r="BA191" i="48"/>
  <c r="AG191" i="48"/>
  <c r="AQ191" i="48"/>
  <c r="V191" i="48"/>
  <c r="AO200" i="48"/>
  <c r="T200" i="48"/>
  <c r="AE200" i="48"/>
  <c r="AY200" i="48"/>
  <c r="AO194" i="48"/>
  <c r="AE194" i="48"/>
  <c r="AY194" i="48"/>
  <c r="T194" i="48"/>
  <c r="AQ189" i="48"/>
  <c r="AG189" i="48"/>
  <c r="BA189" i="48"/>
  <c r="V189" i="48"/>
  <c r="AG186" i="48"/>
  <c r="V186" i="48"/>
  <c r="BA186" i="48"/>
  <c r="AQ186" i="48"/>
  <c r="W205" i="50"/>
  <c r="AR205" i="50"/>
  <c r="AH205" i="50"/>
  <c r="BB205" i="50"/>
  <c r="AR199" i="50"/>
  <c r="W199" i="50"/>
  <c r="BB199" i="50"/>
  <c r="AH199" i="50"/>
  <c r="W193" i="50"/>
  <c r="AR193" i="50"/>
  <c r="BB193" i="50"/>
  <c r="AH193" i="50"/>
  <c r="AF204" i="50"/>
  <c r="AP204" i="50"/>
  <c r="AZ204" i="50"/>
  <c r="U204" i="50"/>
  <c r="AF192" i="50"/>
  <c r="AZ192" i="50"/>
  <c r="AP192" i="50"/>
  <c r="U192" i="50"/>
  <c r="BA185" i="50"/>
  <c r="V185" i="50"/>
  <c r="AQ185" i="50"/>
  <c r="AG185" i="50"/>
  <c r="AE200" i="50"/>
  <c r="AY200" i="50"/>
  <c r="AO200" i="50"/>
  <c r="T200" i="50"/>
  <c r="AY194" i="50"/>
  <c r="T194" i="50"/>
  <c r="AE194" i="50"/>
  <c r="AO194" i="50"/>
  <c r="AY188" i="50"/>
  <c r="T188" i="50"/>
  <c r="AE188" i="50"/>
  <c r="AO188" i="50"/>
  <c r="AS184" i="50"/>
  <c r="AI184" i="50"/>
  <c r="BC184" i="50"/>
  <c r="X184" i="50"/>
  <c r="AP205" i="1"/>
  <c r="AZ205" i="1"/>
  <c r="AF205" i="1"/>
  <c r="U205" i="1"/>
  <c r="W203" i="1"/>
  <c r="BB203" i="1"/>
  <c r="AR203" i="1"/>
  <c r="AH203" i="1"/>
  <c r="X201" i="1"/>
  <c r="AI201" i="1"/>
  <c r="BC201" i="1"/>
  <c r="AS201" i="1"/>
  <c r="V198" i="1"/>
  <c r="AQ198" i="1"/>
  <c r="AG198" i="1"/>
  <c r="BA198" i="1"/>
  <c r="T196" i="1"/>
  <c r="AO196" i="1"/>
  <c r="AY196" i="1"/>
  <c r="AE196" i="1"/>
  <c r="AZ193" i="1"/>
  <c r="AP193" i="1"/>
  <c r="AF193" i="1"/>
  <c r="U193" i="1"/>
  <c r="W191" i="1"/>
  <c r="AH191" i="1"/>
  <c r="AR191" i="1"/>
  <c r="BB191" i="1"/>
  <c r="X189" i="1"/>
  <c r="AI189" i="1"/>
  <c r="AS189" i="1"/>
  <c r="BC189" i="1"/>
  <c r="AG186" i="1"/>
  <c r="V186" i="1"/>
  <c r="AQ186" i="1"/>
  <c r="BA186" i="1"/>
  <c r="AO184" i="1"/>
  <c r="AY184" i="1"/>
  <c r="T184" i="1"/>
  <c r="AE184" i="1"/>
  <c r="AR204" i="49"/>
  <c r="AH204" i="49"/>
  <c r="W204" i="49"/>
  <c r="BB204" i="49"/>
  <c r="AR198" i="49"/>
  <c r="AH198" i="49"/>
  <c r="W198" i="49"/>
  <c r="BB198" i="49"/>
  <c r="AR192" i="49"/>
  <c r="BB192" i="49"/>
  <c r="AH192" i="49"/>
  <c r="W192" i="49"/>
  <c r="X205" i="49"/>
  <c r="BC205" i="49"/>
  <c r="AS205" i="49"/>
  <c r="AI205" i="49"/>
  <c r="X199" i="49"/>
  <c r="AI199" i="49"/>
  <c r="BC199" i="49"/>
  <c r="AS199" i="49"/>
  <c r="AI193" i="49"/>
  <c r="BC193" i="49"/>
  <c r="X193" i="49"/>
  <c r="AS193" i="49"/>
  <c r="X187" i="49"/>
  <c r="BC187" i="49"/>
  <c r="AS187" i="49"/>
  <c r="AI187" i="49"/>
  <c r="Q210" i="73"/>
  <c r="AY128" i="72" s="1"/>
  <c r="BE128" i="72" s="1"/>
  <c r="AF198" i="49"/>
  <c r="AP198" i="49"/>
  <c r="AZ198" i="49"/>
  <c r="U198" i="49"/>
  <c r="AP186" i="49"/>
  <c r="U186" i="49"/>
  <c r="AZ186" i="49"/>
  <c r="AF186" i="49"/>
  <c r="AQ204" i="47"/>
  <c r="AG204" i="47"/>
  <c r="V204" i="47"/>
  <c r="BA204" i="47"/>
  <c r="T197" i="47"/>
  <c r="AE197" i="47"/>
  <c r="AO197" i="47"/>
  <c r="AY197" i="47"/>
  <c r="F48" i="73"/>
  <c r="E57" i="72" s="1"/>
  <c r="K57" i="72" s="1"/>
  <c r="U195" i="47"/>
  <c r="AF195" i="47"/>
  <c r="AP195" i="47"/>
  <c r="AZ195" i="47"/>
  <c r="V192" i="47"/>
  <c r="AQ192" i="47"/>
  <c r="BA192" i="47"/>
  <c r="AG192" i="47"/>
  <c r="T185" i="47"/>
  <c r="AE185" i="47"/>
  <c r="AO185" i="47"/>
  <c r="AY185" i="47"/>
  <c r="AI204" i="48"/>
  <c r="AS204" i="48"/>
  <c r="X204" i="48"/>
  <c r="BC204" i="48"/>
  <c r="BA193" i="50"/>
  <c r="AQ193" i="50"/>
  <c r="V193" i="50"/>
  <c r="AG193" i="50"/>
  <c r="P47" i="73"/>
  <c r="T47" i="73" s="1"/>
  <c r="H124" i="72" s="1"/>
  <c r="Q203" i="73"/>
  <c r="AY121" i="72" s="1"/>
  <c r="BG121" i="72" s="1"/>
  <c r="AR201" i="24"/>
  <c r="BB201" i="24"/>
  <c r="W201" i="24"/>
  <c r="AH201" i="24"/>
  <c r="AR195" i="24"/>
  <c r="AH195" i="24"/>
  <c r="BB195" i="24"/>
  <c r="W195" i="24"/>
  <c r="AR189" i="24"/>
  <c r="BB189" i="24"/>
  <c r="AH189" i="24"/>
  <c r="W189" i="24"/>
  <c r="Q49" i="73"/>
  <c r="E126" i="72" s="1"/>
  <c r="K126" i="72" s="1"/>
  <c r="AP196" i="24"/>
  <c r="AF196" i="24"/>
  <c r="AZ196" i="24"/>
  <c r="U196" i="24"/>
  <c r="AR186" i="24"/>
  <c r="W186" i="24"/>
  <c r="AH186" i="24"/>
  <c r="BB186" i="24"/>
  <c r="AY201" i="24"/>
  <c r="AO201" i="24"/>
  <c r="T201" i="24"/>
  <c r="AE201" i="24"/>
  <c r="T195" i="24"/>
  <c r="AE195" i="24"/>
  <c r="AO195" i="24"/>
  <c r="AY195" i="24"/>
  <c r="T189" i="24"/>
  <c r="AE189" i="24"/>
  <c r="AY189" i="24"/>
  <c r="AO189" i="24"/>
  <c r="AP201" i="48"/>
  <c r="U201" i="48"/>
  <c r="AZ201" i="48"/>
  <c r="AF201" i="48"/>
  <c r="AP189" i="48"/>
  <c r="AF189" i="48"/>
  <c r="AZ189" i="48"/>
  <c r="U189" i="48"/>
  <c r="W203" i="48"/>
  <c r="AH203" i="48"/>
  <c r="AR203" i="48"/>
  <c r="BB203" i="48"/>
  <c r="W197" i="48"/>
  <c r="AR197" i="48"/>
  <c r="BB197" i="48"/>
  <c r="AH197" i="48"/>
  <c r="W191" i="48"/>
  <c r="AR191" i="48"/>
  <c r="BB191" i="48"/>
  <c r="AH191" i="48"/>
  <c r="T106" i="73"/>
  <c r="X130" i="72" s="1"/>
  <c r="X200" i="48"/>
  <c r="AS200" i="48"/>
  <c r="BC200" i="48"/>
  <c r="AI200" i="48"/>
  <c r="BC194" i="48"/>
  <c r="AI194" i="48"/>
  <c r="AS194" i="48"/>
  <c r="X194" i="48"/>
  <c r="W189" i="48"/>
  <c r="AH189" i="48"/>
  <c r="AR189" i="48"/>
  <c r="BB189" i="48"/>
  <c r="W186" i="48"/>
  <c r="AR186" i="48"/>
  <c r="BB186" i="48"/>
  <c r="AH186" i="48"/>
  <c r="V204" i="50"/>
  <c r="BA204" i="50"/>
  <c r="AG204" i="50"/>
  <c r="AQ204" i="50"/>
  <c r="BA198" i="50"/>
  <c r="AQ198" i="50"/>
  <c r="AG198" i="50"/>
  <c r="V198" i="50"/>
  <c r="BA192" i="50"/>
  <c r="AQ192" i="50"/>
  <c r="AG192" i="50"/>
  <c r="V192" i="50"/>
  <c r="AP203" i="50"/>
  <c r="AF203" i="50"/>
  <c r="U203" i="50"/>
  <c r="AZ203" i="50"/>
  <c r="AP191" i="50"/>
  <c r="AF191" i="50"/>
  <c r="AZ191" i="50"/>
  <c r="U191" i="50"/>
  <c r="AR185" i="50"/>
  <c r="W185" i="50"/>
  <c r="AH185" i="50"/>
  <c r="BB185" i="50"/>
  <c r="AS200" i="50"/>
  <c r="X200" i="50"/>
  <c r="BC200" i="50"/>
  <c r="AI200" i="50"/>
  <c r="AI194" i="50"/>
  <c r="BC194" i="50"/>
  <c r="AS194" i="50"/>
  <c r="X194" i="50"/>
  <c r="AS188" i="50"/>
  <c r="BC188" i="50"/>
  <c r="X188" i="50"/>
  <c r="AI188" i="50"/>
  <c r="AQ205" i="1"/>
  <c r="V205" i="1"/>
  <c r="AG205" i="1"/>
  <c r="BA205" i="1"/>
  <c r="AY203" i="1"/>
  <c r="AE203" i="1"/>
  <c r="T203" i="1"/>
  <c r="AO203" i="1"/>
  <c r="AZ200" i="1"/>
  <c r="AF200" i="1"/>
  <c r="AP200" i="1"/>
  <c r="U200" i="1"/>
  <c r="W198" i="1"/>
  <c r="BB198" i="1"/>
  <c r="AH198" i="1"/>
  <c r="AR198" i="1"/>
  <c r="X196" i="1"/>
  <c r="AI196" i="1"/>
  <c r="BC196" i="1"/>
  <c r="AS196" i="1"/>
  <c r="AQ193" i="1"/>
  <c r="V193" i="1"/>
  <c r="BA193" i="1"/>
  <c r="AG193" i="1"/>
  <c r="AY191" i="1"/>
  <c r="AE191" i="1"/>
  <c r="AO191" i="1"/>
  <c r="T191" i="1"/>
  <c r="AF188" i="1"/>
  <c r="AP188" i="1"/>
  <c r="AZ188" i="1"/>
  <c r="U188" i="1"/>
  <c r="W186" i="1"/>
  <c r="AR186" i="1"/>
  <c r="AH186" i="1"/>
  <c r="BB186" i="1"/>
  <c r="AS184" i="1"/>
  <c r="X184" i="1"/>
  <c r="AI184" i="1"/>
  <c r="BC184" i="1"/>
  <c r="R215" i="73"/>
  <c r="AZ133" i="72" s="1"/>
  <c r="AQ203" i="49"/>
  <c r="AG203" i="49"/>
  <c r="V203" i="49"/>
  <c r="BA203" i="49"/>
  <c r="AQ197" i="49"/>
  <c r="V197" i="49"/>
  <c r="BA197" i="49"/>
  <c r="AG197" i="49"/>
  <c r="BA191" i="49"/>
  <c r="AQ191" i="49"/>
  <c r="V191" i="49"/>
  <c r="AG191" i="49"/>
  <c r="AY204" i="49"/>
  <c r="T204" i="49"/>
  <c r="AE204" i="49"/>
  <c r="AO204" i="49"/>
  <c r="AY198" i="49"/>
  <c r="T198" i="49"/>
  <c r="AO198" i="49"/>
  <c r="AE198" i="49"/>
  <c r="T192" i="49"/>
  <c r="AO192" i="49"/>
  <c r="AY192" i="49"/>
  <c r="AE192" i="49"/>
  <c r="V186" i="49"/>
  <c r="AG186" i="49"/>
  <c r="AQ186" i="49"/>
  <c r="BA186" i="49"/>
  <c r="AZ197" i="49"/>
  <c r="U197" i="49"/>
  <c r="AP197" i="49"/>
  <c r="AF197" i="49"/>
  <c r="AZ185" i="49"/>
  <c r="AF185" i="49"/>
  <c r="AP185" i="49"/>
  <c r="U185" i="49"/>
  <c r="T204" i="47"/>
  <c r="AY204" i="47"/>
  <c r="AO204" i="47"/>
  <c r="AE204" i="47"/>
  <c r="U202" i="47"/>
  <c r="AF202" i="47"/>
  <c r="AP202" i="47"/>
  <c r="AZ202" i="47"/>
  <c r="AG199" i="47"/>
  <c r="BA199" i="47"/>
  <c r="V199" i="47"/>
  <c r="AQ199" i="47"/>
  <c r="T192" i="47"/>
  <c r="AY192" i="47"/>
  <c r="AE192" i="47"/>
  <c r="AO192" i="47"/>
  <c r="F43" i="73"/>
  <c r="E52" i="72" s="1"/>
  <c r="M52" i="72" s="1"/>
  <c r="AP190" i="47"/>
  <c r="AZ190" i="47"/>
  <c r="AF190" i="47"/>
  <c r="U190" i="47"/>
  <c r="G40" i="73"/>
  <c r="F49" i="72" s="1"/>
  <c r="AQ187" i="47"/>
  <c r="V187" i="47"/>
  <c r="BA187" i="47"/>
  <c r="AG187" i="47"/>
  <c r="AR200" i="24"/>
  <c r="BB200" i="24"/>
  <c r="AH200" i="24"/>
  <c r="W200" i="24"/>
  <c r="AR194" i="24"/>
  <c r="BB194" i="24"/>
  <c r="W194" i="24"/>
  <c r="AH194" i="24"/>
  <c r="AR188" i="24"/>
  <c r="AH188" i="24"/>
  <c r="BB188" i="24"/>
  <c r="W188" i="24"/>
  <c r="AZ194" i="24"/>
  <c r="U194" i="24"/>
  <c r="AF194" i="24"/>
  <c r="AP194" i="24"/>
  <c r="V185" i="24"/>
  <c r="AG185" i="24"/>
  <c r="AQ185" i="24"/>
  <c r="BA185" i="24"/>
  <c r="AE200" i="24"/>
  <c r="AO200" i="24"/>
  <c r="T200" i="24"/>
  <c r="AY200" i="24"/>
  <c r="AE188" i="24"/>
  <c r="T188" i="24"/>
  <c r="AY188" i="24"/>
  <c r="AO188" i="24"/>
  <c r="U199" i="48"/>
  <c r="AF199" i="48"/>
  <c r="AP199" i="48"/>
  <c r="AZ199" i="48"/>
  <c r="U187" i="48"/>
  <c r="AF187" i="48"/>
  <c r="AP187" i="48"/>
  <c r="AZ187" i="48"/>
  <c r="W202" i="48"/>
  <c r="AH202" i="48"/>
  <c r="AR202" i="48"/>
  <c r="BB202" i="48"/>
  <c r="W196" i="48"/>
  <c r="BB196" i="48"/>
  <c r="AR196" i="48"/>
  <c r="AH196" i="48"/>
  <c r="AS199" i="48"/>
  <c r="AI199" i="48"/>
  <c r="BC199" i="48"/>
  <c r="X199" i="48"/>
  <c r="AS193" i="48"/>
  <c r="AI193" i="48"/>
  <c r="BC193" i="48"/>
  <c r="X193" i="48"/>
  <c r="AS189" i="48"/>
  <c r="X189" i="48"/>
  <c r="AI189" i="48"/>
  <c r="BC189" i="48"/>
  <c r="AI186" i="48"/>
  <c r="X186" i="48"/>
  <c r="AS186" i="48"/>
  <c r="BC186" i="48"/>
  <c r="AQ203" i="50"/>
  <c r="BA203" i="50"/>
  <c r="AG203" i="50"/>
  <c r="V203" i="50"/>
  <c r="AQ197" i="50"/>
  <c r="V197" i="50"/>
  <c r="AG197" i="50"/>
  <c r="BA197" i="50"/>
  <c r="AQ191" i="50"/>
  <c r="V191" i="50"/>
  <c r="AG191" i="50"/>
  <c r="BA191" i="50"/>
  <c r="AZ201" i="50"/>
  <c r="AF201" i="50"/>
  <c r="U201" i="50"/>
  <c r="AP201" i="50"/>
  <c r="AF189" i="50"/>
  <c r="AP189" i="50"/>
  <c r="AZ189" i="50"/>
  <c r="U189" i="50"/>
  <c r="X205" i="50"/>
  <c r="AS205" i="50"/>
  <c r="AI205" i="50"/>
  <c r="BC205" i="50"/>
  <c r="X199" i="50"/>
  <c r="AI199" i="50"/>
  <c r="AS199" i="50"/>
  <c r="BC199" i="50"/>
  <c r="X193" i="50"/>
  <c r="AS193" i="50"/>
  <c r="AI193" i="50"/>
  <c r="BC193" i="50"/>
  <c r="X187" i="50"/>
  <c r="AS187" i="50"/>
  <c r="BC187" i="50"/>
  <c r="AI187" i="50"/>
  <c r="AZ202" i="1"/>
  <c r="AP202" i="1"/>
  <c r="U202" i="1"/>
  <c r="AF202" i="1"/>
  <c r="W200" i="1"/>
  <c r="BB200" i="1"/>
  <c r="AR200" i="1"/>
  <c r="AH200" i="1"/>
  <c r="AI198" i="1"/>
  <c r="BC198" i="1"/>
  <c r="AS198" i="1"/>
  <c r="X198" i="1"/>
  <c r="AG195" i="1"/>
  <c r="BA195" i="1"/>
  <c r="AQ195" i="1"/>
  <c r="V195" i="1"/>
  <c r="AE193" i="1"/>
  <c r="T193" i="1"/>
  <c r="AO193" i="1"/>
  <c r="AY193" i="1"/>
  <c r="AZ190" i="1"/>
  <c r="U190" i="1"/>
  <c r="AP190" i="1"/>
  <c r="AF190" i="1"/>
  <c r="W188" i="1"/>
  <c r="AR188" i="1"/>
  <c r="AH188" i="1"/>
  <c r="BB188" i="1"/>
  <c r="AI186" i="1"/>
  <c r="AS186" i="1"/>
  <c r="BC186" i="1"/>
  <c r="X186" i="1"/>
  <c r="AQ202" i="49"/>
  <c r="AG202" i="49"/>
  <c r="V202" i="49"/>
  <c r="BA202" i="49"/>
  <c r="V196" i="49"/>
  <c r="AG196" i="49"/>
  <c r="AQ196" i="49"/>
  <c r="BA196" i="49"/>
  <c r="AQ190" i="49"/>
  <c r="BA190" i="49"/>
  <c r="V190" i="49"/>
  <c r="AG190" i="49"/>
  <c r="T203" i="49"/>
  <c r="AY203" i="49"/>
  <c r="AE203" i="49"/>
  <c r="AO203" i="49"/>
  <c r="T197" i="49"/>
  <c r="AO197" i="49"/>
  <c r="AE197" i="49"/>
  <c r="AY197" i="49"/>
  <c r="AE191" i="49"/>
  <c r="AO191" i="49"/>
  <c r="T191" i="49"/>
  <c r="AY191" i="49"/>
  <c r="T186" i="49"/>
  <c r="AY186" i="49"/>
  <c r="AE186" i="49"/>
  <c r="AO186" i="49"/>
  <c r="AR185" i="49"/>
  <c r="BB185" i="49"/>
  <c r="AH185" i="49"/>
  <c r="W185" i="49"/>
  <c r="AF204" i="47"/>
  <c r="AZ204" i="47"/>
  <c r="U204" i="47"/>
  <c r="AP204" i="47"/>
  <c r="AG201" i="47"/>
  <c r="AQ201" i="47"/>
  <c r="BA201" i="47"/>
  <c r="V201" i="47"/>
  <c r="AY194" i="47"/>
  <c r="AE194" i="47"/>
  <c r="AO194" i="47"/>
  <c r="T194" i="47"/>
  <c r="F45" i="73"/>
  <c r="E54" i="72" s="1"/>
  <c r="K54" i="72" s="1"/>
  <c r="AP192" i="47"/>
  <c r="U192" i="47"/>
  <c r="AZ192" i="47"/>
  <c r="AF192" i="47"/>
  <c r="BA189" i="47"/>
  <c r="AG189" i="47"/>
  <c r="AQ189" i="47"/>
  <c r="V189" i="47"/>
  <c r="BA199" i="24"/>
  <c r="AQ199" i="24"/>
  <c r="AG199" i="24"/>
  <c r="V199" i="24"/>
  <c r="AP198" i="48"/>
  <c r="U198" i="48"/>
  <c r="AF198" i="48"/>
  <c r="AZ198" i="48"/>
  <c r="AE192" i="50"/>
  <c r="AO192" i="50"/>
  <c r="AY192" i="50"/>
  <c r="T192" i="50"/>
  <c r="AO188" i="1"/>
  <c r="T188" i="1"/>
  <c r="AY188" i="1"/>
  <c r="AE188" i="1"/>
  <c r="AY185" i="49"/>
  <c r="AO185" i="49"/>
  <c r="T185" i="49"/>
  <c r="AE185" i="49"/>
  <c r="AR193" i="24"/>
  <c r="W193" i="24"/>
  <c r="AH193" i="24"/>
  <c r="BB193" i="24"/>
  <c r="AO193" i="24"/>
  <c r="T193" i="24"/>
  <c r="AY193" i="24"/>
  <c r="AE193" i="24"/>
  <c r="AP197" i="48"/>
  <c r="AZ197" i="48"/>
  <c r="AF197" i="48"/>
  <c r="U197" i="48"/>
  <c r="W201" i="48"/>
  <c r="AR201" i="48"/>
  <c r="BB201" i="48"/>
  <c r="AH201" i="48"/>
  <c r="BC198" i="48"/>
  <c r="AI198" i="48"/>
  <c r="X198" i="48"/>
  <c r="AS198" i="48"/>
  <c r="X192" i="48"/>
  <c r="BC192" i="48"/>
  <c r="AI192" i="48"/>
  <c r="AS192" i="48"/>
  <c r="W185" i="48"/>
  <c r="AH185" i="48"/>
  <c r="BB185" i="48"/>
  <c r="AR185" i="48"/>
  <c r="AQ202" i="50"/>
  <c r="BA202" i="50"/>
  <c r="AG202" i="50"/>
  <c r="V202" i="50"/>
  <c r="BA190" i="50"/>
  <c r="AG190" i="50"/>
  <c r="AQ190" i="50"/>
  <c r="V190" i="50"/>
  <c r="AZ199" i="50"/>
  <c r="U199" i="50"/>
  <c r="AF199" i="50"/>
  <c r="AP199" i="50"/>
  <c r="AF187" i="50"/>
  <c r="U187" i="50"/>
  <c r="AZ187" i="50"/>
  <c r="AP187" i="50"/>
  <c r="X204" i="50"/>
  <c r="AS204" i="50"/>
  <c r="AI204" i="50"/>
  <c r="BC204" i="50"/>
  <c r="X192" i="50"/>
  <c r="AS192" i="50"/>
  <c r="AI192" i="50"/>
  <c r="BC192" i="50"/>
  <c r="X186" i="50"/>
  <c r="AS186" i="50"/>
  <c r="BC186" i="50"/>
  <c r="AI186" i="50"/>
  <c r="AP204" i="1"/>
  <c r="AZ204" i="1"/>
  <c r="U204" i="1"/>
  <c r="AF204" i="1"/>
  <c r="BC200" i="1"/>
  <c r="AI200" i="1"/>
  <c r="X200" i="1"/>
  <c r="AS200" i="1"/>
  <c r="V197" i="1"/>
  <c r="AQ197" i="1"/>
  <c r="AG197" i="1"/>
  <c r="BA197" i="1"/>
  <c r="T195" i="1"/>
  <c r="AE195" i="1"/>
  <c r="AY195" i="1"/>
  <c r="AO195" i="1"/>
  <c r="AP192" i="1"/>
  <c r="AF192" i="1"/>
  <c r="U192" i="1"/>
  <c r="AZ192" i="1"/>
  <c r="W190" i="1"/>
  <c r="AR190" i="1"/>
  <c r="AH190" i="1"/>
  <c r="BB190" i="1"/>
  <c r="V185" i="1"/>
  <c r="AQ185" i="1"/>
  <c r="BA185" i="1"/>
  <c r="AG185" i="1"/>
  <c r="AQ201" i="49"/>
  <c r="V201" i="49"/>
  <c r="BA201" i="49"/>
  <c r="AG201" i="49"/>
  <c r="V189" i="49"/>
  <c r="BA189" i="49"/>
  <c r="AG189" i="49"/>
  <c r="AQ189" i="49"/>
  <c r="AY196" i="49"/>
  <c r="AO196" i="49"/>
  <c r="AE196" i="49"/>
  <c r="T196" i="49"/>
  <c r="AP205" i="49"/>
  <c r="AZ205" i="49"/>
  <c r="U205" i="49"/>
  <c r="AF205" i="49"/>
  <c r="BC185" i="49"/>
  <c r="AI185" i="49"/>
  <c r="X185" i="49"/>
  <c r="AS185" i="49"/>
  <c r="AQ203" i="47"/>
  <c r="BA203" i="47"/>
  <c r="V203" i="47"/>
  <c r="AG203" i="47"/>
  <c r="AZ194" i="47"/>
  <c r="AP194" i="47"/>
  <c r="U194" i="47"/>
  <c r="AF194" i="47"/>
  <c r="AO184" i="47"/>
  <c r="AY184" i="47"/>
  <c r="AE184" i="47"/>
  <c r="T184" i="47"/>
  <c r="Q147" i="73"/>
  <c r="AJ118" i="72" s="1"/>
  <c r="AP118" i="72" s="1"/>
  <c r="BA204" i="24"/>
  <c r="AG204" i="24"/>
  <c r="V204" i="24"/>
  <c r="AQ204" i="24"/>
  <c r="AQ198" i="24"/>
  <c r="AG198" i="24"/>
  <c r="V198" i="24"/>
  <c r="BA198" i="24"/>
  <c r="BA192" i="24"/>
  <c r="V192" i="24"/>
  <c r="AQ192" i="24"/>
  <c r="AG192" i="24"/>
  <c r="AF191" i="24"/>
  <c r="AP191" i="24"/>
  <c r="U191" i="24"/>
  <c r="AZ191" i="24"/>
  <c r="BC205" i="24"/>
  <c r="AS205" i="24"/>
  <c r="AI205" i="24"/>
  <c r="X205" i="24"/>
  <c r="AS199" i="24"/>
  <c r="BC199" i="24"/>
  <c r="AI199" i="24"/>
  <c r="X199" i="24"/>
  <c r="BC193" i="24"/>
  <c r="AS193" i="24"/>
  <c r="AI193" i="24"/>
  <c r="X193" i="24"/>
  <c r="AS187" i="24"/>
  <c r="BC187" i="24"/>
  <c r="AI187" i="24"/>
  <c r="X187" i="24"/>
  <c r="AS185" i="24"/>
  <c r="BC185" i="24"/>
  <c r="X185" i="24"/>
  <c r="AI185" i="24"/>
  <c r="AZ196" i="48"/>
  <c r="AP196" i="48"/>
  <c r="U196" i="48"/>
  <c r="AF196" i="48"/>
  <c r="AZ184" i="48"/>
  <c r="AP184" i="48"/>
  <c r="U184" i="48"/>
  <c r="AF184" i="48"/>
  <c r="AQ200" i="48"/>
  <c r="AG200" i="48"/>
  <c r="V200" i="48"/>
  <c r="BA200" i="48"/>
  <c r="AG194" i="48"/>
  <c r="BA194" i="48"/>
  <c r="AQ194" i="48"/>
  <c r="V194" i="48"/>
  <c r="AE203" i="48"/>
  <c r="T203" i="48"/>
  <c r="AO203" i="48"/>
  <c r="AY203" i="48"/>
  <c r="AO197" i="48"/>
  <c r="AY197" i="48"/>
  <c r="T197" i="48"/>
  <c r="AE197" i="48"/>
  <c r="AY191" i="48"/>
  <c r="AE191" i="48"/>
  <c r="T191" i="48"/>
  <c r="AO191" i="48"/>
  <c r="AO188" i="48"/>
  <c r="AE188" i="48"/>
  <c r="AY188" i="48"/>
  <c r="T188" i="48"/>
  <c r="AY185" i="48"/>
  <c r="AO185" i="48"/>
  <c r="T185" i="48"/>
  <c r="AE185" i="48"/>
  <c r="W202" i="50"/>
  <c r="AR202" i="50"/>
  <c r="BB202" i="50"/>
  <c r="AH202" i="50"/>
  <c r="W196" i="50"/>
  <c r="AR196" i="50"/>
  <c r="AH196" i="50"/>
  <c r="BB196" i="50"/>
  <c r="W190" i="50"/>
  <c r="AR190" i="50"/>
  <c r="BB190" i="50"/>
  <c r="AH190" i="50"/>
  <c r="Q157" i="73"/>
  <c r="AJ128" i="72" s="1"/>
  <c r="AP128" i="72" s="1"/>
  <c r="AF198" i="50"/>
  <c r="AZ198" i="50"/>
  <c r="U198" i="50"/>
  <c r="AP198" i="50"/>
  <c r="R146" i="73"/>
  <c r="AK117" i="72" s="1"/>
  <c r="BA187" i="50"/>
  <c r="AQ187" i="50"/>
  <c r="V187" i="50"/>
  <c r="AG187" i="50"/>
  <c r="P162" i="73"/>
  <c r="AI133" i="72" s="1"/>
  <c r="AO203" i="50"/>
  <c r="T203" i="50"/>
  <c r="AE203" i="50"/>
  <c r="AY203" i="50"/>
  <c r="AO197" i="50"/>
  <c r="AE197" i="50"/>
  <c r="AY197" i="50"/>
  <c r="T197" i="50"/>
  <c r="T191" i="50"/>
  <c r="AE191" i="50"/>
  <c r="AY191" i="50"/>
  <c r="AO191" i="50"/>
  <c r="AY185" i="50"/>
  <c r="AE185" i="50"/>
  <c r="AO185" i="50"/>
  <c r="T185" i="50"/>
  <c r="AG204" i="1"/>
  <c r="BA204" i="1"/>
  <c r="V204" i="1"/>
  <c r="AQ204" i="1"/>
  <c r="T202" i="1"/>
  <c r="AO202" i="1"/>
  <c r="AY202" i="1"/>
  <c r="AE202" i="1"/>
  <c r="AZ199" i="1"/>
  <c r="U199" i="1"/>
  <c r="AF199" i="1"/>
  <c r="AP199" i="1"/>
  <c r="W197" i="1"/>
  <c r="BB197" i="1"/>
  <c r="AH197" i="1"/>
  <c r="AR197" i="1"/>
  <c r="AS195" i="1"/>
  <c r="AI195" i="1"/>
  <c r="X195" i="1"/>
  <c r="BC195" i="1"/>
  <c r="AG192" i="1"/>
  <c r="AQ192" i="1"/>
  <c r="BA192" i="1"/>
  <c r="V192" i="1"/>
  <c r="T190" i="1"/>
  <c r="AE190" i="1"/>
  <c r="AY190" i="1"/>
  <c r="AO190" i="1"/>
  <c r="AP187" i="1"/>
  <c r="U187" i="1"/>
  <c r="AZ187" i="1"/>
  <c r="AF187" i="1"/>
  <c r="W185" i="1"/>
  <c r="AH185" i="1"/>
  <c r="BB185" i="1"/>
  <c r="AR185" i="1"/>
  <c r="AR201" i="49"/>
  <c r="AH201" i="49"/>
  <c r="BB201" i="49"/>
  <c r="W201" i="49"/>
  <c r="AR195" i="49"/>
  <c r="AH195" i="49"/>
  <c r="BB195" i="49"/>
  <c r="W195" i="49"/>
  <c r="AR189" i="49"/>
  <c r="W189" i="49"/>
  <c r="BB189" i="49"/>
  <c r="AH189" i="49"/>
  <c r="BC202" i="49"/>
  <c r="X202" i="49"/>
  <c r="AI202" i="49"/>
  <c r="AS202" i="49"/>
  <c r="AI196" i="49"/>
  <c r="BC196" i="49"/>
  <c r="X196" i="49"/>
  <c r="AS196" i="49"/>
  <c r="BC190" i="49"/>
  <c r="X190" i="49"/>
  <c r="AS190" i="49"/>
  <c r="AI190" i="49"/>
  <c r="AP204" i="49"/>
  <c r="AZ204" i="49"/>
  <c r="AF204" i="49"/>
  <c r="U204" i="49"/>
  <c r="AZ192" i="49"/>
  <c r="U192" i="49"/>
  <c r="AF192" i="49"/>
  <c r="AP192" i="49"/>
  <c r="AP184" i="49"/>
  <c r="U184" i="49"/>
  <c r="AF184" i="49"/>
  <c r="AZ184" i="49"/>
  <c r="AO203" i="47"/>
  <c r="AY203" i="47"/>
  <c r="AE203" i="47"/>
  <c r="T203" i="47"/>
  <c r="AZ201" i="47"/>
  <c r="U201" i="47"/>
  <c r="AP201" i="47"/>
  <c r="AF201" i="47"/>
  <c r="AG198" i="47"/>
  <c r="AQ198" i="47"/>
  <c r="V198" i="47"/>
  <c r="BA198" i="47"/>
  <c r="AY191" i="47"/>
  <c r="AE191" i="47"/>
  <c r="T191" i="47"/>
  <c r="AO191" i="47"/>
  <c r="AF189" i="47"/>
  <c r="AZ189" i="47"/>
  <c r="AP189" i="47"/>
  <c r="U189" i="47"/>
  <c r="AG186" i="47"/>
  <c r="AQ186" i="47"/>
  <c r="V186" i="47"/>
  <c r="BA186" i="47"/>
  <c r="T98" i="73"/>
  <c r="X122" i="72" s="1"/>
  <c r="P151" i="73"/>
  <c r="AI122" i="72" s="1"/>
  <c r="AR204" i="24"/>
  <c r="AH204" i="24"/>
  <c r="W204" i="24"/>
  <c r="BB204" i="24"/>
  <c r="U202" i="24"/>
  <c r="AP202" i="24"/>
  <c r="AZ202" i="24"/>
  <c r="AF202" i="24"/>
  <c r="AY198" i="24"/>
  <c r="T198" i="24"/>
  <c r="AO198" i="24"/>
  <c r="AE198" i="24"/>
  <c r="AO186" i="24"/>
  <c r="AE186" i="24"/>
  <c r="AY186" i="24"/>
  <c r="T186" i="24"/>
  <c r="W194" i="48"/>
  <c r="BB194" i="48"/>
  <c r="AH194" i="48"/>
  <c r="AR194" i="48"/>
  <c r="BC203" i="48"/>
  <c r="X203" i="48"/>
  <c r="AS203" i="48"/>
  <c r="AI203" i="48"/>
  <c r="BC191" i="48"/>
  <c r="AI191" i="48"/>
  <c r="X191" i="48"/>
  <c r="AS191" i="48"/>
  <c r="T94" i="73"/>
  <c r="X118" i="72" s="1"/>
  <c r="BC188" i="48"/>
  <c r="X188" i="48"/>
  <c r="AI188" i="48"/>
  <c r="AS188" i="48"/>
  <c r="BA195" i="50"/>
  <c r="AQ195" i="50"/>
  <c r="AG195" i="50"/>
  <c r="V195" i="50"/>
  <c r="R148" i="73"/>
  <c r="AQ189" i="50"/>
  <c r="V189" i="50"/>
  <c r="BA189" i="50"/>
  <c r="AG189" i="50"/>
  <c r="Q156" i="73"/>
  <c r="AJ127" i="72" s="1"/>
  <c r="AR127" i="72" s="1"/>
  <c r="U197" i="50"/>
  <c r="AF197" i="50"/>
  <c r="AZ197" i="50"/>
  <c r="AP197" i="50"/>
  <c r="AR187" i="50"/>
  <c r="W187" i="50"/>
  <c r="AH187" i="50"/>
  <c r="BB187" i="50"/>
  <c r="X197" i="50"/>
  <c r="AS197" i="50"/>
  <c r="AI197" i="50"/>
  <c r="BC197" i="50"/>
  <c r="AS191" i="50"/>
  <c r="BC191" i="50"/>
  <c r="AI191" i="50"/>
  <c r="X191" i="50"/>
  <c r="AS185" i="50"/>
  <c r="AI185" i="50"/>
  <c r="X185" i="50"/>
  <c r="BC185" i="50"/>
  <c r="W204" i="1"/>
  <c r="AH204" i="1"/>
  <c r="BB204" i="1"/>
  <c r="AR204" i="1"/>
  <c r="BC202" i="1"/>
  <c r="AI202" i="1"/>
  <c r="X202" i="1"/>
  <c r="AS202" i="1"/>
  <c r="AG199" i="1"/>
  <c r="V199" i="1"/>
  <c r="BA199" i="1"/>
  <c r="AQ199" i="1"/>
  <c r="AZ194" i="1"/>
  <c r="AP194" i="1"/>
  <c r="AF194" i="1"/>
  <c r="U194" i="1"/>
  <c r="W192" i="1"/>
  <c r="BB192" i="1"/>
  <c r="AR192" i="1"/>
  <c r="AH192" i="1"/>
  <c r="X190" i="1"/>
  <c r="BC190" i="1"/>
  <c r="AS190" i="1"/>
  <c r="AI190" i="1"/>
  <c r="V187" i="1"/>
  <c r="AQ187" i="1"/>
  <c r="AG187" i="1"/>
  <c r="BA187" i="1"/>
  <c r="AY185" i="1"/>
  <c r="AO185" i="1"/>
  <c r="T185" i="1"/>
  <c r="AE185" i="1"/>
  <c r="AG194" i="49"/>
  <c r="BA194" i="49"/>
  <c r="V194" i="49"/>
  <c r="AQ194" i="49"/>
  <c r="BA188" i="49"/>
  <c r="AQ188" i="49"/>
  <c r="V188" i="49"/>
  <c r="AG188" i="49"/>
  <c r="T201" i="49"/>
  <c r="AE201" i="49"/>
  <c r="AO201" i="49"/>
  <c r="AY201" i="49"/>
  <c r="AE195" i="49"/>
  <c r="AO195" i="49"/>
  <c r="AY195" i="49"/>
  <c r="T195" i="49"/>
  <c r="AO189" i="49"/>
  <c r="T189" i="49"/>
  <c r="AE189" i="49"/>
  <c r="AY189" i="49"/>
  <c r="AF203" i="49"/>
  <c r="AZ203" i="49"/>
  <c r="U203" i="49"/>
  <c r="AP203" i="49"/>
  <c r="AQ184" i="49"/>
  <c r="AG184" i="49"/>
  <c r="BA184" i="49"/>
  <c r="V184" i="49"/>
  <c r="T198" i="47"/>
  <c r="AE198" i="47"/>
  <c r="AO198" i="47"/>
  <c r="AY198" i="47"/>
  <c r="U196" i="47"/>
  <c r="AZ196" i="47"/>
  <c r="AF196" i="47"/>
  <c r="AP196" i="47"/>
  <c r="T186" i="47"/>
  <c r="AY186" i="47"/>
  <c r="AE186" i="47"/>
  <c r="AO186" i="47"/>
  <c r="AQ197" i="24"/>
  <c r="V197" i="24"/>
  <c r="BA197" i="24"/>
  <c r="AG197" i="24"/>
  <c r="U201" i="24"/>
  <c r="AP201" i="24"/>
  <c r="AF201" i="24"/>
  <c r="AZ201" i="24"/>
  <c r="AS192" i="24"/>
  <c r="BC192" i="24"/>
  <c r="X192" i="24"/>
  <c r="AI192" i="24"/>
  <c r="V184" i="24"/>
  <c r="AG184" i="24"/>
  <c r="AQ184" i="24"/>
  <c r="BA184" i="24"/>
  <c r="AP194" i="48"/>
  <c r="AZ194" i="48"/>
  <c r="AF194" i="48"/>
  <c r="U194" i="48"/>
  <c r="AG205" i="48"/>
  <c r="BA205" i="48"/>
  <c r="V205" i="48"/>
  <c r="AQ205" i="48"/>
  <c r="V199" i="48"/>
  <c r="AG199" i="48"/>
  <c r="AQ199" i="48"/>
  <c r="BA199" i="48"/>
  <c r="AE202" i="48"/>
  <c r="AY202" i="48"/>
  <c r="AO202" i="48"/>
  <c r="T202" i="48"/>
  <c r="AE196" i="48"/>
  <c r="AY196" i="48"/>
  <c r="T196" i="48"/>
  <c r="AO196" i="48"/>
  <c r="AG190" i="48"/>
  <c r="V190" i="48"/>
  <c r="AQ190" i="48"/>
  <c r="BA190" i="48"/>
  <c r="BA184" i="48"/>
  <c r="V184" i="48"/>
  <c r="AQ184" i="48"/>
  <c r="AG184" i="48"/>
  <c r="W201" i="50"/>
  <c r="AR201" i="50"/>
  <c r="AH201" i="50"/>
  <c r="BB201" i="50"/>
  <c r="AR195" i="50"/>
  <c r="W195" i="50"/>
  <c r="AH195" i="50"/>
  <c r="BB195" i="50"/>
  <c r="Q155" i="73"/>
  <c r="AJ126" i="72" s="1"/>
  <c r="AR126" i="72" s="1"/>
  <c r="AF196" i="50"/>
  <c r="AZ196" i="50"/>
  <c r="AP196" i="50"/>
  <c r="U196" i="50"/>
  <c r="Q145" i="73"/>
  <c r="AJ116" i="72" s="1"/>
  <c r="AP116" i="72" s="1"/>
  <c r="AF186" i="50"/>
  <c r="AZ186" i="50"/>
  <c r="U186" i="50"/>
  <c r="AP186" i="50"/>
  <c r="AO196" i="50"/>
  <c r="AY196" i="50"/>
  <c r="AE196" i="50"/>
  <c r="T196" i="50"/>
  <c r="Q143" i="73"/>
  <c r="AJ114" i="72" s="1"/>
  <c r="AP114" i="72" s="1"/>
  <c r="AF184" i="50"/>
  <c r="AP184" i="50"/>
  <c r="U184" i="50"/>
  <c r="AZ184" i="50"/>
  <c r="AP201" i="1"/>
  <c r="AZ201" i="1"/>
  <c r="U201" i="1"/>
  <c r="AF201" i="1"/>
  <c r="X197" i="1"/>
  <c r="AI197" i="1"/>
  <c r="BC197" i="1"/>
  <c r="AS197" i="1"/>
  <c r="AY192" i="1"/>
  <c r="AE192" i="1"/>
  <c r="AO192" i="1"/>
  <c r="T192" i="1"/>
  <c r="W187" i="1"/>
  <c r="AH187" i="1"/>
  <c r="AR187" i="1"/>
  <c r="BB187" i="1"/>
  <c r="AR188" i="49"/>
  <c r="BB188" i="49"/>
  <c r="W188" i="49"/>
  <c r="AH188" i="49"/>
  <c r="X195" i="49"/>
  <c r="BC195" i="49"/>
  <c r="AS195" i="49"/>
  <c r="AI195" i="49"/>
  <c r="BC189" i="49"/>
  <c r="AI189" i="49"/>
  <c r="AS189" i="49"/>
  <c r="X189" i="49"/>
  <c r="AP190" i="49"/>
  <c r="AZ190" i="49"/>
  <c r="AF190" i="49"/>
  <c r="U190" i="49"/>
  <c r="AY205" i="47"/>
  <c r="AE205" i="47"/>
  <c r="AO205" i="47"/>
  <c r="T205" i="47"/>
  <c r="AY193" i="47"/>
  <c r="AE193" i="47"/>
  <c r="T193" i="47"/>
  <c r="AO193" i="47"/>
  <c r="U191" i="47"/>
  <c r="AP191" i="47"/>
  <c r="AZ191" i="47"/>
  <c r="AF191" i="47"/>
  <c r="W193" i="48"/>
  <c r="BB193" i="48"/>
  <c r="AR193" i="48"/>
  <c r="AH193" i="48"/>
  <c r="U198" i="47"/>
  <c r="AZ198" i="47"/>
  <c r="AF198" i="47"/>
  <c r="AP198" i="47"/>
  <c r="Q37" i="73"/>
  <c r="E114" i="72" s="1"/>
  <c r="K114" i="72" s="1"/>
  <c r="Q104" i="73"/>
  <c r="U128" i="72" s="1"/>
  <c r="AI195" i="48"/>
  <c r="AS195" i="48"/>
  <c r="X195" i="48"/>
  <c r="BC195" i="48"/>
  <c r="AG205" i="50"/>
  <c r="BA205" i="50"/>
  <c r="AQ205" i="50"/>
  <c r="V205" i="50"/>
  <c r="AO202" i="47"/>
  <c r="T202" i="47"/>
  <c r="AE202" i="47"/>
  <c r="AY202" i="47"/>
  <c r="P46" i="73"/>
  <c r="T90" i="73"/>
  <c r="X114" i="72" s="1"/>
  <c r="AG200" i="24"/>
  <c r="V200" i="24"/>
  <c r="AQ200" i="24"/>
  <c r="BA200" i="24"/>
  <c r="V194" i="24"/>
  <c r="AQ194" i="24"/>
  <c r="AG194" i="24"/>
  <c r="BA194" i="24"/>
  <c r="R41" i="73"/>
  <c r="F118" i="72" s="1"/>
  <c r="AG188" i="24"/>
  <c r="V188" i="24"/>
  <c r="BA188" i="24"/>
  <c r="AQ188" i="24"/>
  <c r="Q48" i="73"/>
  <c r="E125" i="72" s="1"/>
  <c r="M125" i="72" s="1"/>
  <c r="AZ195" i="24"/>
  <c r="AF195" i="24"/>
  <c r="AP195" i="24"/>
  <c r="U195" i="24"/>
  <c r="AZ185" i="24"/>
  <c r="U185" i="24"/>
  <c r="AF185" i="24"/>
  <c r="AP185" i="24"/>
  <c r="BC201" i="24"/>
  <c r="AS201" i="24"/>
  <c r="AI201" i="24"/>
  <c r="X201" i="24"/>
  <c r="BC195" i="24"/>
  <c r="AS195" i="24"/>
  <c r="X195" i="24"/>
  <c r="AI195" i="24"/>
  <c r="AS189" i="24"/>
  <c r="BC189" i="24"/>
  <c r="AI189" i="24"/>
  <c r="X189" i="24"/>
  <c r="AP200" i="48"/>
  <c r="AZ200" i="48"/>
  <c r="AF200" i="48"/>
  <c r="U200" i="48"/>
  <c r="AP188" i="48"/>
  <c r="U188" i="48"/>
  <c r="AF188" i="48"/>
  <c r="AZ188" i="48"/>
  <c r="AG202" i="48"/>
  <c r="V202" i="48"/>
  <c r="AQ202" i="48"/>
  <c r="BA202" i="48"/>
  <c r="R102" i="73"/>
  <c r="V126" i="72" s="1"/>
  <c r="V196" i="48"/>
  <c r="AG196" i="48"/>
  <c r="BA196" i="48"/>
  <c r="AQ196" i="48"/>
  <c r="AE205" i="48"/>
  <c r="T205" i="48"/>
  <c r="AY205" i="48"/>
  <c r="AO205" i="48"/>
  <c r="AE199" i="48"/>
  <c r="T199" i="48"/>
  <c r="AY199" i="48"/>
  <c r="AO199" i="48"/>
  <c r="AE193" i="48"/>
  <c r="T193" i="48"/>
  <c r="AO193" i="48"/>
  <c r="AY193" i="48"/>
  <c r="AO189" i="48"/>
  <c r="T189" i="48"/>
  <c r="AE189" i="48"/>
  <c r="AY189" i="48"/>
  <c r="P92" i="73"/>
  <c r="T116" i="72" s="1"/>
  <c r="AO186" i="48"/>
  <c r="AY186" i="48"/>
  <c r="T186" i="48"/>
  <c r="AE186" i="48"/>
  <c r="AR204" i="50"/>
  <c r="W204" i="50"/>
  <c r="AH204" i="50"/>
  <c r="BB204" i="50"/>
  <c r="W198" i="50"/>
  <c r="AR198" i="50"/>
  <c r="BB198" i="50"/>
  <c r="AH198" i="50"/>
  <c r="AR192" i="50"/>
  <c r="W192" i="50"/>
  <c r="AH192" i="50"/>
  <c r="BB192" i="50"/>
  <c r="AZ202" i="50"/>
  <c r="U202" i="50"/>
  <c r="AP202" i="50"/>
  <c r="AF202" i="50"/>
  <c r="AF190" i="50"/>
  <c r="AP190" i="50"/>
  <c r="AZ190" i="50"/>
  <c r="U190" i="50"/>
  <c r="AE205" i="50"/>
  <c r="T205" i="50"/>
  <c r="AO205" i="50"/>
  <c r="AY205" i="50"/>
  <c r="AO199" i="50"/>
  <c r="AE199" i="50"/>
  <c r="T199" i="50"/>
  <c r="AY199" i="50"/>
  <c r="AY193" i="50"/>
  <c r="T193" i="50"/>
  <c r="AO193" i="50"/>
  <c r="AE193" i="50"/>
  <c r="AE187" i="50"/>
  <c r="AO187" i="50"/>
  <c r="AY187" i="50"/>
  <c r="T187" i="50"/>
  <c r="W205" i="1"/>
  <c r="AH205" i="1"/>
  <c r="AR205" i="1"/>
  <c r="BB205" i="1"/>
  <c r="AI203" i="1"/>
  <c r="X203" i="1"/>
  <c r="BC203" i="1"/>
  <c r="AS203" i="1"/>
  <c r="BA200" i="1"/>
  <c r="AG200" i="1"/>
  <c r="V200" i="1"/>
  <c r="AQ200" i="1"/>
  <c r="AE198" i="1"/>
  <c r="AY198" i="1"/>
  <c r="AO198" i="1"/>
  <c r="T198" i="1"/>
  <c r="AP195" i="1"/>
  <c r="U195" i="1"/>
  <c r="AF195" i="1"/>
  <c r="AZ195" i="1"/>
  <c r="W193" i="1"/>
  <c r="AH193" i="1"/>
  <c r="BB193" i="1"/>
  <c r="AR193" i="1"/>
  <c r="X191" i="1"/>
  <c r="AS191" i="1"/>
  <c r="AI191" i="1"/>
  <c r="BC191" i="1"/>
  <c r="BA188" i="1"/>
  <c r="V188" i="1"/>
  <c r="AG188" i="1"/>
  <c r="AQ188" i="1"/>
  <c r="AO186" i="1"/>
  <c r="T186" i="1"/>
  <c r="AE186" i="1"/>
  <c r="AY186" i="1"/>
  <c r="AR203" i="49"/>
  <c r="BB203" i="49"/>
  <c r="W203" i="49"/>
  <c r="AH203" i="49"/>
  <c r="AR197" i="49"/>
  <c r="BB197" i="49"/>
  <c r="AH197" i="49"/>
  <c r="W197" i="49"/>
  <c r="AR191" i="49"/>
  <c r="W191" i="49"/>
  <c r="BB191" i="49"/>
  <c r="AH191" i="49"/>
  <c r="BC204" i="49"/>
  <c r="AS204" i="49"/>
  <c r="AI204" i="49"/>
  <c r="X204" i="49"/>
  <c r="BC198" i="49"/>
  <c r="AI198" i="49"/>
  <c r="X198" i="49"/>
  <c r="AS198" i="49"/>
  <c r="BC192" i="49"/>
  <c r="AI192" i="49"/>
  <c r="AS192" i="49"/>
  <c r="X192" i="49"/>
  <c r="AR186" i="49"/>
  <c r="BB186" i="49"/>
  <c r="AH186" i="49"/>
  <c r="W186" i="49"/>
  <c r="AP196" i="49"/>
  <c r="U196" i="49"/>
  <c r="AF196" i="49"/>
  <c r="AZ196" i="49"/>
  <c r="AQ185" i="49"/>
  <c r="AG185" i="49"/>
  <c r="BA185" i="49"/>
  <c r="V185" i="49"/>
  <c r="AY199" i="47"/>
  <c r="AO199" i="47"/>
  <c r="AE199" i="47"/>
  <c r="T199" i="47"/>
  <c r="AF197" i="47"/>
  <c r="U197" i="47"/>
  <c r="AZ197" i="47"/>
  <c r="AP197" i="47"/>
  <c r="V194" i="47"/>
  <c r="AQ194" i="47"/>
  <c r="AG194" i="47"/>
  <c r="BA194" i="47"/>
  <c r="E40" i="73"/>
  <c r="I40" i="73" s="1"/>
  <c r="H49" i="72" s="1"/>
  <c r="AO187" i="47"/>
  <c r="T187" i="47"/>
  <c r="AY187" i="47"/>
  <c r="AE187" i="47"/>
  <c r="F38" i="73"/>
  <c r="E47" i="72" s="1"/>
  <c r="M47" i="72" s="1"/>
  <c r="AP185" i="47"/>
  <c r="AZ185" i="47"/>
  <c r="AF185" i="47"/>
  <c r="U185" i="47"/>
  <c r="AR177" i="24"/>
  <c r="W177" i="24"/>
  <c r="BB177" i="24"/>
  <c r="AH177" i="24"/>
  <c r="AR171" i="24"/>
  <c r="W171" i="24"/>
  <c r="AH171" i="24"/>
  <c r="BB171" i="24"/>
  <c r="AR159" i="24"/>
  <c r="AH159" i="24"/>
  <c r="BB159" i="24"/>
  <c r="W159" i="24"/>
  <c r="AZ174" i="24"/>
  <c r="AP174" i="24"/>
  <c r="AF174" i="24"/>
  <c r="U174" i="24"/>
  <c r="P29" i="73"/>
  <c r="T29" i="73" s="1"/>
  <c r="H106" i="72" s="1"/>
  <c r="AO176" i="24"/>
  <c r="T176" i="24"/>
  <c r="AE176" i="24"/>
  <c r="AY176" i="24"/>
  <c r="T170" i="24"/>
  <c r="AE170" i="24"/>
  <c r="AY170" i="24"/>
  <c r="AO170" i="24"/>
  <c r="AO164" i="24"/>
  <c r="T164" i="24"/>
  <c r="AE164" i="24"/>
  <c r="AY164" i="24"/>
  <c r="T158" i="24"/>
  <c r="AO158" i="24"/>
  <c r="AE158" i="24"/>
  <c r="AY158" i="24"/>
  <c r="P11" i="73"/>
  <c r="D88" i="72" s="1"/>
  <c r="AP175" i="48"/>
  <c r="AF175" i="48"/>
  <c r="AZ175" i="48"/>
  <c r="U175" i="48"/>
  <c r="U163" i="48"/>
  <c r="AP163" i="48"/>
  <c r="AF163" i="48"/>
  <c r="AZ163" i="48"/>
  <c r="AS179" i="48"/>
  <c r="BC179" i="48"/>
  <c r="AI179" i="48"/>
  <c r="X179" i="48"/>
  <c r="BC176" i="48"/>
  <c r="AS176" i="48"/>
  <c r="X176" i="48"/>
  <c r="AI176" i="48"/>
  <c r="X173" i="48"/>
  <c r="BC173" i="48"/>
  <c r="AS173" i="48"/>
  <c r="AI173" i="48"/>
  <c r="BC170" i="48"/>
  <c r="AI170" i="48"/>
  <c r="X170" i="48"/>
  <c r="AS170" i="48"/>
  <c r="BC167" i="48"/>
  <c r="X167" i="48"/>
  <c r="AS167" i="48"/>
  <c r="AI167" i="48"/>
  <c r="X164" i="48"/>
  <c r="AI164" i="48"/>
  <c r="BC164" i="48"/>
  <c r="AS164" i="48"/>
  <c r="AI158" i="48"/>
  <c r="BC158" i="48"/>
  <c r="X158" i="48"/>
  <c r="AS158" i="48"/>
  <c r="AR179" i="50"/>
  <c r="W179" i="50"/>
  <c r="BB179" i="50"/>
  <c r="AH179" i="50"/>
  <c r="X177" i="50"/>
  <c r="AI177" i="50"/>
  <c r="BC177" i="50"/>
  <c r="AS177" i="50"/>
  <c r="R133" i="73"/>
  <c r="BA174" i="50"/>
  <c r="V174" i="50"/>
  <c r="AG174" i="50"/>
  <c r="AQ174" i="50"/>
  <c r="AO172" i="50"/>
  <c r="AE172" i="50"/>
  <c r="T172" i="50"/>
  <c r="AY172" i="50"/>
  <c r="AF169" i="50"/>
  <c r="U169" i="50"/>
  <c r="AZ169" i="50"/>
  <c r="AP169" i="50"/>
  <c r="Q128" i="73"/>
  <c r="AJ99" i="72" s="1"/>
  <c r="AR167" i="50"/>
  <c r="W167" i="50"/>
  <c r="AH167" i="50"/>
  <c r="BB167" i="50"/>
  <c r="AS165" i="50"/>
  <c r="X165" i="50"/>
  <c r="BC165" i="50"/>
  <c r="AI165" i="50"/>
  <c r="AQ162" i="50"/>
  <c r="V162" i="50"/>
  <c r="BA162" i="50"/>
  <c r="AG162" i="50"/>
  <c r="R121" i="73"/>
  <c r="AK92" i="72" s="1"/>
  <c r="AO160" i="50"/>
  <c r="AY160" i="50"/>
  <c r="AE160" i="50"/>
  <c r="T160" i="50"/>
  <c r="P119" i="73"/>
  <c r="AI90" i="72" s="1"/>
  <c r="V179" i="1"/>
  <c r="BA179" i="1"/>
  <c r="AG179" i="1"/>
  <c r="AQ179" i="1"/>
  <c r="G85" i="73"/>
  <c r="H85" i="73" s="1"/>
  <c r="W41" i="72" s="1"/>
  <c r="AE177" i="1"/>
  <c r="T177" i="1"/>
  <c r="AO177" i="1"/>
  <c r="AY177" i="1"/>
  <c r="AZ174" i="1"/>
  <c r="U174" i="1"/>
  <c r="AF174" i="1"/>
  <c r="AP174" i="1"/>
  <c r="W172" i="1"/>
  <c r="AR172" i="1"/>
  <c r="BB172" i="1"/>
  <c r="AH172" i="1"/>
  <c r="BC170" i="1"/>
  <c r="X170" i="1"/>
  <c r="AS170" i="1"/>
  <c r="AI170" i="1"/>
  <c r="AG167" i="1"/>
  <c r="BA167" i="1"/>
  <c r="V167" i="1"/>
  <c r="AQ167" i="1"/>
  <c r="AE165" i="1"/>
  <c r="AY165" i="1"/>
  <c r="AO165" i="1"/>
  <c r="T165" i="1"/>
  <c r="E71" i="73"/>
  <c r="F68" i="73"/>
  <c r="U24" i="72" s="1"/>
  <c r="AA24" i="72" s="1"/>
  <c r="AF162" i="1"/>
  <c r="U162" i="1"/>
  <c r="AP162" i="1"/>
  <c r="AZ162" i="1"/>
  <c r="AI158" i="1"/>
  <c r="BC158" i="1"/>
  <c r="X158" i="1"/>
  <c r="AS158" i="1"/>
  <c r="BC179" i="49"/>
  <c r="X179" i="49"/>
  <c r="AS179" i="49"/>
  <c r="AI179" i="49"/>
  <c r="T191" i="73"/>
  <c r="BB109" i="72" s="1"/>
  <c r="AG176" i="49"/>
  <c r="BA176" i="49"/>
  <c r="V176" i="49"/>
  <c r="AQ176" i="49"/>
  <c r="R188" i="73"/>
  <c r="AZ106" i="72" s="1"/>
  <c r="AY174" i="49"/>
  <c r="T174" i="49"/>
  <c r="AE174" i="49"/>
  <c r="AO174" i="49"/>
  <c r="P186" i="73"/>
  <c r="AX104" i="72" s="1"/>
  <c r="AP171" i="49"/>
  <c r="AZ171" i="49"/>
  <c r="U171" i="49"/>
  <c r="AF171" i="49"/>
  <c r="Q183" i="73"/>
  <c r="AY101" i="72" s="1"/>
  <c r="BG101" i="72" s="1"/>
  <c r="AR169" i="49"/>
  <c r="AH169" i="49"/>
  <c r="W169" i="49"/>
  <c r="BB169" i="49"/>
  <c r="BC167" i="49"/>
  <c r="X167" i="49"/>
  <c r="AI167" i="49"/>
  <c r="AS167" i="49"/>
  <c r="AG164" i="49"/>
  <c r="BA164" i="49"/>
  <c r="V164" i="49"/>
  <c r="AQ164" i="49"/>
  <c r="AE162" i="49"/>
  <c r="AY162" i="49"/>
  <c r="AO162" i="49"/>
  <c r="T162" i="49"/>
  <c r="AZ159" i="49"/>
  <c r="U159" i="49"/>
  <c r="AF159" i="49"/>
  <c r="AP159" i="49"/>
  <c r="AY178" i="47"/>
  <c r="T178" i="47"/>
  <c r="AO178" i="47"/>
  <c r="AE178" i="47"/>
  <c r="U176" i="47"/>
  <c r="AF176" i="47"/>
  <c r="AP176" i="47"/>
  <c r="AZ176" i="47"/>
  <c r="AQ173" i="47"/>
  <c r="V173" i="47"/>
  <c r="AG173" i="47"/>
  <c r="BA173" i="47"/>
  <c r="T166" i="47"/>
  <c r="AO166" i="47"/>
  <c r="AY166" i="47"/>
  <c r="AE166" i="47"/>
  <c r="AZ164" i="47"/>
  <c r="AP164" i="47"/>
  <c r="U164" i="47"/>
  <c r="AF164" i="47"/>
  <c r="AQ161" i="47"/>
  <c r="BA161" i="47"/>
  <c r="V161" i="47"/>
  <c r="AG161" i="47"/>
  <c r="AZ98" i="72"/>
  <c r="S180" i="73"/>
  <c r="BA98" i="72" s="1"/>
  <c r="R29" i="73"/>
  <c r="F106" i="72" s="1"/>
  <c r="AQ176" i="24"/>
  <c r="BA176" i="24"/>
  <c r="AG176" i="24"/>
  <c r="V176" i="24"/>
  <c r="BA178" i="48"/>
  <c r="AG178" i="48"/>
  <c r="AQ178" i="48"/>
  <c r="V178" i="48"/>
  <c r="AR162" i="50"/>
  <c r="W162" i="50"/>
  <c r="BB162" i="50"/>
  <c r="AH162" i="50"/>
  <c r="AF169" i="1"/>
  <c r="AZ169" i="1"/>
  <c r="U169" i="1"/>
  <c r="AP169" i="1"/>
  <c r="F75" i="73"/>
  <c r="U31" i="72" s="1"/>
  <c r="AA31" i="72" s="1"/>
  <c r="R183" i="73"/>
  <c r="AG171" i="49"/>
  <c r="AQ171" i="49"/>
  <c r="V171" i="49"/>
  <c r="BA171" i="49"/>
  <c r="AR176" i="24"/>
  <c r="AH176" i="24"/>
  <c r="W176" i="24"/>
  <c r="BB176" i="24"/>
  <c r="AR164" i="24"/>
  <c r="W164" i="24"/>
  <c r="AH164" i="24"/>
  <c r="BB164" i="24"/>
  <c r="Q13" i="73"/>
  <c r="E90" i="72" s="1"/>
  <c r="K90" i="72" s="1"/>
  <c r="U160" i="24"/>
  <c r="AZ160" i="24"/>
  <c r="AP160" i="24"/>
  <c r="AF160" i="24"/>
  <c r="P28" i="73"/>
  <c r="T28" i="73" s="1"/>
  <c r="H105" i="72" s="1"/>
  <c r="T175" i="24"/>
  <c r="AY175" i="24"/>
  <c r="AE175" i="24"/>
  <c r="AO175" i="24"/>
  <c r="AO169" i="24"/>
  <c r="T169" i="24"/>
  <c r="AY169" i="24"/>
  <c r="AE169" i="24"/>
  <c r="P22" i="73"/>
  <c r="AZ173" i="48"/>
  <c r="U173" i="48"/>
  <c r="AP173" i="48"/>
  <c r="AF173" i="48"/>
  <c r="AP161" i="48"/>
  <c r="AZ161" i="48"/>
  <c r="U161" i="48"/>
  <c r="AF161" i="48"/>
  <c r="Q67" i="73"/>
  <c r="U91" i="72" s="1"/>
  <c r="AC91" i="72" s="1"/>
  <c r="W175" i="48"/>
  <c r="AH175" i="48"/>
  <c r="BB175" i="48"/>
  <c r="AR175" i="48"/>
  <c r="W172" i="48"/>
  <c r="AR172" i="48"/>
  <c r="AH172" i="48"/>
  <c r="BB172" i="48"/>
  <c r="W169" i="48"/>
  <c r="AR169" i="48"/>
  <c r="AH169" i="48"/>
  <c r="BB169" i="48"/>
  <c r="W166" i="48"/>
  <c r="BB166" i="48"/>
  <c r="AR166" i="48"/>
  <c r="AH166" i="48"/>
  <c r="W160" i="48"/>
  <c r="AH160" i="48"/>
  <c r="AR160" i="48"/>
  <c r="BB160" i="48"/>
  <c r="X179" i="50"/>
  <c r="BC179" i="50"/>
  <c r="AS179" i="50"/>
  <c r="AI179" i="50"/>
  <c r="AE174" i="50"/>
  <c r="AY174" i="50"/>
  <c r="T174" i="50"/>
  <c r="AO174" i="50"/>
  <c r="AZ171" i="50"/>
  <c r="AF171" i="50"/>
  <c r="AP171" i="50"/>
  <c r="U171" i="50"/>
  <c r="Q130" i="73"/>
  <c r="AJ101" i="72" s="1"/>
  <c r="AR101" i="72" s="1"/>
  <c r="AR169" i="50"/>
  <c r="W169" i="50"/>
  <c r="AH169" i="50"/>
  <c r="BB169" i="50"/>
  <c r="X167" i="50"/>
  <c r="AS167" i="50"/>
  <c r="AI167" i="50"/>
  <c r="BC167" i="50"/>
  <c r="AO162" i="50"/>
  <c r="AY162" i="50"/>
  <c r="AE162" i="50"/>
  <c r="T162" i="50"/>
  <c r="AF159" i="50"/>
  <c r="U159" i="50"/>
  <c r="AZ159" i="50"/>
  <c r="AP159" i="50"/>
  <c r="AP176" i="1"/>
  <c r="U176" i="1"/>
  <c r="AF176" i="1"/>
  <c r="AZ176" i="1"/>
  <c r="W174" i="1"/>
  <c r="BB174" i="1"/>
  <c r="AH174" i="1"/>
  <c r="AR174" i="1"/>
  <c r="G75" i="73"/>
  <c r="V31" i="72" s="1"/>
  <c r="AG169" i="1"/>
  <c r="V169" i="1"/>
  <c r="AQ169" i="1"/>
  <c r="BA169" i="1"/>
  <c r="F70" i="73"/>
  <c r="U26" i="72" s="1"/>
  <c r="AC26" i="72" s="1"/>
  <c r="U164" i="1"/>
  <c r="AP164" i="1"/>
  <c r="AZ164" i="1"/>
  <c r="AF164" i="1"/>
  <c r="Q81" i="73"/>
  <c r="U105" i="72" s="1"/>
  <c r="AA105" i="72" s="1"/>
  <c r="R84" i="73"/>
  <c r="V108" i="72" s="1"/>
  <c r="P131" i="73"/>
  <c r="AI102" i="72" s="1"/>
  <c r="Q79" i="73"/>
  <c r="U103" i="72" s="1"/>
  <c r="AZ162" i="24"/>
  <c r="U162" i="24"/>
  <c r="AP162" i="24"/>
  <c r="AF162" i="24"/>
  <c r="P17" i="73"/>
  <c r="D94" i="72" s="1"/>
  <c r="AR165" i="24"/>
  <c r="BB165" i="24"/>
  <c r="AH165" i="24"/>
  <c r="W165" i="24"/>
  <c r="AI161" i="48"/>
  <c r="BC161" i="48"/>
  <c r="X161" i="48"/>
  <c r="AS161" i="48"/>
  <c r="W160" i="1"/>
  <c r="BB160" i="1"/>
  <c r="AR160" i="1"/>
  <c r="AH160" i="1"/>
  <c r="AQ170" i="24"/>
  <c r="AG170" i="24"/>
  <c r="V170" i="24"/>
  <c r="BA170" i="24"/>
  <c r="R17" i="73"/>
  <c r="F94" i="72" s="1"/>
  <c r="BA164" i="24"/>
  <c r="AQ164" i="24"/>
  <c r="AG164" i="24"/>
  <c r="V164" i="24"/>
  <c r="Q26" i="73"/>
  <c r="E103" i="72" s="1"/>
  <c r="K103" i="72" s="1"/>
  <c r="U173" i="24"/>
  <c r="AP173" i="24"/>
  <c r="AF173" i="24"/>
  <c r="AZ173" i="24"/>
  <c r="Q14" i="73"/>
  <c r="E91" i="72" s="1"/>
  <c r="U161" i="24"/>
  <c r="AF161" i="24"/>
  <c r="AP161" i="24"/>
  <c r="AZ161" i="24"/>
  <c r="BC176" i="24"/>
  <c r="AS176" i="24"/>
  <c r="AI176" i="24"/>
  <c r="X176" i="24"/>
  <c r="AS170" i="24"/>
  <c r="BC170" i="24"/>
  <c r="AI170" i="24"/>
  <c r="X170" i="24"/>
  <c r="AI164" i="24"/>
  <c r="AS164" i="24"/>
  <c r="BC164" i="24"/>
  <c r="X164" i="24"/>
  <c r="BC158" i="24"/>
  <c r="AI158" i="24"/>
  <c r="AS158" i="24"/>
  <c r="X158" i="24"/>
  <c r="AP174" i="48"/>
  <c r="AF174" i="48"/>
  <c r="U174" i="48"/>
  <c r="AZ174" i="48"/>
  <c r="Q80" i="73"/>
  <c r="U104" i="72" s="1"/>
  <c r="AA104" i="72" s="1"/>
  <c r="AP162" i="48"/>
  <c r="AF162" i="48"/>
  <c r="U162" i="48"/>
  <c r="AZ162" i="48"/>
  <c r="Q68" i="73"/>
  <c r="U92" i="72" s="1"/>
  <c r="AA92" i="72" s="1"/>
  <c r="AQ175" i="48"/>
  <c r="BA175" i="48"/>
  <c r="AG175" i="48"/>
  <c r="V175" i="48"/>
  <c r="AQ172" i="48"/>
  <c r="AG172" i="48"/>
  <c r="V172" i="48"/>
  <c r="BA172" i="48"/>
  <c r="R78" i="73"/>
  <c r="V102" i="72" s="1"/>
  <c r="V169" i="48"/>
  <c r="BA169" i="48"/>
  <c r="AQ169" i="48"/>
  <c r="AG169" i="48"/>
  <c r="R75" i="73"/>
  <c r="S75" i="73" s="1"/>
  <c r="W99" i="72" s="1"/>
  <c r="V166" i="48"/>
  <c r="AQ166" i="48"/>
  <c r="BA166" i="48"/>
  <c r="AG166" i="48"/>
  <c r="AQ163" i="48"/>
  <c r="BA163" i="48"/>
  <c r="V163" i="48"/>
  <c r="AG163" i="48"/>
  <c r="R69" i="73"/>
  <c r="V93" i="72" s="1"/>
  <c r="AQ160" i="48"/>
  <c r="AG160" i="48"/>
  <c r="V160" i="48"/>
  <c r="BA160" i="48"/>
  <c r="R66" i="73"/>
  <c r="AO179" i="50"/>
  <c r="T179" i="50"/>
  <c r="AY179" i="50"/>
  <c r="AE179" i="50"/>
  <c r="P138" i="73"/>
  <c r="AF176" i="50"/>
  <c r="AP176" i="50"/>
  <c r="U176" i="50"/>
  <c r="AZ176" i="50"/>
  <c r="W174" i="50"/>
  <c r="AR174" i="50"/>
  <c r="AH174" i="50"/>
  <c r="BB174" i="50"/>
  <c r="BC172" i="50"/>
  <c r="AI172" i="50"/>
  <c r="X172" i="50"/>
  <c r="AS172" i="50"/>
  <c r="V169" i="50"/>
  <c r="BA169" i="50"/>
  <c r="AQ169" i="50"/>
  <c r="AG169" i="50"/>
  <c r="AO167" i="50"/>
  <c r="T167" i="50"/>
  <c r="AE167" i="50"/>
  <c r="AY167" i="50"/>
  <c r="P126" i="73"/>
  <c r="AF164" i="50"/>
  <c r="AZ164" i="50"/>
  <c r="AP164" i="50"/>
  <c r="U164" i="50"/>
  <c r="X160" i="50"/>
  <c r="BC160" i="50"/>
  <c r="AI160" i="50"/>
  <c r="AS160" i="50"/>
  <c r="W179" i="1"/>
  <c r="AR179" i="1"/>
  <c r="BB179" i="1"/>
  <c r="AH179" i="1"/>
  <c r="AS177" i="1"/>
  <c r="BC177" i="1"/>
  <c r="AI177" i="1"/>
  <c r="X177" i="1"/>
  <c r="BA174" i="1"/>
  <c r="V174" i="1"/>
  <c r="AQ174" i="1"/>
  <c r="AG174" i="1"/>
  <c r="AE172" i="1"/>
  <c r="AO172" i="1"/>
  <c r="T172" i="1"/>
  <c r="AY172" i="1"/>
  <c r="E78" i="73"/>
  <c r="W167" i="1"/>
  <c r="BB167" i="1"/>
  <c r="AH167" i="1"/>
  <c r="AR167" i="1"/>
  <c r="BC165" i="1"/>
  <c r="X165" i="1"/>
  <c r="AI165" i="1"/>
  <c r="AS165" i="1"/>
  <c r="BA162" i="1"/>
  <c r="AG162" i="1"/>
  <c r="V162" i="1"/>
  <c r="AQ162" i="1"/>
  <c r="G68" i="73"/>
  <c r="V24" i="72" s="1"/>
  <c r="AY160" i="1"/>
  <c r="T160" i="1"/>
  <c r="AO160" i="1"/>
  <c r="AE160" i="1"/>
  <c r="E66" i="73"/>
  <c r="T22" i="72" s="1"/>
  <c r="Q190" i="73"/>
  <c r="AY108" i="72" s="1"/>
  <c r="BE108" i="72" s="1"/>
  <c r="U178" i="49"/>
  <c r="AP178" i="49"/>
  <c r="AF178" i="49"/>
  <c r="AZ178" i="49"/>
  <c r="AR176" i="49"/>
  <c r="W176" i="49"/>
  <c r="AH176" i="49"/>
  <c r="BB176" i="49"/>
  <c r="AI174" i="49"/>
  <c r="BC174" i="49"/>
  <c r="X174" i="49"/>
  <c r="AS174" i="49"/>
  <c r="P181" i="73"/>
  <c r="T181" i="73" s="1"/>
  <c r="BB99" i="72" s="1"/>
  <c r="AY169" i="49"/>
  <c r="AO169" i="49"/>
  <c r="T169" i="49"/>
  <c r="AE169" i="49"/>
  <c r="Q178" i="73"/>
  <c r="AY96" i="72" s="1"/>
  <c r="BE96" i="72" s="1"/>
  <c r="U166" i="49"/>
  <c r="AZ166" i="49"/>
  <c r="AF166" i="49"/>
  <c r="AP166" i="49"/>
  <c r="AR164" i="49"/>
  <c r="BB164" i="49"/>
  <c r="AH164" i="49"/>
  <c r="W164" i="49"/>
  <c r="BC162" i="49"/>
  <c r="X162" i="49"/>
  <c r="AS162" i="49"/>
  <c r="AI162" i="49"/>
  <c r="R171" i="73"/>
  <c r="AZ89" i="72" s="1"/>
  <c r="BA159" i="49"/>
  <c r="AQ159" i="49"/>
  <c r="V159" i="49"/>
  <c r="AG159" i="49"/>
  <c r="AY173" i="47"/>
  <c r="AE173" i="47"/>
  <c r="T173" i="47"/>
  <c r="AO173" i="47"/>
  <c r="U171" i="47"/>
  <c r="AF171" i="47"/>
  <c r="AZ171" i="47"/>
  <c r="AP171" i="47"/>
  <c r="AG168" i="47"/>
  <c r="AQ168" i="47"/>
  <c r="V168" i="47"/>
  <c r="BA168" i="47"/>
  <c r="AE161" i="47"/>
  <c r="T161" i="47"/>
  <c r="AY161" i="47"/>
  <c r="AO161" i="47"/>
  <c r="U159" i="47"/>
  <c r="AF159" i="47"/>
  <c r="AZ159" i="47"/>
  <c r="AP159" i="47"/>
  <c r="AR170" i="24"/>
  <c r="BB170" i="24"/>
  <c r="AH170" i="24"/>
  <c r="W170" i="24"/>
  <c r="Q25" i="73"/>
  <c r="E102" i="72" s="1"/>
  <c r="M102" i="72" s="1"/>
  <c r="AF172" i="24"/>
  <c r="AP172" i="24"/>
  <c r="U172" i="24"/>
  <c r="AZ172" i="24"/>
  <c r="P16" i="73"/>
  <c r="D93" i="72" s="1"/>
  <c r="T163" i="24"/>
  <c r="AE163" i="24"/>
  <c r="AY163" i="24"/>
  <c r="AO163" i="24"/>
  <c r="W178" i="48"/>
  <c r="AR178" i="48"/>
  <c r="AH178" i="48"/>
  <c r="BB178" i="48"/>
  <c r="W163" i="48"/>
  <c r="AH163" i="48"/>
  <c r="AR163" i="48"/>
  <c r="BB163" i="48"/>
  <c r="BA176" i="50"/>
  <c r="V176" i="50"/>
  <c r="AG176" i="50"/>
  <c r="AQ176" i="50"/>
  <c r="BA164" i="50"/>
  <c r="V164" i="50"/>
  <c r="AQ164" i="50"/>
  <c r="AG164" i="50"/>
  <c r="R123" i="73"/>
  <c r="AK94" i="72" s="1"/>
  <c r="T179" i="1"/>
  <c r="AE179" i="1"/>
  <c r="AO179" i="1"/>
  <c r="AY179" i="1"/>
  <c r="X172" i="1"/>
  <c r="AI172" i="1"/>
  <c r="AS172" i="1"/>
  <c r="BC172" i="1"/>
  <c r="E83" i="73"/>
  <c r="T39" i="72" s="1"/>
  <c r="T171" i="73"/>
  <c r="BB89" i="72" s="1"/>
  <c r="AX89" i="72"/>
  <c r="P174" i="73"/>
  <c r="AX92" i="72" s="1"/>
  <c r="AE159" i="1"/>
  <c r="T159" i="1"/>
  <c r="AO159" i="1"/>
  <c r="AY159" i="1"/>
  <c r="AI167" i="24"/>
  <c r="BC167" i="24"/>
  <c r="AS167" i="24"/>
  <c r="X167" i="24"/>
  <c r="P80" i="73"/>
  <c r="T104" i="72" s="1"/>
  <c r="AO174" i="48"/>
  <c r="AE174" i="48"/>
  <c r="AY174" i="48"/>
  <c r="T174" i="48"/>
  <c r="AO171" i="48"/>
  <c r="AY171" i="48"/>
  <c r="AE171" i="48"/>
  <c r="T171" i="48"/>
  <c r="T165" i="48"/>
  <c r="AE165" i="48"/>
  <c r="AY165" i="48"/>
  <c r="AO165" i="48"/>
  <c r="P65" i="73"/>
  <c r="T89" i="72" s="1"/>
  <c r="AO159" i="48"/>
  <c r="T159" i="48"/>
  <c r="AE159" i="48"/>
  <c r="AY159" i="48"/>
  <c r="AS178" i="50"/>
  <c r="AI178" i="50"/>
  <c r="X178" i="50"/>
  <c r="BC178" i="50"/>
  <c r="AF170" i="50"/>
  <c r="AZ170" i="50"/>
  <c r="U170" i="50"/>
  <c r="AP170" i="50"/>
  <c r="AR168" i="50"/>
  <c r="W168" i="50"/>
  <c r="BB168" i="50"/>
  <c r="AH168" i="50"/>
  <c r="V163" i="50"/>
  <c r="BA163" i="50"/>
  <c r="AQ163" i="50"/>
  <c r="AG163" i="50"/>
  <c r="Q117" i="73"/>
  <c r="AJ88" i="72" s="1"/>
  <c r="AR88" i="72" s="1"/>
  <c r="AF158" i="50"/>
  <c r="U158" i="50"/>
  <c r="AP158" i="50"/>
  <c r="AZ158" i="50"/>
  <c r="AY178" i="1"/>
  <c r="AE178" i="1"/>
  <c r="AO178" i="1"/>
  <c r="T178" i="1"/>
  <c r="AP175" i="1"/>
  <c r="U175" i="1"/>
  <c r="AZ175" i="1"/>
  <c r="AF175" i="1"/>
  <c r="W173" i="1"/>
  <c r="BB173" i="1"/>
  <c r="AR173" i="1"/>
  <c r="AH173" i="1"/>
  <c r="BC171" i="1"/>
  <c r="AS171" i="1"/>
  <c r="AI171" i="1"/>
  <c r="X171" i="1"/>
  <c r="AG168" i="1"/>
  <c r="V168" i="1"/>
  <c r="BA168" i="1"/>
  <c r="AQ168" i="1"/>
  <c r="E72" i="73"/>
  <c r="I72" i="73" s="1"/>
  <c r="X28" i="72" s="1"/>
  <c r="T166" i="1"/>
  <c r="AO166" i="1"/>
  <c r="AY166" i="1"/>
  <c r="AE166" i="1"/>
  <c r="AF163" i="1"/>
  <c r="AZ163" i="1"/>
  <c r="AP163" i="1"/>
  <c r="U163" i="1"/>
  <c r="W161" i="1"/>
  <c r="AH161" i="1"/>
  <c r="BB161" i="1"/>
  <c r="AR161" i="1"/>
  <c r="BC159" i="1"/>
  <c r="AI159" i="1"/>
  <c r="X159" i="1"/>
  <c r="AS159" i="1"/>
  <c r="R189" i="73"/>
  <c r="AZ107" i="72" s="1"/>
  <c r="AQ177" i="49"/>
  <c r="AG177" i="49"/>
  <c r="V177" i="49"/>
  <c r="BA177" i="49"/>
  <c r="AY175" i="49"/>
  <c r="T175" i="49"/>
  <c r="AO175" i="49"/>
  <c r="AE175" i="49"/>
  <c r="Q184" i="73"/>
  <c r="AY102" i="72" s="1"/>
  <c r="BE102" i="72" s="1"/>
  <c r="AP172" i="49"/>
  <c r="AZ172" i="49"/>
  <c r="AF172" i="49"/>
  <c r="U172" i="49"/>
  <c r="AR170" i="49"/>
  <c r="W170" i="49"/>
  <c r="AH170" i="49"/>
  <c r="BB170" i="49"/>
  <c r="BC168" i="49"/>
  <c r="AI168" i="49"/>
  <c r="X168" i="49"/>
  <c r="AS168" i="49"/>
  <c r="R177" i="73"/>
  <c r="AZ95" i="72" s="1"/>
  <c r="AQ165" i="49"/>
  <c r="BA165" i="49"/>
  <c r="V165" i="49"/>
  <c r="AG165" i="49"/>
  <c r="AE163" i="49"/>
  <c r="AY163" i="49"/>
  <c r="T163" i="49"/>
  <c r="AO163" i="49"/>
  <c r="AP160" i="49"/>
  <c r="AZ160" i="49"/>
  <c r="AF160" i="49"/>
  <c r="U160" i="49"/>
  <c r="AR158" i="49"/>
  <c r="W158" i="49"/>
  <c r="AH158" i="49"/>
  <c r="BB158" i="49"/>
  <c r="AY179" i="47"/>
  <c r="T179" i="47"/>
  <c r="AE179" i="47"/>
  <c r="AO179" i="47"/>
  <c r="AP177" i="47"/>
  <c r="U177" i="47"/>
  <c r="AF177" i="47"/>
  <c r="AZ177" i="47"/>
  <c r="AG174" i="47"/>
  <c r="BA174" i="47"/>
  <c r="AQ174" i="47"/>
  <c r="V174" i="47"/>
  <c r="BC160" i="1"/>
  <c r="X160" i="1"/>
  <c r="AI160" i="1"/>
  <c r="AS160" i="1"/>
  <c r="BA178" i="49"/>
  <c r="AQ178" i="49"/>
  <c r="V178" i="49"/>
  <c r="AG178" i="49"/>
  <c r="T176" i="49"/>
  <c r="AY176" i="49"/>
  <c r="AO176" i="49"/>
  <c r="AE176" i="49"/>
  <c r="AR171" i="49"/>
  <c r="AH171" i="49"/>
  <c r="BB171" i="49"/>
  <c r="W171" i="49"/>
  <c r="R178" i="73"/>
  <c r="AG166" i="49"/>
  <c r="AQ166" i="49"/>
  <c r="BA166" i="49"/>
  <c r="V166" i="49"/>
  <c r="AP161" i="49"/>
  <c r="U161" i="49"/>
  <c r="AF161" i="49"/>
  <c r="AZ161" i="49"/>
  <c r="AF178" i="47"/>
  <c r="AP178" i="47"/>
  <c r="U178" i="47"/>
  <c r="AZ178" i="47"/>
  <c r="AE168" i="47"/>
  <c r="T168" i="47"/>
  <c r="AY168" i="47"/>
  <c r="AO168" i="47"/>
  <c r="G16" i="73"/>
  <c r="V163" i="47"/>
  <c r="BA163" i="47"/>
  <c r="AG163" i="47"/>
  <c r="AQ163" i="47"/>
  <c r="AQ175" i="24"/>
  <c r="V175" i="24"/>
  <c r="BA175" i="24"/>
  <c r="AG175" i="24"/>
  <c r="AG163" i="24"/>
  <c r="V163" i="24"/>
  <c r="AQ163" i="24"/>
  <c r="BA163" i="24"/>
  <c r="AP171" i="24"/>
  <c r="AZ171" i="24"/>
  <c r="AF171" i="24"/>
  <c r="U171" i="24"/>
  <c r="AS169" i="24"/>
  <c r="BC169" i="24"/>
  <c r="X169" i="24"/>
  <c r="AI169" i="24"/>
  <c r="U160" i="48"/>
  <c r="AZ160" i="48"/>
  <c r="AP160" i="48"/>
  <c r="AF160" i="48"/>
  <c r="AO178" i="48"/>
  <c r="T178" i="48"/>
  <c r="AE178" i="48"/>
  <c r="AY178" i="48"/>
  <c r="AE163" i="48"/>
  <c r="T163" i="48"/>
  <c r="AO163" i="48"/>
  <c r="AY163" i="48"/>
  <c r="BA171" i="50"/>
  <c r="AG171" i="50"/>
  <c r="V171" i="50"/>
  <c r="AQ171" i="50"/>
  <c r="AG176" i="1"/>
  <c r="AQ176" i="1"/>
  <c r="BA176" i="1"/>
  <c r="V176" i="1"/>
  <c r="BC164" i="49"/>
  <c r="X164" i="49"/>
  <c r="AI164" i="49"/>
  <c r="AS164" i="49"/>
  <c r="AP161" i="47"/>
  <c r="U161" i="47"/>
  <c r="AF161" i="47"/>
  <c r="AZ161" i="47"/>
  <c r="AR163" i="24"/>
  <c r="AH163" i="24"/>
  <c r="W163" i="24"/>
  <c r="BB163" i="24"/>
  <c r="AO162" i="24"/>
  <c r="AY162" i="24"/>
  <c r="T162" i="24"/>
  <c r="AE162" i="24"/>
  <c r="Q77" i="73"/>
  <c r="U101" i="72" s="1"/>
  <c r="AC101" i="72" s="1"/>
  <c r="AP171" i="48"/>
  <c r="AF171" i="48"/>
  <c r="AZ171" i="48"/>
  <c r="U171" i="48"/>
  <c r="BC178" i="48"/>
  <c r="AS178" i="48"/>
  <c r="AI178" i="48"/>
  <c r="X178" i="48"/>
  <c r="X175" i="48"/>
  <c r="BC175" i="48"/>
  <c r="AI175" i="48"/>
  <c r="AS175" i="48"/>
  <c r="AI169" i="48"/>
  <c r="BC169" i="48"/>
  <c r="X169" i="48"/>
  <c r="AS169" i="48"/>
  <c r="AI166" i="48"/>
  <c r="X166" i="48"/>
  <c r="BC166" i="48"/>
  <c r="AS166" i="48"/>
  <c r="AI160" i="48"/>
  <c r="AS160" i="48"/>
  <c r="X160" i="48"/>
  <c r="BC160" i="48"/>
  <c r="BA178" i="50"/>
  <c r="AG178" i="50"/>
  <c r="AQ178" i="50"/>
  <c r="V178" i="50"/>
  <c r="P135" i="73"/>
  <c r="T135" i="73" s="1"/>
  <c r="AM106" i="72" s="1"/>
  <c r="AE176" i="50"/>
  <c r="AY176" i="50"/>
  <c r="T176" i="50"/>
  <c r="AO176" i="50"/>
  <c r="Q132" i="73"/>
  <c r="AJ103" i="72" s="1"/>
  <c r="U173" i="50"/>
  <c r="AF173" i="50"/>
  <c r="AZ173" i="50"/>
  <c r="AP173" i="50"/>
  <c r="X169" i="50"/>
  <c r="AS169" i="50"/>
  <c r="BC169" i="50"/>
  <c r="AI169" i="50"/>
  <c r="Q120" i="73"/>
  <c r="AJ91" i="72" s="1"/>
  <c r="AR91" i="72" s="1"/>
  <c r="AZ161" i="50"/>
  <c r="AP161" i="50"/>
  <c r="AF161" i="50"/>
  <c r="U161" i="50"/>
  <c r="F84" i="73"/>
  <c r="U40" i="72" s="1"/>
  <c r="AC40" i="72" s="1"/>
  <c r="U178" i="1"/>
  <c r="AF178" i="1"/>
  <c r="AZ178" i="1"/>
  <c r="AP178" i="1"/>
  <c r="W176" i="1"/>
  <c r="AR176" i="1"/>
  <c r="BB176" i="1"/>
  <c r="AH176" i="1"/>
  <c r="BA171" i="1"/>
  <c r="V171" i="1"/>
  <c r="AG171" i="1"/>
  <c r="AQ171" i="1"/>
  <c r="AY169" i="1"/>
  <c r="T169" i="1"/>
  <c r="AE169" i="1"/>
  <c r="AO169" i="1"/>
  <c r="AP166" i="1"/>
  <c r="U166" i="1"/>
  <c r="AZ166" i="1"/>
  <c r="AF166" i="1"/>
  <c r="W164" i="1"/>
  <c r="AR164" i="1"/>
  <c r="BB164" i="1"/>
  <c r="AH164" i="1"/>
  <c r="AQ159" i="1"/>
  <c r="AG159" i="1"/>
  <c r="V159" i="1"/>
  <c r="BA159" i="1"/>
  <c r="AO178" i="49"/>
  <c r="T178" i="49"/>
  <c r="AY178" i="49"/>
  <c r="AE178" i="49"/>
  <c r="AP175" i="49"/>
  <c r="U175" i="49"/>
  <c r="AZ175" i="49"/>
  <c r="AF175" i="49"/>
  <c r="AR173" i="49"/>
  <c r="BB173" i="49"/>
  <c r="W173" i="49"/>
  <c r="AH173" i="49"/>
  <c r="AG168" i="49"/>
  <c r="AQ168" i="49"/>
  <c r="BA168" i="49"/>
  <c r="V168" i="49"/>
  <c r="AO166" i="49"/>
  <c r="AY166" i="49"/>
  <c r="T166" i="49"/>
  <c r="AE166" i="49"/>
  <c r="AP163" i="49"/>
  <c r="U163" i="49"/>
  <c r="AF163" i="49"/>
  <c r="AZ163" i="49"/>
  <c r="BC159" i="49"/>
  <c r="AS159" i="49"/>
  <c r="X159" i="49"/>
  <c r="AI159" i="49"/>
  <c r="AG177" i="47"/>
  <c r="V177" i="47"/>
  <c r="AQ177" i="47"/>
  <c r="BA177" i="47"/>
  <c r="AZ168" i="47"/>
  <c r="AP168" i="47"/>
  <c r="U168" i="47"/>
  <c r="AF168" i="47"/>
  <c r="R27" i="73"/>
  <c r="F104" i="72" s="1"/>
  <c r="AG174" i="24"/>
  <c r="V174" i="24"/>
  <c r="BA174" i="24"/>
  <c r="AQ174" i="24"/>
  <c r="R21" i="73"/>
  <c r="F98" i="72" s="1"/>
  <c r="BA168" i="24"/>
  <c r="AG168" i="24"/>
  <c r="V168" i="24"/>
  <c r="AQ168" i="24"/>
  <c r="Q22" i="73"/>
  <c r="E99" i="72" s="1"/>
  <c r="M99" i="72" s="1"/>
  <c r="AP169" i="24"/>
  <c r="AF169" i="24"/>
  <c r="AZ169" i="24"/>
  <c r="U169" i="24"/>
  <c r="AS174" i="24"/>
  <c r="BC174" i="24"/>
  <c r="X174" i="24"/>
  <c r="AI174" i="24"/>
  <c r="AS168" i="24"/>
  <c r="BC168" i="24"/>
  <c r="AI168" i="24"/>
  <c r="X168" i="24"/>
  <c r="AZ158" i="48"/>
  <c r="AP158" i="48"/>
  <c r="AF158" i="48"/>
  <c r="U158" i="48"/>
  <c r="BA177" i="48"/>
  <c r="AQ177" i="48"/>
  <c r="AG177" i="48"/>
  <c r="V177" i="48"/>
  <c r="R80" i="73"/>
  <c r="V104" i="72" s="1"/>
  <c r="BA174" i="48"/>
  <c r="AQ174" i="48"/>
  <c r="V174" i="48"/>
  <c r="AG174" i="48"/>
  <c r="R77" i="73"/>
  <c r="V101" i="72" s="1"/>
  <c r="BA171" i="48"/>
  <c r="V171" i="48"/>
  <c r="AG171" i="48"/>
  <c r="AQ171" i="48"/>
  <c r="AG168" i="48"/>
  <c r="AQ168" i="48"/>
  <c r="V168" i="48"/>
  <c r="BA168" i="48"/>
  <c r="BA165" i="48"/>
  <c r="AG165" i="48"/>
  <c r="AQ165" i="48"/>
  <c r="V165" i="48"/>
  <c r="AQ159" i="48"/>
  <c r="AG159" i="48"/>
  <c r="BA159" i="48"/>
  <c r="V159" i="48"/>
  <c r="AR178" i="50"/>
  <c r="W178" i="50"/>
  <c r="BB178" i="50"/>
  <c r="AH178" i="50"/>
  <c r="R132" i="73"/>
  <c r="AK103" i="72" s="1"/>
  <c r="BA173" i="50"/>
  <c r="AQ173" i="50"/>
  <c r="V173" i="50"/>
  <c r="AG173" i="50"/>
  <c r="AP168" i="50"/>
  <c r="AF168" i="50"/>
  <c r="AZ168" i="50"/>
  <c r="U168" i="50"/>
  <c r="X164" i="50"/>
  <c r="AS164" i="50"/>
  <c r="BC164" i="50"/>
  <c r="AI164" i="50"/>
  <c r="P118" i="73"/>
  <c r="AI89" i="72" s="1"/>
  <c r="AE159" i="50"/>
  <c r="AY159" i="50"/>
  <c r="T159" i="50"/>
  <c r="AO159" i="50"/>
  <c r="E82" i="73"/>
  <c r="T38" i="72" s="1"/>
  <c r="AE176" i="1"/>
  <c r="AO176" i="1"/>
  <c r="AY176" i="1"/>
  <c r="T176" i="1"/>
  <c r="W171" i="1"/>
  <c r="BB171" i="1"/>
  <c r="AR171" i="1"/>
  <c r="AH171" i="1"/>
  <c r="G72" i="73"/>
  <c r="V28" i="72" s="1"/>
  <c r="AQ166" i="1"/>
  <c r="BA166" i="1"/>
  <c r="V166" i="1"/>
  <c r="AG166" i="1"/>
  <c r="U161" i="1"/>
  <c r="AP161" i="1"/>
  <c r="AF161" i="1"/>
  <c r="AZ161" i="1"/>
  <c r="BC178" i="49"/>
  <c r="AS178" i="49"/>
  <c r="X178" i="49"/>
  <c r="AI178" i="49"/>
  <c r="AO173" i="49"/>
  <c r="AE173" i="49"/>
  <c r="AY173" i="49"/>
  <c r="T173" i="49"/>
  <c r="BC166" i="49"/>
  <c r="X166" i="49"/>
  <c r="AI166" i="49"/>
  <c r="AS166" i="49"/>
  <c r="AE161" i="49"/>
  <c r="T161" i="49"/>
  <c r="AY161" i="49"/>
  <c r="AO161" i="49"/>
  <c r="V172" i="47"/>
  <c r="BA172" i="47"/>
  <c r="AQ172" i="47"/>
  <c r="AG172" i="47"/>
  <c r="AG160" i="47"/>
  <c r="BA160" i="47"/>
  <c r="AQ160" i="47"/>
  <c r="V160" i="47"/>
  <c r="AR158" i="24"/>
  <c r="W158" i="24"/>
  <c r="BB158" i="24"/>
  <c r="AH158" i="24"/>
  <c r="AR174" i="24"/>
  <c r="BB174" i="24"/>
  <c r="W174" i="24"/>
  <c r="AH174" i="24"/>
  <c r="AR168" i="24"/>
  <c r="AH168" i="24"/>
  <c r="BB168" i="24"/>
  <c r="W168" i="24"/>
  <c r="AR162" i="24"/>
  <c r="AH162" i="24"/>
  <c r="BB162" i="24"/>
  <c r="W162" i="24"/>
  <c r="AF168" i="24"/>
  <c r="AZ168" i="24"/>
  <c r="AP168" i="24"/>
  <c r="U168" i="24"/>
  <c r="AO179" i="24"/>
  <c r="T179" i="24"/>
  <c r="AY179" i="24"/>
  <c r="AE179" i="24"/>
  <c r="T173" i="24"/>
  <c r="AY173" i="24"/>
  <c r="AO173" i="24"/>
  <c r="AE173" i="24"/>
  <c r="P20" i="73"/>
  <c r="T20" i="73" s="1"/>
  <c r="H97" i="72" s="1"/>
  <c r="T167" i="24"/>
  <c r="AO167" i="24"/>
  <c r="AE167" i="24"/>
  <c r="AY167" i="24"/>
  <c r="AO161" i="24"/>
  <c r="AY161" i="24"/>
  <c r="T161" i="24"/>
  <c r="AE161" i="24"/>
  <c r="AP169" i="48"/>
  <c r="U169" i="48"/>
  <c r="AF169" i="48"/>
  <c r="AZ169" i="48"/>
  <c r="W177" i="48"/>
  <c r="BB177" i="48"/>
  <c r="AR177" i="48"/>
  <c r="AH177" i="48"/>
  <c r="W174" i="48"/>
  <c r="AH174" i="48"/>
  <c r="BB174" i="48"/>
  <c r="AR174" i="48"/>
  <c r="W171" i="48"/>
  <c r="BB171" i="48"/>
  <c r="AR171" i="48"/>
  <c r="AH171" i="48"/>
  <c r="W168" i="48"/>
  <c r="AR168" i="48"/>
  <c r="BB168" i="48"/>
  <c r="AH168" i="48"/>
  <c r="W165" i="48"/>
  <c r="AR165" i="48"/>
  <c r="BB165" i="48"/>
  <c r="AH165" i="48"/>
  <c r="W162" i="48"/>
  <c r="BB162" i="48"/>
  <c r="AH162" i="48"/>
  <c r="AR162" i="48"/>
  <c r="W159" i="48"/>
  <c r="AH159" i="48"/>
  <c r="AR159" i="48"/>
  <c r="BB159" i="48"/>
  <c r="AO178" i="50"/>
  <c r="T178" i="50"/>
  <c r="AY178" i="50"/>
  <c r="AE178" i="50"/>
  <c r="Q134" i="73"/>
  <c r="AJ105" i="72" s="1"/>
  <c r="AR105" i="72" s="1"/>
  <c r="U175" i="50"/>
  <c r="AF175" i="50"/>
  <c r="AZ175" i="50"/>
  <c r="AP175" i="50"/>
  <c r="AR173" i="50"/>
  <c r="W173" i="50"/>
  <c r="BB173" i="50"/>
  <c r="AH173" i="50"/>
  <c r="AQ168" i="50"/>
  <c r="BA168" i="50"/>
  <c r="AG168" i="50"/>
  <c r="V168" i="50"/>
  <c r="AO166" i="50"/>
  <c r="AE166" i="50"/>
  <c r="T166" i="50"/>
  <c r="AY166" i="50"/>
  <c r="Q122" i="73"/>
  <c r="AJ93" i="72" s="1"/>
  <c r="AR93" i="72" s="1"/>
  <c r="AF163" i="50"/>
  <c r="AP163" i="50"/>
  <c r="U163" i="50"/>
  <c r="AZ163" i="50"/>
  <c r="AR161" i="50"/>
  <c r="W161" i="50"/>
  <c r="BB161" i="50"/>
  <c r="AH161" i="50"/>
  <c r="W178" i="1"/>
  <c r="AH178" i="1"/>
  <c r="AR178" i="1"/>
  <c r="BB178" i="1"/>
  <c r="X176" i="1"/>
  <c r="AS176" i="1"/>
  <c r="AI176" i="1"/>
  <c r="BC176" i="1"/>
  <c r="G79" i="73"/>
  <c r="V35" i="72" s="1"/>
  <c r="AQ173" i="1"/>
  <c r="V173" i="1"/>
  <c r="BA173" i="1"/>
  <c r="AG173" i="1"/>
  <c r="AO171" i="1"/>
  <c r="AY171" i="1"/>
  <c r="AE171" i="1"/>
  <c r="T171" i="1"/>
  <c r="U168" i="1"/>
  <c r="AP168" i="1"/>
  <c r="AF168" i="1"/>
  <c r="AZ168" i="1"/>
  <c r="W166" i="1"/>
  <c r="AR166" i="1"/>
  <c r="AH166" i="1"/>
  <c r="BB166" i="1"/>
  <c r="BC164" i="1"/>
  <c r="X164" i="1"/>
  <c r="AS164" i="1"/>
  <c r="AI164" i="1"/>
  <c r="AG161" i="1"/>
  <c r="V161" i="1"/>
  <c r="AQ161" i="1"/>
  <c r="BA161" i="1"/>
  <c r="Q189" i="73"/>
  <c r="AY107" i="72" s="1"/>
  <c r="BE107" i="72" s="1"/>
  <c r="AP177" i="49"/>
  <c r="AF177" i="49"/>
  <c r="U177" i="49"/>
  <c r="AZ177" i="49"/>
  <c r="AR175" i="49"/>
  <c r="W175" i="49"/>
  <c r="BB175" i="49"/>
  <c r="AH175" i="49"/>
  <c r="BC173" i="49"/>
  <c r="X173" i="49"/>
  <c r="AI173" i="49"/>
  <c r="AS173" i="49"/>
  <c r="BA170" i="49"/>
  <c r="AG170" i="49"/>
  <c r="AQ170" i="49"/>
  <c r="V170" i="49"/>
  <c r="AO168" i="49"/>
  <c r="AE168" i="49"/>
  <c r="T168" i="49"/>
  <c r="AY168" i="49"/>
  <c r="AP165" i="49"/>
  <c r="AZ165" i="49"/>
  <c r="AF165" i="49"/>
  <c r="U165" i="49"/>
  <c r="AR163" i="49"/>
  <c r="AH163" i="49"/>
  <c r="W163" i="49"/>
  <c r="BB163" i="49"/>
  <c r="BC161" i="49"/>
  <c r="X161" i="49"/>
  <c r="AS161" i="49"/>
  <c r="AI161" i="49"/>
  <c r="BA158" i="49"/>
  <c r="AQ158" i="49"/>
  <c r="V158" i="49"/>
  <c r="AG158" i="49"/>
  <c r="AQ179" i="47"/>
  <c r="AG179" i="47"/>
  <c r="V179" i="47"/>
  <c r="BA179" i="47"/>
  <c r="T172" i="47"/>
  <c r="AE172" i="47"/>
  <c r="AY172" i="47"/>
  <c r="AO172" i="47"/>
  <c r="AP170" i="47"/>
  <c r="AF170" i="47"/>
  <c r="U170" i="47"/>
  <c r="AZ170" i="47"/>
  <c r="AQ167" i="47"/>
  <c r="BA167" i="47"/>
  <c r="V167" i="47"/>
  <c r="AG167" i="47"/>
  <c r="AY160" i="47"/>
  <c r="AO160" i="47"/>
  <c r="T160" i="47"/>
  <c r="AE160" i="47"/>
  <c r="AF158" i="47"/>
  <c r="AP158" i="47"/>
  <c r="U158" i="47"/>
  <c r="AZ158" i="47"/>
  <c r="R32" i="73"/>
  <c r="AQ179" i="24"/>
  <c r="AG179" i="24"/>
  <c r="V179" i="24"/>
  <c r="BA179" i="24"/>
  <c r="R20" i="73"/>
  <c r="S20" i="73" s="1"/>
  <c r="G97" i="72" s="1"/>
  <c r="AQ167" i="24"/>
  <c r="V167" i="24"/>
  <c r="AG167" i="24"/>
  <c r="BA167" i="24"/>
  <c r="AQ161" i="24"/>
  <c r="V161" i="24"/>
  <c r="AG161" i="24"/>
  <c r="BA161" i="24"/>
  <c r="Q32" i="73"/>
  <c r="E109" i="72" s="1"/>
  <c r="K109" i="72" s="1"/>
  <c r="AP179" i="24"/>
  <c r="U179" i="24"/>
  <c r="AF179" i="24"/>
  <c r="AZ179" i="24"/>
  <c r="AZ167" i="24"/>
  <c r="AP167" i="24"/>
  <c r="AF167" i="24"/>
  <c r="U167" i="24"/>
  <c r="AS173" i="24"/>
  <c r="BC173" i="24"/>
  <c r="AI173" i="24"/>
  <c r="X173" i="24"/>
  <c r="BC161" i="24"/>
  <c r="AS161" i="24"/>
  <c r="AI161" i="24"/>
  <c r="X161" i="24"/>
  <c r="Q74" i="73"/>
  <c r="U98" i="72" s="1"/>
  <c r="AC98" i="72" s="1"/>
  <c r="AP168" i="48"/>
  <c r="AF168" i="48"/>
  <c r="AZ168" i="48"/>
  <c r="U168" i="48"/>
  <c r="P83" i="73"/>
  <c r="T107" i="72" s="1"/>
  <c r="AE177" i="48"/>
  <c r="T177" i="48"/>
  <c r="AO177" i="48"/>
  <c r="AY177" i="48"/>
  <c r="AO168" i="48"/>
  <c r="AE168" i="48"/>
  <c r="AY168" i="48"/>
  <c r="T168" i="48"/>
  <c r="AO161" i="50"/>
  <c r="T161" i="50"/>
  <c r="AE161" i="50"/>
  <c r="AY161" i="50"/>
  <c r="E20" i="73"/>
  <c r="AO167" i="47"/>
  <c r="T167" i="47"/>
  <c r="AY167" i="47"/>
  <c r="AE167" i="47"/>
  <c r="Q66" i="73"/>
  <c r="U90" i="72" s="1"/>
  <c r="AR179" i="24"/>
  <c r="AH179" i="24"/>
  <c r="W179" i="24"/>
  <c r="BB179" i="24"/>
  <c r="AR173" i="24"/>
  <c r="BB173" i="24"/>
  <c r="W173" i="24"/>
  <c r="AH173" i="24"/>
  <c r="AR167" i="24"/>
  <c r="AH167" i="24"/>
  <c r="BB167" i="24"/>
  <c r="W167" i="24"/>
  <c r="AR161" i="24"/>
  <c r="W161" i="24"/>
  <c r="BB161" i="24"/>
  <c r="AH161" i="24"/>
  <c r="AZ178" i="24"/>
  <c r="U178" i="24"/>
  <c r="AP178" i="24"/>
  <c r="AF178" i="24"/>
  <c r="U166" i="24"/>
  <c r="AZ166" i="24"/>
  <c r="AP166" i="24"/>
  <c r="AF166" i="24"/>
  <c r="AO178" i="24"/>
  <c r="AE178" i="24"/>
  <c r="AY178" i="24"/>
  <c r="T178" i="24"/>
  <c r="AE172" i="24"/>
  <c r="AY172" i="24"/>
  <c r="T172" i="24"/>
  <c r="AO172" i="24"/>
  <c r="T166" i="24"/>
  <c r="AY166" i="24"/>
  <c r="AE166" i="24"/>
  <c r="AO166" i="24"/>
  <c r="T160" i="24"/>
  <c r="AY160" i="24"/>
  <c r="AE160" i="24"/>
  <c r="AO160" i="24"/>
  <c r="Q85" i="73"/>
  <c r="U109" i="72" s="1"/>
  <c r="AA109" i="72" s="1"/>
  <c r="AZ179" i="48"/>
  <c r="AP179" i="48"/>
  <c r="AF179" i="48"/>
  <c r="U179" i="48"/>
  <c r="AP167" i="48"/>
  <c r="AZ167" i="48"/>
  <c r="AF167" i="48"/>
  <c r="U167" i="48"/>
  <c r="AS177" i="48"/>
  <c r="X177" i="48"/>
  <c r="AI177" i="48"/>
  <c r="BC177" i="48"/>
  <c r="X174" i="48"/>
  <c r="BC174" i="48"/>
  <c r="AS174" i="48"/>
  <c r="AI174" i="48"/>
  <c r="AI171" i="48"/>
  <c r="AS171" i="48"/>
  <c r="X171" i="48"/>
  <c r="BC171" i="48"/>
  <c r="AI168" i="48"/>
  <c r="X168" i="48"/>
  <c r="BC168" i="48"/>
  <c r="AS168" i="48"/>
  <c r="AI165" i="48"/>
  <c r="BC165" i="48"/>
  <c r="X165" i="48"/>
  <c r="AS165" i="48"/>
  <c r="BC162" i="48"/>
  <c r="AS162" i="48"/>
  <c r="AI162" i="48"/>
  <c r="X162" i="48"/>
  <c r="AI159" i="48"/>
  <c r="BC159" i="48"/>
  <c r="X159" i="48"/>
  <c r="AS159" i="48"/>
  <c r="Q136" i="73"/>
  <c r="AJ107" i="72" s="1"/>
  <c r="AP107" i="72" s="1"/>
  <c r="AF177" i="50"/>
  <c r="AZ177" i="50"/>
  <c r="AP177" i="50"/>
  <c r="U177" i="50"/>
  <c r="W175" i="50"/>
  <c r="AR175" i="50"/>
  <c r="BB175" i="50"/>
  <c r="AH175" i="50"/>
  <c r="T132" i="73"/>
  <c r="AM103" i="72" s="1"/>
  <c r="X173" i="50"/>
  <c r="AI173" i="50"/>
  <c r="BC173" i="50"/>
  <c r="AS173" i="50"/>
  <c r="BA170" i="50"/>
  <c r="V170" i="50"/>
  <c r="AG170" i="50"/>
  <c r="AQ170" i="50"/>
  <c r="AO168" i="50"/>
  <c r="AY168" i="50"/>
  <c r="AE168" i="50"/>
  <c r="T168" i="50"/>
  <c r="Q124" i="73"/>
  <c r="AJ95" i="72" s="1"/>
  <c r="AR95" i="72" s="1"/>
  <c r="AP165" i="50"/>
  <c r="AF165" i="50"/>
  <c r="U165" i="50"/>
  <c r="AZ165" i="50"/>
  <c r="AR163" i="50"/>
  <c r="W163" i="50"/>
  <c r="BB163" i="50"/>
  <c r="AH163" i="50"/>
  <c r="X161" i="50"/>
  <c r="AS161" i="50"/>
  <c r="AI161" i="50"/>
  <c r="BC161" i="50"/>
  <c r="R117" i="73"/>
  <c r="AK88" i="72" s="1"/>
  <c r="BA158" i="50"/>
  <c r="AQ158" i="50"/>
  <c r="AG158" i="50"/>
  <c r="V158" i="50"/>
  <c r="AI178" i="1"/>
  <c r="AS178" i="1"/>
  <c r="BC178" i="1"/>
  <c r="X178" i="1"/>
  <c r="AG175" i="1"/>
  <c r="BA175" i="1"/>
  <c r="AQ175" i="1"/>
  <c r="V175" i="1"/>
  <c r="AO173" i="1"/>
  <c r="T173" i="1"/>
  <c r="AY173" i="1"/>
  <c r="AE173" i="1"/>
  <c r="U170" i="1"/>
  <c r="AF170" i="1"/>
  <c r="AZ170" i="1"/>
  <c r="AP170" i="1"/>
  <c r="W168" i="1"/>
  <c r="AH168" i="1"/>
  <c r="BB168" i="1"/>
  <c r="AR168" i="1"/>
  <c r="BC166" i="1"/>
  <c r="AS166" i="1"/>
  <c r="AI166" i="1"/>
  <c r="X166" i="1"/>
  <c r="AG163" i="1"/>
  <c r="V163" i="1"/>
  <c r="BA163" i="1"/>
  <c r="AQ163" i="1"/>
  <c r="AY161" i="1"/>
  <c r="AO161" i="1"/>
  <c r="T161" i="1"/>
  <c r="AE161" i="1"/>
  <c r="AZ158" i="1"/>
  <c r="AF158" i="1"/>
  <c r="U158" i="1"/>
  <c r="AP158" i="1"/>
  <c r="Q191" i="73"/>
  <c r="AY109" i="72" s="1"/>
  <c r="BE109" i="72" s="1"/>
  <c r="U179" i="49"/>
  <c r="AP179" i="49"/>
  <c r="AZ179" i="49"/>
  <c r="AF179" i="49"/>
  <c r="AR177" i="49"/>
  <c r="BB177" i="49"/>
  <c r="AH177" i="49"/>
  <c r="W177" i="49"/>
  <c r="BC175" i="49"/>
  <c r="X175" i="49"/>
  <c r="AI175" i="49"/>
  <c r="AS175" i="49"/>
  <c r="R184" i="73"/>
  <c r="AZ102" i="72" s="1"/>
  <c r="AQ172" i="49"/>
  <c r="V172" i="49"/>
  <c r="AG172" i="49"/>
  <c r="BA172" i="49"/>
  <c r="AO170" i="49"/>
  <c r="AE170" i="49"/>
  <c r="T170" i="49"/>
  <c r="AY170" i="49"/>
  <c r="Q179" i="73"/>
  <c r="AY97" i="72" s="1"/>
  <c r="BG97" i="72" s="1"/>
  <c r="AP167" i="49"/>
  <c r="AF167" i="49"/>
  <c r="AZ167" i="49"/>
  <c r="U167" i="49"/>
  <c r="AR165" i="49"/>
  <c r="BB165" i="49"/>
  <c r="AH165" i="49"/>
  <c r="W165" i="49"/>
  <c r="BC163" i="49"/>
  <c r="X163" i="49"/>
  <c r="AS163" i="49"/>
  <c r="AI163" i="49"/>
  <c r="R172" i="73"/>
  <c r="AZ90" i="72" s="1"/>
  <c r="BA160" i="49"/>
  <c r="AQ160" i="49"/>
  <c r="V160" i="49"/>
  <c r="AG160" i="49"/>
  <c r="P170" i="73"/>
  <c r="T158" i="49"/>
  <c r="AE158" i="49"/>
  <c r="AO158" i="49"/>
  <c r="AY158" i="49"/>
  <c r="AY174" i="47"/>
  <c r="T174" i="47"/>
  <c r="AO174" i="47"/>
  <c r="AE174" i="47"/>
  <c r="AZ172" i="47"/>
  <c r="AP172" i="47"/>
  <c r="U172" i="47"/>
  <c r="AF172" i="47"/>
  <c r="G22" i="73"/>
  <c r="H48" i="73" s="1"/>
  <c r="G57" i="72" s="1"/>
  <c r="AG169" i="47"/>
  <c r="BA169" i="47"/>
  <c r="V169" i="47"/>
  <c r="AQ169" i="47"/>
  <c r="AO162" i="47"/>
  <c r="AE162" i="47"/>
  <c r="AY162" i="47"/>
  <c r="T162" i="47"/>
  <c r="AZ160" i="47"/>
  <c r="U160" i="47"/>
  <c r="AP160" i="47"/>
  <c r="AF160" i="47"/>
  <c r="P123" i="73"/>
  <c r="AI94" i="72" s="1"/>
  <c r="T164" i="50"/>
  <c r="AE164" i="50"/>
  <c r="AY164" i="50"/>
  <c r="AO164" i="50"/>
  <c r="X159" i="50"/>
  <c r="BC159" i="50"/>
  <c r="AI159" i="50"/>
  <c r="AS159" i="50"/>
  <c r="BA175" i="50"/>
  <c r="V175" i="50"/>
  <c r="AG175" i="50"/>
  <c r="AQ175" i="50"/>
  <c r="F18" i="73"/>
  <c r="E27" i="72" s="1"/>
  <c r="AP165" i="47"/>
  <c r="U165" i="47"/>
  <c r="AZ165" i="47"/>
  <c r="AF165" i="47"/>
  <c r="G13" i="73"/>
  <c r="H13" i="73" s="1"/>
  <c r="G22" i="72" s="1"/>
  <c r="S126" i="73"/>
  <c r="AL97" i="72" s="1"/>
  <c r="AQ178" i="24"/>
  <c r="V178" i="24"/>
  <c r="BA178" i="24"/>
  <c r="AG178" i="24"/>
  <c r="AQ172" i="24"/>
  <c r="BA172" i="24"/>
  <c r="V172" i="24"/>
  <c r="AG172" i="24"/>
  <c r="V166" i="24"/>
  <c r="BA166" i="24"/>
  <c r="AG166" i="24"/>
  <c r="AQ166" i="24"/>
  <c r="BA160" i="24"/>
  <c r="AQ160" i="24"/>
  <c r="AG160" i="24"/>
  <c r="V160" i="24"/>
  <c r="U177" i="24"/>
  <c r="AF177" i="24"/>
  <c r="AP177" i="24"/>
  <c r="AZ177" i="24"/>
  <c r="AZ165" i="24"/>
  <c r="AP165" i="24"/>
  <c r="AF165" i="24"/>
  <c r="U165" i="24"/>
  <c r="AS178" i="24"/>
  <c r="BC178" i="24"/>
  <c r="X178" i="24"/>
  <c r="AI178" i="24"/>
  <c r="BC172" i="24"/>
  <c r="AS172" i="24"/>
  <c r="X172" i="24"/>
  <c r="AI172" i="24"/>
  <c r="AI166" i="24"/>
  <c r="BC166" i="24"/>
  <c r="AS166" i="24"/>
  <c r="X166" i="24"/>
  <c r="AS160" i="24"/>
  <c r="BC160" i="24"/>
  <c r="X160" i="24"/>
  <c r="AI160" i="24"/>
  <c r="Q84" i="73"/>
  <c r="U108" i="72" s="1"/>
  <c r="AA108" i="72" s="1"/>
  <c r="U178" i="48"/>
  <c r="AF178" i="48"/>
  <c r="AP178" i="48"/>
  <c r="AZ178" i="48"/>
  <c r="U166" i="48"/>
  <c r="AZ166" i="48"/>
  <c r="AF166" i="48"/>
  <c r="AP166" i="48"/>
  <c r="BA179" i="48"/>
  <c r="AG179" i="48"/>
  <c r="AQ179" i="48"/>
  <c r="V179" i="48"/>
  <c r="AQ176" i="48"/>
  <c r="AG176" i="48"/>
  <c r="BA176" i="48"/>
  <c r="V176" i="48"/>
  <c r="BA173" i="48"/>
  <c r="V173" i="48"/>
  <c r="AQ173" i="48"/>
  <c r="AG173" i="48"/>
  <c r="R76" i="73"/>
  <c r="V100" i="72" s="1"/>
  <c r="BA170" i="48"/>
  <c r="AQ170" i="48"/>
  <c r="AG170" i="48"/>
  <c r="V170" i="48"/>
  <c r="R73" i="73"/>
  <c r="S73" i="73" s="1"/>
  <c r="W97" i="72" s="1"/>
  <c r="BA167" i="48"/>
  <c r="AQ167" i="48"/>
  <c r="V167" i="48"/>
  <c r="AG167" i="48"/>
  <c r="BA164" i="48"/>
  <c r="AG164" i="48"/>
  <c r="V164" i="48"/>
  <c r="AQ164" i="48"/>
  <c r="R67" i="73"/>
  <c r="V91" i="72" s="1"/>
  <c r="AQ161" i="48"/>
  <c r="V161" i="48"/>
  <c r="BA161" i="48"/>
  <c r="AG161" i="48"/>
  <c r="BA158" i="48"/>
  <c r="AQ158" i="48"/>
  <c r="AG158" i="48"/>
  <c r="V158" i="48"/>
  <c r="BA177" i="50"/>
  <c r="AQ177" i="50"/>
  <c r="AG177" i="50"/>
  <c r="V177" i="50"/>
  <c r="AE175" i="50"/>
  <c r="T175" i="50"/>
  <c r="AO175" i="50"/>
  <c r="AY175" i="50"/>
  <c r="U172" i="50"/>
  <c r="AP172" i="50"/>
  <c r="AF172" i="50"/>
  <c r="AZ172" i="50"/>
  <c r="AR170" i="50"/>
  <c r="W170" i="50"/>
  <c r="AH170" i="50"/>
  <c r="BB170" i="50"/>
  <c r="AS168" i="50"/>
  <c r="AI168" i="50"/>
  <c r="X168" i="50"/>
  <c r="BC168" i="50"/>
  <c r="R124" i="73"/>
  <c r="S124" i="73" s="1"/>
  <c r="AL95" i="72" s="1"/>
  <c r="BA165" i="50"/>
  <c r="V165" i="50"/>
  <c r="AQ165" i="50"/>
  <c r="AG165" i="50"/>
  <c r="AE163" i="50"/>
  <c r="T163" i="50"/>
  <c r="AO163" i="50"/>
  <c r="AY163" i="50"/>
  <c r="AP160" i="50"/>
  <c r="AF160" i="50"/>
  <c r="U160" i="50"/>
  <c r="AZ160" i="50"/>
  <c r="W158" i="50"/>
  <c r="AR158" i="50"/>
  <c r="BB158" i="50"/>
  <c r="AH158" i="50"/>
  <c r="AZ177" i="1"/>
  <c r="U177" i="1"/>
  <c r="AF177" i="1"/>
  <c r="AP177" i="1"/>
  <c r="W175" i="1"/>
  <c r="AH175" i="1"/>
  <c r="AR175" i="1"/>
  <c r="BB175" i="1"/>
  <c r="X173" i="1"/>
  <c r="AS173" i="1"/>
  <c r="BC173" i="1"/>
  <c r="AI173" i="1"/>
  <c r="BA170" i="1"/>
  <c r="AG170" i="1"/>
  <c r="V170" i="1"/>
  <c r="AQ170" i="1"/>
  <c r="T168" i="1"/>
  <c r="AO168" i="1"/>
  <c r="AY168" i="1"/>
  <c r="AE168" i="1"/>
  <c r="AF165" i="1"/>
  <c r="AP165" i="1"/>
  <c r="U165" i="1"/>
  <c r="AZ165" i="1"/>
  <c r="W163" i="1"/>
  <c r="BB163" i="1"/>
  <c r="AR163" i="1"/>
  <c r="AH163" i="1"/>
  <c r="AS161" i="1"/>
  <c r="BC161" i="1"/>
  <c r="AI161" i="1"/>
  <c r="X161" i="1"/>
  <c r="AG158" i="1"/>
  <c r="V158" i="1"/>
  <c r="BA158" i="1"/>
  <c r="AQ158" i="1"/>
  <c r="R191" i="73"/>
  <c r="AQ179" i="49"/>
  <c r="V179" i="49"/>
  <c r="BA179" i="49"/>
  <c r="AG179" i="49"/>
  <c r="AE177" i="49"/>
  <c r="T177" i="49"/>
  <c r="AO177" i="49"/>
  <c r="AY177" i="49"/>
  <c r="Q186" i="73"/>
  <c r="AY104" i="72" s="1"/>
  <c r="BE104" i="72" s="1"/>
  <c r="AP174" i="49"/>
  <c r="AF174" i="49"/>
  <c r="AZ174" i="49"/>
  <c r="U174" i="49"/>
  <c r="AR172" i="49"/>
  <c r="BB172" i="49"/>
  <c r="AH172" i="49"/>
  <c r="W172" i="49"/>
  <c r="X170" i="49"/>
  <c r="BC170" i="49"/>
  <c r="AI170" i="49"/>
  <c r="AS170" i="49"/>
  <c r="R179" i="73"/>
  <c r="S179" i="73" s="1"/>
  <c r="BA97" i="72" s="1"/>
  <c r="BA167" i="49"/>
  <c r="V167" i="49"/>
  <c r="AG167" i="49"/>
  <c r="AQ167" i="49"/>
  <c r="P177" i="73"/>
  <c r="AX95" i="72" s="1"/>
  <c r="AE165" i="49"/>
  <c r="AY165" i="49"/>
  <c r="AO165" i="49"/>
  <c r="T165" i="49"/>
  <c r="Q174" i="73"/>
  <c r="AY92" i="72" s="1"/>
  <c r="BE92" i="72" s="1"/>
  <c r="AF162" i="49"/>
  <c r="AP162" i="49"/>
  <c r="AZ162" i="49"/>
  <c r="U162" i="49"/>
  <c r="AR160" i="49"/>
  <c r="W160" i="49"/>
  <c r="AH160" i="49"/>
  <c r="BB160" i="49"/>
  <c r="BC158" i="49"/>
  <c r="AI158" i="49"/>
  <c r="X158" i="49"/>
  <c r="AS158" i="49"/>
  <c r="AF179" i="47"/>
  <c r="AZ179" i="47"/>
  <c r="U179" i="47"/>
  <c r="AP179" i="47"/>
  <c r="AQ176" i="47"/>
  <c r="BA176" i="47"/>
  <c r="AG176" i="47"/>
  <c r="V176" i="47"/>
  <c r="E22" i="73"/>
  <c r="D31" i="72" s="1"/>
  <c r="AY169" i="47"/>
  <c r="AO169" i="47"/>
  <c r="T169" i="47"/>
  <c r="AE169" i="47"/>
  <c r="AF167" i="47"/>
  <c r="U167" i="47"/>
  <c r="AP167" i="47"/>
  <c r="AZ167" i="47"/>
  <c r="BA164" i="47"/>
  <c r="AQ164" i="47"/>
  <c r="V164" i="47"/>
  <c r="AG164" i="47"/>
  <c r="R125" i="73"/>
  <c r="AK96" i="72" s="1"/>
  <c r="BA166" i="50"/>
  <c r="V166" i="50"/>
  <c r="AQ166" i="50"/>
  <c r="AG166" i="50"/>
  <c r="Q127" i="73"/>
  <c r="AJ98" i="72" s="1"/>
  <c r="AP98" i="72" s="1"/>
  <c r="AS171" i="50"/>
  <c r="AI171" i="50"/>
  <c r="X171" i="50"/>
  <c r="BC171" i="50"/>
  <c r="AO173" i="50"/>
  <c r="T173" i="50"/>
  <c r="AY173" i="50"/>
  <c r="AE173" i="50"/>
  <c r="V162" i="47"/>
  <c r="AQ162" i="47"/>
  <c r="BA162" i="47"/>
  <c r="AG162" i="47"/>
  <c r="Q24" i="73"/>
  <c r="E101" i="72" s="1"/>
  <c r="K101" i="72" s="1"/>
  <c r="P173" i="73"/>
  <c r="AX91" i="72" s="1"/>
  <c r="AR178" i="24"/>
  <c r="AH178" i="24"/>
  <c r="BB178" i="24"/>
  <c r="W178" i="24"/>
  <c r="AR172" i="24"/>
  <c r="W172" i="24"/>
  <c r="BB172" i="24"/>
  <c r="AH172" i="24"/>
  <c r="AR166" i="24"/>
  <c r="BB166" i="24"/>
  <c r="AH166" i="24"/>
  <c r="W166" i="24"/>
  <c r="AR160" i="24"/>
  <c r="BB160" i="24"/>
  <c r="W160" i="24"/>
  <c r="AH160" i="24"/>
  <c r="AF176" i="24"/>
  <c r="AP176" i="24"/>
  <c r="AZ176" i="24"/>
  <c r="U176" i="24"/>
  <c r="U164" i="24"/>
  <c r="AP164" i="24"/>
  <c r="AZ164" i="24"/>
  <c r="AF164" i="24"/>
  <c r="P30" i="73"/>
  <c r="D107" i="72" s="1"/>
  <c r="AE177" i="24"/>
  <c r="AY177" i="24"/>
  <c r="T177" i="24"/>
  <c r="AO177" i="24"/>
  <c r="AE171" i="24"/>
  <c r="AY171" i="24"/>
  <c r="T171" i="24"/>
  <c r="AO171" i="24"/>
  <c r="P18" i="73"/>
  <c r="D95" i="72" s="1"/>
  <c r="AY165" i="24"/>
  <c r="AE165" i="24"/>
  <c r="AO165" i="24"/>
  <c r="T165" i="24"/>
  <c r="P12" i="73"/>
  <c r="D89" i="72" s="1"/>
  <c r="AO159" i="24"/>
  <c r="AE159" i="24"/>
  <c r="T159" i="24"/>
  <c r="AY159" i="24"/>
  <c r="Q83" i="73"/>
  <c r="U107" i="72" s="1"/>
  <c r="AA107" i="72" s="1"/>
  <c r="AP177" i="48"/>
  <c r="AF177" i="48"/>
  <c r="U177" i="48"/>
  <c r="AZ177" i="48"/>
  <c r="AZ165" i="48"/>
  <c r="AP165" i="48"/>
  <c r="U165" i="48"/>
  <c r="AF165" i="48"/>
  <c r="W179" i="48"/>
  <c r="AR179" i="48"/>
  <c r="AH179" i="48"/>
  <c r="BB179" i="48"/>
  <c r="W176" i="48"/>
  <c r="AH176" i="48"/>
  <c r="BB176" i="48"/>
  <c r="AR176" i="48"/>
  <c r="W173" i="48"/>
  <c r="BB173" i="48"/>
  <c r="AR173" i="48"/>
  <c r="AH173" i="48"/>
  <c r="W170" i="48"/>
  <c r="AR170" i="48"/>
  <c r="BB170" i="48"/>
  <c r="AH170" i="48"/>
  <c r="W167" i="48"/>
  <c r="AR167" i="48"/>
  <c r="AH167" i="48"/>
  <c r="BB167" i="48"/>
  <c r="W164" i="48"/>
  <c r="BB164" i="48"/>
  <c r="AH164" i="48"/>
  <c r="AR164" i="48"/>
  <c r="W161" i="48"/>
  <c r="AH161" i="48"/>
  <c r="AR161" i="48"/>
  <c r="BB161" i="48"/>
  <c r="W158" i="48"/>
  <c r="AR158" i="48"/>
  <c r="AH158" i="48"/>
  <c r="BB158" i="48"/>
  <c r="AZ179" i="50"/>
  <c r="AF179" i="50"/>
  <c r="AP179" i="50"/>
  <c r="U179" i="50"/>
  <c r="W177" i="50"/>
  <c r="AR177" i="50"/>
  <c r="BB177" i="50"/>
  <c r="AH177" i="50"/>
  <c r="AS175" i="50"/>
  <c r="AI175" i="50"/>
  <c r="X175" i="50"/>
  <c r="BC175" i="50"/>
  <c r="BA172" i="50"/>
  <c r="AQ172" i="50"/>
  <c r="V172" i="50"/>
  <c r="AG172" i="50"/>
  <c r="AE170" i="50"/>
  <c r="AY170" i="50"/>
  <c r="AO170" i="50"/>
  <c r="T170" i="50"/>
  <c r="AP167" i="50"/>
  <c r="AZ167" i="50"/>
  <c r="AF167" i="50"/>
  <c r="U167" i="50"/>
  <c r="AR165" i="50"/>
  <c r="W165" i="50"/>
  <c r="AH165" i="50"/>
  <c r="BB165" i="50"/>
  <c r="AS163" i="50"/>
  <c r="AI163" i="50"/>
  <c r="X163" i="50"/>
  <c r="BC163" i="50"/>
  <c r="BA160" i="50"/>
  <c r="V160" i="50"/>
  <c r="AQ160" i="50"/>
  <c r="AG160" i="50"/>
  <c r="AE158" i="50"/>
  <c r="AY158" i="50"/>
  <c r="AO158" i="50"/>
  <c r="T158" i="50"/>
  <c r="AG177" i="1"/>
  <c r="V177" i="1"/>
  <c r="BA177" i="1"/>
  <c r="AQ177" i="1"/>
  <c r="AY175" i="1"/>
  <c r="AE175" i="1"/>
  <c r="AO175" i="1"/>
  <c r="T175" i="1"/>
  <c r="U172" i="1"/>
  <c r="AP172" i="1"/>
  <c r="AZ172" i="1"/>
  <c r="AF172" i="1"/>
  <c r="W170" i="1"/>
  <c r="BB170" i="1"/>
  <c r="AH170" i="1"/>
  <c r="AR170" i="1"/>
  <c r="BC168" i="1"/>
  <c r="AI168" i="1"/>
  <c r="AS168" i="1"/>
  <c r="X168" i="1"/>
  <c r="V165" i="1"/>
  <c r="BA165" i="1"/>
  <c r="AQ165" i="1"/>
  <c r="AG165" i="1"/>
  <c r="AE163" i="1"/>
  <c r="T163" i="1"/>
  <c r="AO163" i="1"/>
  <c r="AY163" i="1"/>
  <c r="AZ160" i="1"/>
  <c r="AF160" i="1"/>
  <c r="AP160" i="1"/>
  <c r="U160" i="1"/>
  <c r="W158" i="1"/>
  <c r="AH158" i="1"/>
  <c r="AR158" i="1"/>
  <c r="BB158" i="1"/>
  <c r="AR179" i="49"/>
  <c r="BB179" i="49"/>
  <c r="W179" i="49"/>
  <c r="AH179" i="49"/>
  <c r="BC177" i="49"/>
  <c r="X177" i="49"/>
  <c r="AS177" i="49"/>
  <c r="AI177" i="49"/>
  <c r="V174" i="49"/>
  <c r="BA174" i="49"/>
  <c r="AG174" i="49"/>
  <c r="AQ174" i="49"/>
  <c r="AE172" i="49"/>
  <c r="AO172" i="49"/>
  <c r="AY172" i="49"/>
  <c r="T172" i="49"/>
  <c r="AP169" i="49"/>
  <c r="AF169" i="49"/>
  <c r="AZ169" i="49"/>
  <c r="U169" i="49"/>
  <c r="AR167" i="49"/>
  <c r="AH167" i="49"/>
  <c r="BB167" i="49"/>
  <c r="W167" i="49"/>
  <c r="BC165" i="49"/>
  <c r="X165" i="49"/>
  <c r="AI165" i="49"/>
  <c r="AS165" i="49"/>
  <c r="R174" i="73"/>
  <c r="S174" i="73" s="1"/>
  <c r="BA92" i="72" s="1"/>
  <c r="AG162" i="49"/>
  <c r="BA162" i="49"/>
  <c r="AQ162" i="49"/>
  <c r="V162" i="49"/>
  <c r="AE160" i="49"/>
  <c r="AY160" i="49"/>
  <c r="AO160" i="49"/>
  <c r="T160" i="49"/>
  <c r="T176" i="47"/>
  <c r="AO176" i="47"/>
  <c r="AE176" i="47"/>
  <c r="AY176" i="47"/>
  <c r="AF174" i="47"/>
  <c r="AZ174" i="47"/>
  <c r="U174" i="47"/>
  <c r="AP174" i="47"/>
  <c r="AG171" i="47"/>
  <c r="V171" i="47"/>
  <c r="AQ171" i="47"/>
  <c r="BA171" i="47"/>
  <c r="AY164" i="47"/>
  <c r="AE164" i="47"/>
  <c r="T164" i="47"/>
  <c r="AO164" i="47"/>
  <c r="F15" i="73"/>
  <c r="E24" i="72" s="1"/>
  <c r="M24" i="72" s="1"/>
  <c r="U162" i="47"/>
  <c r="AP162" i="47"/>
  <c r="AZ162" i="47"/>
  <c r="AF162" i="47"/>
  <c r="V159" i="47"/>
  <c r="AG159" i="47"/>
  <c r="BA159" i="47"/>
  <c r="AQ159" i="47"/>
  <c r="E73" i="73"/>
  <c r="I73" i="73" s="1"/>
  <c r="X29" i="72" s="1"/>
  <c r="AO167" i="1"/>
  <c r="T167" i="1"/>
  <c r="AY167" i="1"/>
  <c r="AE167" i="1"/>
  <c r="W162" i="1"/>
  <c r="AR162" i="1"/>
  <c r="AH162" i="1"/>
  <c r="BB162" i="1"/>
  <c r="U173" i="49"/>
  <c r="AF173" i="49"/>
  <c r="AP173" i="49"/>
  <c r="AZ173" i="49"/>
  <c r="BC169" i="49"/>
  <c r="AI169" i="49"/>
  <c r="X169" i="49"/>
  <c r="AS169" i="49"/>
  <c r="AO164" i="49"/>
  <c r="T164" i="49"/>
  <c r="AY164" i="49"/>
  <c r="AE164" i="49"/>
  <c r="AR159" i="49"/>
  <c r="AH159" i="49"/>
  <c r="BB159" i="49"/>
  <c r="W159" i="49"/>
  <c r="AQ175" i="47"/>
  <c r="AG175" i="47"/>
  <c r="V175" i="47"/>
  <c r="BA175" i="47"/>
  <c r="AZ166" i="47"/>
  <c r="AP166" i="47"/>
  <c r="U166" i="47"/>
  <c r="AF166" i="47"/>
  <c r="T136" i="73"/>
  <c r="AM107" i="72" s="1"/>
  <c r="AG169" i="24"/>
  <c r="V169" i="24"/>
  <c r="AQ169" i="24"/>
  <c r="BA169" i="24"/>
  <c r="U159" i="24"/>
  <c r="AF159" i="24"/>
  <c r="AZ159" i="24"/>
  <c r="AP159" i="24"/>
  <c r="AS175" i="24"/>
  <c r="AI175" i="24"/>
  <c r="BC175" i="24"/>
  <c r="X175" i="24"/>
  <c r="BC163" i="24"/>
  <c r="AS163" i="24"/>
  <c r="AI163" i="24"/>
  <c r="X163" i="24"/>
  <c r="AP172" i="48"/>
  <c r="U172" i="48"/>
  <c r="AF172" i="48"/>
  <c r="AZ172" i="48"/>
  <c r="AO175" i="48"/>
  <c r="AY175" i="48"/>
  <c r="T175" i="48"/>
  <c r="AE175" i="48"/>
  <c r="AO172" i="48"/>
  <c r="AY172" i="48"/>
  <c r="AE172" i="48"/>
  <c r="T172" i="48"/>
  <c r="T169" i="48"/>
  <c r="AY169" i="48"/>
  <c r="AO169" i="48"/>
  <c r="AE169" i="48"/>
  <c r="AO166" i="48"/>
  <c r="T166" i="48"/>
  <c r="AE166" i="48"/>
  <c r="AY166" i="48"/>
  <c r="AE160" i="48"/>
  <c r="T160" i="48"/>
  <c r="AO160" i="48"/>
  <c r="AY160" i="48"/>
  <c r="Q137" i="73"/>
  <c r="AJ108" i="72" s="1"/>
  <c r="AR108" i="72" s="1"/>
  <c r="AF178" i="50"/>
  <c r="U178" i="50"/>
  <c r="AP178" i="50"/>
  <c r="AZ178" i="50"/>
  <c r="AR176" i="50"/>
  <c r="W176" i="50"/>
  <c r="BB176" i="50"/>
  <c r="AH176" i="50"/>
  <c r="X174" i="50"/>
  <c r="AS174" i="50"/>
  <c r="BC174" i="50"/>
  <c r="AI174" i="50"/>
  <c r="P128" i="73"/>
  <c r="AI99" i="72" s="1"/>
  <c r="T169" i="50"/>
  <c r="AE169" i="50"/>
  <c r="AO169" i="50"/>
  <c r="AY169" i="50"/>
  <c r="Q125" i="73"/>
  <c r="AJ96" i="72" s="1"/>
  <c r="U166" i="50"/>
  <c r="AF166" i="50"/>
  <c r="AP166" i="50"/>
  <c r="AZ166" i="50"/>
  <c r="AR164" i="50"/>
  <c r="W164" i="50"/>
  <c r="AH164" i="50"/>
  <c r="BB164" i="50"/>
  <c r="T121" i="73"/>
  <c r="AM92" i="72" s="1"/>
  <c r="X162" i="50"/>
  <c r="AI162" i="50"/>
  <c r="BC162" i="50"/>
  <c r="AS162" i="50"/>
  <c r="R118" i="73"/>
  <c r="AK89" i="72" s="1"/>
  <c r="V159" i="50"/>
  <c r="BA159" i="50"/>
  <c r="AQ159" i="50"/>
  <c r="AG159" i="50"/>
  <c r="BC179" i="1"/>
  <c r="AI179" i="1"/>
  <c r="AS179" i="1"/>
  <c r="X179" i="1"/>
  <c r="T174" i="1"/>
  <c r="AO174" i="1"/>
  <c r="AY174" i="1"/>
  <c r="AE174" i="1"/>
  <c r="AF171" i="1"/>
  <c r="U171" i="1"/>
  <c r="AZ171" i="1"/>
  <c r="AP171" i="1"/>
  <c r="W169" i="1"/>
  <c r="AH169" i="1"/>
  <c r="AR169" i="1"/>
  <c r="BB169" i="1"/>
  <c r="AS167" i="1"/>
  <c r="X167" i="1"/>
  <c r="BC167" i="1"/>
  <c r="AI167" i="1"/>
  <c r="V164" i="1"/>
  <c r="AQ164" i="1"/>
  <c r="AG164" i="1"/>
  <c r="BA164" i="1"/>
  <c r="AE162" i="1"/>
  <c r="T162" i="1"/>
  <c r="AO162" i="1"/>
  <c r="AY162" i="1"/>
  <c r="AZ159" i="1"/>
  <c r="AP159" i="1"/>
  <c r="AF159" i="1"/>
  <c r="U159" i="1"/>
  <c r="AR178" i="49"/>
  <c r="W178" i="49"/>
  <c r="AH178" i="49"/>
  <c r="BB178" i="49"/>
  <c r="BC176" i="49"/>
  <c r="AI176" i="49"/>
  <c r="AS176" i="49"/>
  <c r="X176" i="49"/>
  <c r="R185" i="73"/>
  <c r="AZ103" i="72" s="1"/>
  <c r="BA173" i="49"/>
  <c r="AQ173" i="49"/>
  <c r="AG173" i="49"/>
  <c r="V173" i="49"/>
  <c r="AY171" i="49"/>
  <c r="T171" i="49"/>
  <c r="AE171" i="49"/>
  <c r="AO171" i="49"/>
  <c r="Q180" i="73"/>
  <c r="AY98" i="72" s="1"/>
  <c r="BG98" i="72" s="1"/>
  <c r="AZ168" i="49"/>
  <c r="AF168" i="49"/>
  <c r="AP168" i="49"/>
  <c r="U168" i="49"/>
  <c r="AR166" i="49"/>
  <c r="AH166" i="49"/>
  <c r="W166" i="49"/>
  <c r="BB166" i="49"/>
  <c r="V161" i="49"/>
  <c r="AQ161" i="49"/>
  <c r="AG161" i="49"/>
  <c r="BA161" i="49"/>
  <c r="AY159" i="49"/>
  <c r="T159" i="49"/>
  <c r="AE159" i="49"/>
  <c r="AO159" i="49"/>
  <c r="AE175" i="47"/>
  <c r="T175" i="47"/>
  <c r="AO175" i="47"/>
  <c r="AY175" i="47"/>
  <c r="AZ173" i="47"/>
  <c r="AF173" i="47"/>
  <c r="AP173" i="47"/>
  <c r="U173" i="47"/>
  <c r="AG170" i="47"/>
  <c r="AQ170" i="47"/>
  <c r="V170" i="47"/>
  <c r="BA170" i="47"/>
  <c r="AE163" i="47"/>
  <c r="AY163" i="47"/>
  <c r="T163" i="47"/>
  <c r="AO163" i="47"/>
  <c r="AQ158" i="47"/>
  <c r="AG158" i="47"/>
  <c r="V158" i="47"/>
  <c r="BA158" i="47"/>
  <c r="AR175" i="24"/>
  <c r="W175" i="24"/>
  <c r="BB175" i="24"/>
  <c r="AH175" i="24"/>
  <c r="AR169" i="24"/>
  <c r="BB169" i="24"/>
  <c r="W169" i="24"/>
  <c r="AH169" i="24"/>
  <c r="AF170" i="24"/>
  <c r="AZ170" i="24"/>
  <c r="AP170" i="24"/>
  <c r="U170" i="24"/>
  <c r="AF158" i="24"/>
  <c r="U158" i="24"/>
  <c r="AP158" i="24"/>
  <c r="AZ158" i="24"/>
  <c r="AE174" i="24"/>
  <c r="T174" i="24"/>
  <c r="AO174" i="24"/>
  <c r="AY174" i="24"/>
  <c r="AE168" i="24"/>
  <c r="AY168" i="24"/>
  <c r="AO168" i="24"/>
  <c r="T168" i="24"/>
  <c r="AP159" i="48"/>
  <c r="AF159" i="48"/>
  <c r="U159" i="48"/>
  <c r="AZ159" i="48"/>
  <c r="BC172" i="48"/>
  <c r="AI172" i="48"/>
  <c r="X172" i="48"/>
  <c r="AS172" i="48"/>
  <c r="BC163" i="48"/>
  <c r="X163" i="48"/>
  <c r="AS163" i="48"/>
  <c r="AI163" i="48"/>
  <c r="AR171" i="50"/>
  <c r="W171" i="50"/>
  <c r="BB171" i="50"/>
  <c r="AH171" i="50"/>
  <c r="W159" i="50"/>
  <c r="AR159" i="50"/>
  <c r="BB159" i="50"/>
  <c r="AH159" i="50"/>
  <c r="X174" i="1"/>
  <c r="AS174" i="1"/>
  <c r="AI174" i="1"/>
  <c r="BC174" i="1"/>
  <c r="AS162" i="1"/>
  <c r="X162" i="1"/>
  <c r="BC162" i="1"/>
  <c r="AI162" i="1"/>
  <c r="BC171" i="49"/>
  <c r="X171" i="49"/>
  <c r="AI171" i="49"/>
  <c r="AS171" i="49"/>
  <c r="AR161" i="49"/>
  <c r="BB161" i="49"/>
  <c r="W161" i="49"/>
  <c r="AH161" i="49"/>
  <c r="T170" i="47"/>
  <c r="AE170" i="47"/>
  <c r="AO170" i="47"/>
  <c r="AY170" i="47"/>
  <c r="AG165" i="47"/>
  <c r="AQ165" i="47"/>
  <c r="BA165" i="47"/>
  <c r="V165" i="47"/>
  <c r="AE158" i="47"/>
  <c r="AO158" i="47"/>
  <c r="T158" i="47"/>
  <c r="AY158" i="47"/>
  <c r="R11" i="73"/>
  <c r="F88" i="72" s="1"/>
  <c r="BA158" i="24"/>
  <c r="AQ158" i="24"/>
  <c r="V158" i="24"/>
  <c r="AG158" i="24"/>
  <c r="R15" i="73"/>
  <c r="F92" i="72" s="1"/>
  <c r="AQ162" i="24"/>
  <c r="AG162" i="24"/>
  <c r="BA162" i="24"/>
  <c r="V162" i="24"/>
  <c r="BC162" i="24"/>
  <c r="AS162" i="24"/>
  <c r="AI162" i="24"/>
  <c r="X162" i="24"/>
  <c r="AP170" i="48"/>
  <c r="AZ170" i="48"/>
  <c r="AF170" i="48"/>
  <c r="U170" i="48"/>
  <c r="BA162" i="48"/>
  <c r="AQ162" i="48"/>
  <c r="AG162" i="48"/>
  <c r="V162" i="48"/>
  <c r="AS176" i="50"/>
  <c r="X176" i="50"/>
  <c r="BC176" i="50"/>
  <c r="AI176" i="50"/>
  <c r="P130" i="73"/>
  <c r="AI101" i="72" s="1"/>
  <c r="AE171" i="50"/>
  <c r="AO171" i="50"/>
  <c r="T171" i="50"/>
  <c r="AY171" i="50"/>
  <c r="AR166" i="50"/>
  <c r="W166" i="50"/>
  <c r="BB166" i="50"/>
  <c r="AH166" i="50"/>
  <c r="BA161" i="50"/>
  <c r="V161" i="50"/>
  <c r="AQ161" i="50"/>
  <c r="AG161" i="50"/>
  <c r="AG178" i="1"/>
  <c r="V178" i="1"/>
  <c r="AQ178" i="1"/>
  <c r="BA178" i="1"/>
  <c r="U173" i="1"/>
  <c r="AP173" i="1"/>
  <c r="AZ173" i="1"/>
  <c r="AF173" i="1"/>
  <c r="BC169" i="1"/>
  <c r="AI169" i="1"/>
  <c r="X169" i="1"/>
  <c r="AS169" i="1"/>
  <c r="AO164" i="1"/>
  <c r="T164" i="1"/>
  <c r="AY164" i="1"/>
  <c r="AE164" i="1"/>
  <c r="W159" i="1"/>
  <c r="AH159" i="1"/>
  <c r="BB159" i="1"/>
  <c r="AR159" i="1"/>
  <c r="AQ175" i="49"/>
  <c r="V175" i="49"/>
  <c r="AG175" i="49"/>
  <c r="BA175" i="49"/>
  <c r="AF170" i="49"/>
  <c r="AZ170" i="49"/>
  <c r="AP170" i="49"/>
  <c r="U170" i="49"/>
  <c r="AR168" i="49"/>
  <c r="W168" i="49"/>
  <c r="AH168" i="49"/>
  <c r="BB168" i="49"/>
  <c r="AQ163" i="49"/>
  <c r="AG163" i="49"/>
  <c r="V163" i="49"/>
  <c r="BA163" i="49"/>
  <c r="AZ158" i="49"/>
  <c r="AP158" i="49"/>
  <c r="AF158" i="49"/>
  <c r="U158" i="49"/>
  <c r="AY177" i="47"/>
  <c r="AO177" i="47"/>
  <c r="AE177" i="47"/>
  <c r="T177" i="47"/>
  <c r="U175" i="47"/>
  <c r="AP175" i="47"/>
  <c r="AF175" i="47"/>
  <c r="AZ175" i="47"/>
  <c r="AY165" i="47"/>
  <c r="AE165" i="47"/>
  <c r="T165" i="47"/>
  <c r="AO165" i="47"/>
  <c r="AF163" i="47"/>
  <c r="U163" i="47"/>
  <c r="AP163" i="47"/>
  <c r="AZ163" i="47"/>
  <c r="R16" i="73"/>
  <c r="S16" i="73" s="1"/>
  <c r="G93" i="72" s="1"/>
  <c r="Q170" i="73"/>
  <c r="AY88" i="72" s="1"/>
  <c r="BG88" i="72" s="1"/>
  <c r="P75" i="73"/>
  <c r="T99" i="72" s="1"/>
  <c r="AG173" i="24"/>
  <c r="BA173" i="24"/>
  <c r="V173" i="24"/>
  <c r="AQ173" i="24"/>
  <c r="AS179" i="24"/>
  <c r="BC179" i="24"/>
  <c r="AI179" i="24"/>
  <c r="X179" i="24"/>
  <c r="P68" i="73"/>
  <c r="T68" i="73" s="1"/>
  <c r="X92" i="72" s="1"/>
  <c r="AE162" i="48"/>
  <c r="AO162" i="48"/>
  <c r="T162" i="48"/>
  <c r="AY162" i="48"/>
  <c r="X166" i="50"/>
  <c r="AI166" i="50"/>
  <c r="AS166" i="50"/>
  <c r="BC166" i="50"/>
  <c r="Q23" i="73"/>
  <c r="E100" i="72" s="1"/>
  <c r="K100" i="72" s="1"/>
  <c r="P21" i="73"/>
  <c r="D98" i="72" s="1"/>
  <c r="P69" i="73"/>
  <c r="T93" i="72" s="1"/>
  <c r="Q173" i="73"/>
  <c r="AY91" i="72" s="1"/>
  <c r="BE91" i="72" s="1"/>
  <c r="AQ177" i="24"/>
  <c r="BA177" i="24"/>
  <c r="AG177" i="24"/>
  <c r="V177" i="24"/>
  <c r="AG171" i="24"/>
  <c r="AQ171" i="24"/>
  <c r="BA171" i="24"/>
  <c r="V171" i="24"/>
  <c r="R18" i="73"/>
  <c r="F95" i="72" s="1"/>
  <c r="AG165" i="24"/>
  <c r="BA165" i="24"/>
  <c r="V165" i="24"/>
  <c r="AQ165" i="24"/>
  <c r="BA159" i="24"/>
  <c r="V159" i="24"/>
  <c r="AQ159" i="24"/>
  <c r="AG159" i="24"/>
  <c r="AF175" i="24"/>
  <c r="AP175" i="24"/>
  <c r="U175" i="24"/>
  <c r="AZ175" i="24"/>
  <c r="Q16" i="73"/>
  <c r="E93" i="72" s="1"/>
  <c r="M93" i="72" s="1"/>
  <c r="AP163" i="24"/>
  <c r="AF163" i="24"/>
  <c r="U163" i="24"/>
  <c r="AZ163" i="24"/>
  <c r="BC177" i="24"/>
  <c r="AS177" i="24"/>
  <c r="AI177" i="24"/>
  <c r="X177" i="24"/>
  <c r="AS171" i="24"/>
  <c r="BC171" i="24"/>
  <c r="AI171" i="24"/>
  <c r="X171" i="24"/>
  <c r="BC165" i="24"/>
  <c r="AS165" i="24"/>
  <c r="AI165" i="24"/>
  <c r="X165" i="24"/>
  <c r="BC159" i="24"/>
  <c r="AS159" i="24"/>
  <c r="X159" i="24"/>
  <c r="AI159" i="24"/>
  <c r="U176" i="48"/>
  <c r="AF176" i="48"/>
  <c r="AP176" i="48"/>
  <c r="AZ176" i="48"/>
  <c r="Q70" i="73"/>
  <c r="U94" i="72" s="1"/>
  <c r="AC94" i="72" s="1"/>
  <c r="AF164" i="48"/>
  <c r="AP164" i="48"/>
  <c r="AZ164" i="48"/>
  <c r="U164" i="48"/>
  <c r="AY179" i="48"/>
  <c r="AE179" i="48"/>
  <c r="T179" i="48"/>
  <c r="AO179" i="48"/>
  <c r="AE176" i="48"/>
  <c r="AY176" i="48"/>
  <c r="T176" i="48"/>
  <c r="AO176" i="48"/>
  <c r="AY173" i="48"/>
  <c r="AE173" i="48"/>
  <c r="AO173" i="48"/>
  <c r="T173" i="48"/>
  <c r="P76" i="73"/>
  <c r="T100" i="72" s="1"/>
  <c r="AY170" i="48"/>
  <c r="AE170" i="48"/>
  <c r="T170" i="48"/>
  <c r="AO170" i="48"/>
  <c r="AE167" i="48"/>
  <c r="T167" i="48"/>
  <c r="AY167" i="48"/>
  <c r="AO167" i="48"/>
  <c r="P70" i="73"/>
  <c r="T94" i="72" s="1"/>
  <c r="AO164" i="48"/>
  <c r="AE164" i="48"/>
  <c r="T164" i="48"/>
  <c r="AY164" i="48"/>
  <c r="P67" i="73"/>
  <c r="AO161" i="48"/>
  <c r="AY161" i="48"/>
  <c r="AE161" i="48"/>
  <c r="T161" i="48"/>
  <c r="T158" i="48"/>
  <c r="AE158" i="48"/>
  <c r="AO158" i="48"/>
  <c r="AY158" i="48"/>
  <c r="BA179" i="50"/>
  <c r="AG179" i="50"/>
  <c r="AQ179" i="50"/>
  <c r="V179" i="50"/>
  <c r="AE177" i="50"/>
  <c r="AO177" i="50"/>
  <c r="AY177" i="50"/>
  <c r="T177" i="50"/>
  <c r="AF174" i="50"/>
  <c r="AP174" i="50"/>
  <c r="U174" i="50"/>
  <c r="AZ174" i="50"/>
  <c r="AR172" i="50"/>
  <c r="W172" i="50"/>
  <c r="AH172" i="50"/>
  <c r="BB172" i="50"/>
  <c r="AS170" i="50"/>
  <c r="X170" i="50"/>
  <c r="AI170" i="50"/>
  <c r="BC170" i="50"/>
  <c r="BA167" i="50"/>
  <c r="AQ167" i="50"/>
  <c r="AG167" i="50"/>
  <c r="V167" i="50"/>
  <c r="P124" i="73"/>
  <c r="T124" i="73" s="1"/>
  <c r="AM95" i="72" s="1"/>
  <c r="AY165" i="50"/>
  <c r="T165" i="50"/>
  <c r="AE165" i="50"/>
  <c r="AO165" i="50"/>
  <c r="Q121" i="73"/>
  <c r="AJ92" i="72" s="1"/>
  <c r="AP162" i="50"/>
  <c r="AF162" i="50"/>
  <c r="AZ162" i="50"/>
  <c r="U162" i="50"/>
  <c r="W160" i="50"/>
  <c r="AR160" i="50"/>
  <c r="BB160" i="50"/>
  <c r="AH160" i="50"/>
  <c r="AS158" i="50"/>
  <c r="X158" i="50"/>
  <c r="AI158" i="50"/>
  <c r="BC158" i="50"/>
  <c r="AZ179" i="1"/>
  <c r="U179" i="1"/>
  <c r="AF179" i="1"/>
  <c r="AP179" i="1"/>
  <c r="W177" i="1"/>
  <c r="AH177" i="1"/>
  <c r="BB177" i="1"/>
  <c r="AR177" i="1"/>
  <c r="X175" i="1"/>
  <c r="BC175" i="1"/>
  <c r="AS175" i="1"/>
  <c r="AI175" i="1"/>
  <c r="AG172" i="1"/>
  <c r="V172" i="1"/>
  <c r="BA172" i="1"/>
  <c r="AQ172" i="1"/>
  <c r="AY170" i="1"/>
  <c r="AO170" i="1"/>
  <c r="T170" i="1"/>
  <c r="AE170" i="1"/>
  <c r="AP167" i="1"/>
  <c r="AZ167" i="1"/>
  <c r="AF167" i="1"/>
  <c r="U167" i="1"/>
  <c r="W165" i="1"/>
  <c r="BB165" i="1"/>
  <c r="AR165" i="1"/>
  <c r="AH165" i="1"/>
  <c r="X163" i="1"/>
  <c r="AS163" i="1"/>
  <c r="BC163" i="1"/>
  <c r="AI163" i="1"/>
  <c r="V160" i="1"/>
  <c r="AG160" i="1"/>
  <c r="BA160" i="1"/>
  <c r="AQ160" i="1"/>
  <c r="T158" i="1"/>
  <c r="AO158" i="1"/>
  <c r="AY158" i="1"/>
  <c r="AE158" i="1"/>
  <c r="AY179" i="49"/>
  <c r="AO179" i="49"/>
  <c r="AE179" i="49"/>
  <c r="T179" i="49"/>
  <c r="AF176" i="49"/>
  <c r="AP176" i="49"/>
  <c r="AZ176" i="49"/>
  <c r="U176" i="49"/>
  <c r="AR174" i="49"/>
  <c r="AH174" i="49"/>
  <c r="W174" i="49"/>
  <c r="BB174" i="49"/>
  <c r="BC172" i="49"/>
  <c r="X172" i="49"/>
  <c r="AS172" i="49"/>
  <c r="AI172" i="49"/>
  <c r="AQ169" i="49"/>
  <c r="AG169" i="49"/>
  <c r="V169" i="49"/>
  <c r="BA169" i="49"/>
  <c r="AY167" i="49"/>
  <c r="T167" i="49"/>
  <c r="AE167" i="49"/>
  <c r="AO167" i="49"/>
  <c r="U164" i="49"/>
  <c r="AF164" i="49"/>
  <c r="AZ164" i="49"/>
  <c r="AP164" i="49"/>
  <c r="AR162" i="49"/>
  <c r="AH162" i="49"/>
  <c r="BB162" i="49"/>
  <c r="W162" i="49"/>
  <c r="BC160" i="49"/>
  <c r="AS160" i="49"/>
  <c r="X160" i="49"/>
  <c r="AI160" i="49"/>
  <c r="G31" i="73"/>
  <c r="F40" i="72" s="1"/>
  <c r="AQ178" i="47"/>
  <c r="V178" i="47"/>
  <c r="AG178" i="47"/>
  <c r="BA178" i="47"/>
  <c r="AY171" i="47"/>
  <c r="AE171" i="47"/>
  <c r="T171" i="47"/>
  <c r="AO171" i="47"/>
  <c r="AZ169" i="47"/>
  <c r="AF169" i="47"/>
  <c r="U169" i="47"/>
  <c r="AP169" i="47"/>
  <c r="BA166" i="47"/>
  <c r="AG166" i="47"/>
  <c r="AQ166" i="47"/>
  <c r="V166" i="47"/>
  <c r="T159" i="47"/>
  <c r="AO159" i="47"/>
  <c r="AY159" i="47"/>
  <c r="AE159" i="47"/>
  <c r="P12" i="49"/>
  <c r="C280" i="49" s="1"/>
  <c r="P9" i="49"/>
  <c r="C128" i="49" s="1"/>
  <c r="BG99" i="72"/>
  <c r="T183" i="73"/>
  <c r="BB101" i="72" s="1"/>
  <c r="BE93" i="72"/>
  <c r="P214" i="73"/>
  <c r="AX132" i="72" s="1"/>
  <c r="P207" i="73"/>
  <c r="Q187" i="73"/>
  <c r="AY105" i="72" s="1"/>
  <c r="BG105" i="72" s="1"/>
  <c r="R207" i="73"/>
  <c r="AZ125" i="72" s="1"/>
  <c r="P208" i="73"/>
  <c r="T208" i="73" s="1"/>
  <c r="BB126" i="72" s="1"/>
  <c r="R173" i="73"/>
  <c r="S173" i="73" s="1"/>
  <c r="BA91" i="72" s="1"/>
  <c r="P188" i="73"/>
  <c r="Q196" i="73"/>
  <c r="AY114" i="72" s="1"/>
  <c r="BG114" i="72" s="1"/>
  <c r="AZ134" i="72"/>
  <c r="P200" i="73"/>
  <c r="T200" i="73" s="1"/>
  <c r="BB118" i="72" s="1"/>
  <c r="R182" i="73"/>
  <c r="AZ100" i="72" s="1"/>
  <c r="R200" i="73"/>
  <c r="R197" i="73"/>
  <c r="AZ115" i="72" s="1"/>
  <c r="P182" i="73"/>
  <c r="AX100" i="72" s="1"/>
  <c r="T213" i="73"/>
  <c r="BB131" i="72" s="1"/>
  <c r="P178" i="73"/>
  <c r="T178" i="73" s="1"/>
  <c r="BB96" i="72" s="1"/>
  <c r="R214" i="73"/>
  <c r="AZ132" i="72" s="1"/>
  <c r="P215" i="73"/>
  <c r="AX133" i="72" s="1"/>
  <c r="P209" i="73"/>
  <c r="T209" i="73" s="1"/>
  <c r="BB127" i="72" s="1"/>
  <c r="P203" i="73"/>
  <c r="P175" i="73"/>
  <c r="AX93" i="72" s="1"/>
  <c r="P202" i="73"/>
  <c r="T202" i="73" s="1"/>
  <c r="BB120" i="72" s="1"/>
  <c r="P199" i="73"/>
  <c r="T199" i="73" s="1"/>
  <c r="BB117" i="72" s="1"/>
  <c r="Q185" i="73"/>
  <c r="AY103" i="72" s="1"/>
  <c r="BE103" i="72" s="1"/>
  <c r="R190" i="73"/>
  <c r="P176" i="73"/>
  <c r="AX94" i="72" s="1"/>
  <c r="R203" i="73"/>
  <c r="S203" i="73" s="1"/>
  <c r="BA121" i="72" s="1"/>
  <c r="R201" i="73"/>
  <c r="P187" i="73"/>
  <c r="AX105" i="72" s="1"/>
  <c r="P205" i="73"/>
  <c r="AX123" i="72" s="1"/>
  <c r="R212" i="73"/>
  <c r="AZ130" i="72" s="1"/>
  <c r="Q206" i="73"/>
  <c r="AY124" i="72" s="1"/>
  <c r="P11" i="1"/>
  <c r="C231" i="1" s="1"/>
  <c r="I66" i="73"/>
  <c r="X22" i="72" s="1"/>
  <c r="Z22" i="72" s="1"/>
  <c r="T58" i="72"/>
  <c r="I81" i="73"/>
  <c r="X37" i="72" s="1"/>
  <c r="T37" i="72"/>
  <c r="AA41" i="72"/>
  <c r="I76" i="73"/>
  <c r="X32" i="72" s="1"/>
  <c r="AC24" i="72"/>
  <c r="G77" i="73"/>
  <c r="H77" i="73" s="1"/>
  <c r="W33" i="72" s="1"/>
  <c r="G65" i="73"/>
  <c r="V21" i="72" s="1"/>
  <c r="E100" i="73"/>
  <c r="I100" i="73" s="1"/>
  <c r="X56" i="72" s="1"/>
  <c r="G67" i="73"/>
  <c r="F74" i="73"/>
  <c r="U30" i="72" s="1"/>
  <c r="AC30" i="72" s="1"/>
  <c r="F81" i="73"/>
  <c r="U37" i="72" s="1"/>
  <c r="AA37" i="72" s="1"/>
  <c r="F92" i="73"/>
  <c r="U48" i="72" s="1"/>
  <c r="AC48" i="72" s="1"/>
  <c r="F64" i="73"/>
  <c r="U20" i="72" s="1"/>
  <c r="E90" i="73"/>
  <c r="E75" i="73"/>
  <c r="T31" i="72" s="1"/>
  <c r="G95" i="73"/>
  <c r="G109" i="73"/>
  <c r="H109" i="73" s="1"/>
  <c r="W65" i="72" s="1"/>
  <c r="G83" i="73"/>
  <c r="G98" i="73"/>
  <c r="V54" i="72" s="1"/>
  <c r="E109" i="73"/>
  <c r="F101" i="73"/>
  <c r="U57" i="72" s="1"/>
  <c r="AC57" i="72" s="1"/>
  <c r="G66" i="73"/>
  <c r="E111" i="73"/>
  <c r="I111" i="73" s="1"/>
  <c r="X67" i="72" s="1"/>
  <c r="F108" i="73"/>
  <c r="U64" i="72" s="1"/>
  <c r="AA64" i="72" s="1"/>
  <c r="F79" i="73"/>
  <c r="U35" i="72" s="1"/>
  <c r="AC35" i="72" s="1"/>
  <c r="E68" i="73"/>
  <c r="E105" i="73"/>
  <c r="T61" i="72" s="1"/>
  <c r="E69" i="73"/>
  <c r="T25" i="72" s="1"/>
  <c r="E91" i="73"/>
  <c r="T47" i="72" s="1"/>
  <c r="G108" i="73"/>
  <c r="H108" i="73" s="1"/>
  <c r="W64" i="72" s="1"/>
  <c r="E106" i="73"/>
  <c r="T62" i="72" s="1"/>
  <c r="F103" i="73"/>
  <c r="U59" i="72" s="1"/>
  <c r="AC59" i="72" s="1"/>
  <c r="E65" i="73"/>
  <c r="T21" i="72" s="1"/>
  <c r="F69" i="73"/>
  <c r="U25" i="72" s="1"/>
  <c r="F78" i="73"/>
  <c r="U34" i="72" s="1"/>
  <c r="AA34" i="72" s="1"/>
  <c r="G84" i="73"/>
  <c r="G103" i="73"/>
  <c r="V59" i="72" s="1"/>
  <c r="F82" i="73"/>
  <c r="U38" i="72" s="1"/>
  <c r="AC38" i="72" s="1"/>
  <c r="P9" i="50"/>
  <c r="C128" i="50" s="1"/>
  <c r="AI107" i="72"/>
  <c r="S123" i="73"/>
  <c r="AL94" i="72" s="1"/>
  <c r="S149" i="73"/>
  <c r="AL120" i="72" s="1"/>
  <c r="AR90" i="72"/>
  <c r="AP90" i="72"/>
  <c r="R153" i="73"/>
  <c r="AK124" i="72" s="1"/>
  <c r="R147" i="73"/>
  <c r="AK118" i="72" s="1"/>
  <c r="T120" i="73"/>
  <c r="AM91" i="72" s="1"/>
  <c r="Q164" i="73"/>
  <c r="AJ135" i="72" s="1"/>
  <c r="AR135" i="72" s="1"/>
  <c r="Q144" i="73"/>
  <c r="AJ115" i="72" s="1"/>
  <c r="AP115" i="72" s="1"/>
  <c r="R144" i="73"/>
  <c r="S144" i="73" s="1"/>
  <c r="AL115" i="72" s="1"/>
  <c r="AP117" i="72"/>
  <c r="Q129" i="73"/>
  <c r="AJ100" i="72" s="1"/>
  <c r="AR100" i="72" s="1"/>
  <c r="Q149" i="73"/>
  <c r="AJ120" i="72" s="1"/>
  <c r="AR120" i="72" s="1"/>
  <c r="P164" i="73"/>
  <c r="P158" i="73"/>
  <c r="Q126" i="73"/>
  <c r="AJ97" i="72" s="1"/>
  <c r="AR97" i="72" s="1"/>
  <c r="P137" i="73"/>
  <c r="AI108" i="72" s="1"/>
  <c r="P154" i="73"/>
  <c r="AI125" i="72" s="1"/>
  <c r="Q159" i="73"/>
  <c r="AJ130" i="72" s="1"/>
  <c r="AR130" i="72" s="1"/>
  <c r="Q123" i="73"/>
  <c r="AJ94" i="72" s="1"/>
  <c r="AP94" i="72" s="1"/>
  <c r="AP109" i="72"/>
  <c r="Q131" i="73"/>
  <c r="AJ102" i="72" s="1"/>
  <c r="AR102" i="72" s="1"/>
  <c r="P147" i="73"/>
  <c r="AI118" i="72" s="1"/>
  <c r="R137" i="73"/>
  <c r="S137" i="73" s="1"/>
  <c r="AL108" i="72" s="1"/>
  <c r="R162" i="73"/>
  <c r="S162" i="73" s="1"/>
  <c r="AL133" i="72" s="1"/>
  <c r="Q160" i="73"/>
  <c r="AJ131" i="72" s="1"/>
  <c r="AR131" i="72" s="1"/>
  <c r="Q148" i="73"/>
  <c r="AJ119" i="72" s="1"/>
  <c r="AR119" i="72" s="1"/>
  <c r="R119" i="73"/>
  <c r="R151" i="73"/>
  <c r="AK122" i="72" s="1"/>
  <c r="R122" i="73"/>
  <c r="R127" i="73"/>
  <c r="S127" i="73" s="1"/>
  <c r="AL98" i="72" s="1"/>
  <c r="R134" i="73"/>
  <c r="S134" i="73" s="1"/>
  <c r="AL105" i="72" s="1"/>
  <c r="P155" i="73"/>
  <c r="AI126" i="72" s="1"/>
  <c r="R161" i="73"/>
  <c r="AK132" i="72" s="1"/>
  <c r="Q118" i="73"/>
  <c r="AJ89" i="72" s="1"/>
  <c r="R120" i="73"/>
  <c r="AK91" i="72" s="1"/>
  <c r="P117" i="73"/>
  <c r="P122" i="73"/>
  <c r="T127" i="73"/>
  <c r="AM98" i="72" s="1"/>
  <c r="P134" i="73"/>
  <c r="AI105" i="72" s="1"/>
  <c r="S138" i="73"/>
  <c r="AL109" i="72" s="1"/>
  <c r="R130" i="73"/>
  <c r="AK101" i="72" s="1"/>
  <c r="P12" i="48"/>
  <c r="C280" i="48" s="1"/>
  <c r="P100" i="73"/>
  <c r="T124" i="72" s="1"/>
  <c r="S95" i="73"/>
  <c r="W119" i="72" s="1"/>
  <c r="T103" i="73"/>
  <c r="X127" i="72" s="1"/>
  <c r="T75" i="73"/>
  <c r="X99" i="72" s="1"/>
  <c r="R68" i="73"/>
  <c r="V92" i="72" s="1"/>
  <c r="T108" i="73"/>
  <c r="X132" i="72" s="1"/>
  <c r="S96" i="73"/>
  <c r="W120" i="72" s="1"/>
  <c r="S106" i="73"/>
  <c r="W130" i="72" s="1"/>
  <c r="Z130" i="72" s="1"/>
  <c r="R109" i="73"/>
  <c r="V133" i="72" s="1"/>
  <c r="R105" i="73"/>
  <c r="V129" i="72" s="1"/>
  <c r="R110" i="73"/>
  <c r="V134" i="72" s="1"/>
  <c r="R98" i="73"/>
  <c r="V122" i="72" s="1"/>
  <c r="P77" i="73"/>
  <c r="R64" i="73"/>
  <c r="S64" i="73" s="1"/>
  <c r="W88" i="72" s="1"/>
  <c r="T109" i="73"/>
  <c r="X133" i="72" s="1"/>
  <c r="Q76" i="73"/>
  <c r="U100" i="72" s="1"/>
  <c r="AC100" i="72" s="1"/>
  <c r="R71" i="73"/>
  <c r="V95" i="72" s="1"/>
  <c r="AD95" i="72" s="1"/>
  <c r="AA101" i="72"/>
  <c r="S81" i="73"/>
  <c r="W105" i="72" s="1"/>
  <c r="R93" i="73"/>
  <c r="V117" i="72" s="1"/>
  <c r="S110" i="73"/>
  <c r="W134" i="72" s="1"/>
  <c r="T107" i="73"/>
  <c r="X131" i="72" s="1"/>
  <c r="T96" i="73"/>
  <c r="X120" i="72" s="1"/>
  <c r="Q94" i="73"/>
  <c r="U118" i="72" s="1"/>
  <c r="AA118" i="72" s="1"/>
  <c r="P95" i="73"/>
  <c r="T119" i="72" s="1"/>
  <c r="P85" i="73"/>
  <c r="P79" i="73"/>
  <c r="T79" i="73" s="1"/>
  <c r="X103" i="72" s="1"/>
  <c r="T99" i="73"/>
  <c r="X123" i="72" s="1"/>
  <c r="T66" i="73"/>
  <c r="X90" i="72" s="1"/>
  <c r="R74" i="73"/>
  <c r="S74" i="73" s="1"/>
  <c r="W98" i="72" s="1"/>
  <c r="T78" i="73"/>
  <c r="X102" i="72" s="1"/>
  <c r="Q82" i="73"/>
  <c r="U106" i="72" s="1"/>
  <c r="AC106" i="72" s="1"/>
  <c r="T97" i="73"/>
  <c r="X121" i="72" s="1"/>
  <c r="Q92" i="73"/>
  <c r="U116" i="72" s="1"/>
  <c r="T100" i="73"/>
  <c r="X124" i="72" s="1"/>
  <c r="R85" i="73"/>
  <c r="P64" i="73"/>
  <c r="S102" i="73"/>
  <c r="W126" i="72" s="1"/>
  <c r="S97" i="73"/>
  <c r="W121" i="72" s="1"/>
  <c r="Q65" i="73"/>
  <c r="U89" i="72" s="1"/>
  <c r="AC89" i="72" s="1"/>
  <c r="Q69" i="73"/>
  <c r="U93" i="72" s="1"/>
  <c r="R83" i="73"/>
  <c r="S83" i="73" s="1"/>
  <c r="W107" i="72" s="1"/>
  <c r="R90" i="73"/>
  <c r="V114" i="72" s="1"/>
  <c r="P105" i="73"/>
  <c r="T129" i="72" s="1"/>
  <c r="S101" i="73"/>
  <c r="W125" i="72" s="1"/>
  <c r="R97" i="73"/>
  <c r="V121" i="72" s="1"/>
  <c r="Q96" i="73"/>
  <c r="U120" i="72" s="1"/>
  <c r="AC120" i="72" s="1"/>
  <c r="R82" i="73"/>
  <c r="S80" i="73"/>
  <c r="W104" i="72" s="1"/>
  <c r="AC114" i="72"/>
  <c r="R79" i="73"/>
  <c r="V103" i="72" s="1"/>
  <c r="P91" i="73"/>
  <c r="T115" i="72" s="1"/>
  <c r="P10" i="24"/>
  <c r="C182" i="24" s="1"/>
  <c r="S31" i="73"/>
  <c r="G108" i="72" s="1"/>
  <c r="T19" i="73"/>
  <c r="H96" i="72" s="1"/>
  <c r="S19" i="73"/>
  <c r="G96" i="72" s="1"/>
  <c r="Q50" i="73"/>
  <c r="E127" i="72" s="1"/>
  <c r="Q31" i="73"/>
  <c r="E108" i="72" s="1"/>
  <c r="M108" i="72" s="1"/>
  <c r="R42" i="73"/>
  <c r="F119" i="72" s="1"/>
  <c r="P48" i="73"/>
  <c r="T48" i="73" s="1"/>
  <c r="H125" i="72" s="1"/>
  <c r="P50" i="73"/>
  <c r="P32" i="73"/>
  <c r="D109" i="72" s="1"/>
  <c r="R55" i="73"/>
  <c r="F132" i="72" s="1"/>
  <c r="P37" i="73"/>
  <c r="T37" i="73" s="1"/>
  <c r="H114" i="72" s="1"/>
  <c r="Q21" i="73"/>
  <c r="E98" i="72" s="1"/>
  <c r="P26" i="73"/>
  <c r="D103" i="72" s="1"/>
  <c r="R40" i="73"/>
  <c r="F117" i="72" s="1"/>
  <c r="Q15" i="73"/>
  <c r="E92" i="72" s="1"/>
  <c r="K92" i="72" s="1"/>
  <c r="Q28" i="73"/>
  <c r="E105" i="72" s="1"/>
  <c r="M105" i="72" s="1"/>
  <c r="R26" i="73"/>
  <c r="P25" i="73"/>
  <c r="R23" i="73"/>
  <c r="F100" i="72" s="1"/>
  <c r="M89" i="72"/>
  <c r="R25" i="73"/>
  <c r="S25" i="73" s="1"/>
  <c r="G102" i="72" s="1"/>
  <c r="Q20" i="73"/>
  <c r="E97" i="72" s="1"/>
  <c r="M97" i="72" s="1"/>
  <c r="R24" i="73"/>
  <c r="F101" i="72" s="1"/>
  <c r="R14" i="73"/>
  <c r="F91" i="72" s="1"/>
  <c r="P24" i="73"/>
  <c r="T24" i="73" s="1"/>
  <c r="H101" i="72" s="1"/>
  <c r="P14" i="73"/>
  <c r="P54" i="73"/>
  <c r="T54" i="73" s="1"/>
  <c r="H131" i="72" s="1"/>
  <c r="R45" i="73"/>
  <c r="F122" i="72" s="1"/>
  <c r="Q55" i="73"/>
  <c r="E132" i="72" s="1"/>
  <c r="Q27" i="73"/>
  <c r="E104" i="72" s="1"/>
  <c r="K104" i="72" s="1"/>
  <c r="R13" i="73"/>
  <c r="P13" i="73"/>
  <c r="P53" i="73"/>
  <c r="T53" i="73" s="1"/>
  <c r="H130" i="72" s="1"/>
  <c r="F96" i="72"/>
  <c r="R12" i="73"/>
  <c r="F89" i="72" s="1"/>
  <c r="T12" i="73"/>
  <c r="H89" i="72" s="1"/>
  <c r="J89" i="72" s="1"/>
  <c r="L89" i="72" s="1"/>
  <c r="Q52" i="73"/>
  <c r="E129" i="72" s="1"/>
  <c r="K129" i="72" s="1"/>
  <c r="Q54" i="73"/>
  <c r="E131" i="72" s="1"/>
  <c r="C182" i="49"/>
  <c r="C280" i="1"/>
  <c r="C182" i="1"/>
  <c r="C280" i="24"/>
  <c r="C231" i="48"/>
  <c r="C182" i="50"/>
  <c r="C280" i="50"/>
  <c r="C57" i="47"/>
  <c r="C46" i="47"/>
  <c r="C20" i="48"/>
  <c r="C55" i="24"/>
  <c r="C20" i="50"/>
  <c r="C46" i="24"/>
  <c r="C38" i="48"/>
  <c r="C38" i="1"/>
  <c r="C56" i="48"/>
  <c r="C49" i="1"/>
  <c r="C54" i="1"/>
  <c r="C32" i="1"/>
  <c r="C40" i="48"/>
  <c r="C49" i="49"/>
  <c r="C29" i="1"/>
  <c r="C23" i="48"/>
  <c r="F31" i="73"/>
  <c r="E40" i="72" s="1"/>
  <c r="K40" i="72" s="1"/>
  <c r="C56" i="1"/>
  <c r="C30" i="49"/>
  <c r="C18" i="50"/>
  <c r="C57" i="50"/>
  <c r="E56" i="73"/>
  <c r="I56" i="73" s="1"/>
  <c r="H65" i="72" s="1"/>
  <c r="E28" i="73"/>
  <c r="D37" i="72" s="1"/>
  <c r="F26" i="73"/>
  <c r="E35" i="72" s="1"/>
  <c r="K35" i="72" s="1"/>
  <c r="F47" i="73"/>
  <c r="E56" i="72" s="1"/>
  <c r="M56" i="72" s="1"/>
  <c r="C38" i="50"/>
  <c r="C29" i="50"/>
  <c r="G30" i="73"/>
  <c r="H30" i="73" s="1"/>
  <c r="G39" i="72" s="1"/>
  <c r="C18" i="48"/>
  <c r="F56" i="73"/>
  <c r="E65" i="72" s="1"/>
  <c r="M65" i="72" s="1"/>
  <c r="C27" i="49"/>
  <c r="F51" i="73"/>
  <c r="E60" i="72" s="1"/>
  <c r="K60" i="72" s="1"/>
  <c r="E25" i="73"/>
  <c r="D34" i="72" s="1"/>
  <c r="G20" i="73"/>
  <c r="F29" i="72" s="1"/>
  <c r="E13" i="73"/>
  <c r="I13" i="73" s="1"/>
  <c r="H22" i="72" s="1"/>
  <c r="F11" i="73"/>
  <c r="E20" i="72" s="1"/>
  <c r="M20" i="72" s="1"/>
  <c r="C44" i="24"/>
  <c r="C55" i="48"/>
  <c r="C13" i="48"/>
  <c r="C44" i="50"/>
  <c r="E48" i="73"/>
  <c r="D57" i="72" s="1"/>
  <c r="G15" i="73"/>
  <c r="F24" i="72" s="1"/>
  <c r="C43" i="1"/>
  <c r="C48" i="47"/>
  <c r="C18" i="24"/>
  <c r="C29" i="49"/>
  <c r="C56" i="49"/>
  <c r="C55" i="47"/>
  <c r="F20" i="73"/>
  <c r="E29" i="72" s="1"/>
  <c r="K29" i="72" s="1"/>
  <c r="AO8" i="47"/>
  <c r="AO9" i="47" s="1"/>
  <c r="AO12" i="47" s="1"/>
  <c r="C204" i="47" s="1"/>
  <c r="E45" i="73"/>
  <c r="I45" i="73" s="1"/>
  <c r="H54" i="72" s="1"/>
  <c r="E47" i="73"/>
  <c r="D56" i="72" s="1"/>
  <c r="G42" i="73"/>
  <c r="F51" i="72" s="1"/>
  <c r="G26" i="73"/>
  <c r="H26" i="73" s="1"/>
  <c r="G35" i="72" s="1"/>
  <c r="G14" i="73"/>
  <c r="F23" i="72" s="1"/>
  <c r="C39" i="48"/>
  <c r="E55" i="73"/>
  <c r="D64" i="72" s="1"/>
  <c r="E43" i="73"/>
  <c r="D52" i="72" s="1"/>
  <c r="E15" i="73"/>
  <c r="I15" i="73" s="1"/>
  <c r="H24" i="72" s="1"/>
  <c r="C30" i="24"/>
  <c r="C55" i="50"/>
  <c r="C29" i="48"/>
  <c r="C44" i="48"/>
  <c r="C56" i="47"/>
  <c r="G54" i="73"/>
  <c r="F63" i="72" s="1"/>
  <c r="F50" i="73"/>
  <c r="E59" i="72" s="1"/>
  <c r="M59" i="72" s="1"/>
  <c r="E24" i="73"/>
  <c r="D33" i="72" s="1"/>
  <c r="G19" i="73"/>
  <c r="F28" i="72" s="1"/>
  <c r="G102" i="47"/>
  <c r="C32" i="49"/>
  <c r="F40" i="73"/>
  <c r="E49" i="72" s="1"/>
  <c r="M49" i="72" s="1"/>
  <c r="C16" i="48"/>
  <c r="C30" i="1"/>
  <c r="C14" i="49"/>
  <c r="F54" i="73"/>
  <c r="E63" i="72" s="1"/>
  <c r="K63" i="72" s="1"/>
  <c r="G12" i="73"/>
  <c r="H12" i="73" s="1"/>
  <c r="G21" i="72" s="1"/>
  <c r="C43" i="24"/>
  <c r="C56" i="24"/>
  <c r="C42" i="48"/>
  <c r="C49" i="50"/>
  <c r="E30" i="73"/>
  <c r="I30" i="73" s="1"/>
  <c r="H39" i="72" s="1"/>
  <c r="E37" i="73"/>
  <c r="I37" i="73" s="1"/>
  <c r="H46" i="72" s="1"/>
  <c r="H44" i="73"/>
  <c r="G53" i="72" s="1"/>
  <c r="T15" i="47"/>
  <c r="C17" i="24"/>
  <c r="C37" i="49"/>
  <c r="AE8" i="47"/>
  <c r="AE9" i="47" s="1"/>
  <c r="AE13" i="47" s="1"/>
  <c r="C11" i="49"/>
  <c r="C30" i="48"/>
  <c r="C24" i="49"/>
  <c r="E42" i="73"/>
  <c r="D51" i="72" s="1"/>
  <c r="AX22" i="47"/>
  <c r="C30" i="50"/>
  <c r="C23" i="1"/>
  <c r="C49" i="48"/>
  <c r="F22" i="73"/>
  <c r="E31" i="72" s="1"/>
  <c r="M31" i="72" s="1"/>
  <c r="C59" i="47"/>
  <c r="C11" i="24"/>
  <c r="C16" i="49"/>
  <c r="C17" i="48"/>
  <c r="C16" i="24"/>
  <c r="C50" i="47"/>
  <c r="F21" i="73"/>
  <c r="E30" i="72" s="1"/>
  <c r="M30" i="72" s="1"/>
  <c r="E12" i="73"/>
  <c r="D21" i="72" s="1"/>
  <c r="E39" i="73"/>
  <c r="D48" i="72" s="1"/>
  <c r="H49" i="73"/>
  <c r="G58" i="72" s="1"/>
  <c r="C33" i="24"/>
  <c r="C58" i="47"/>
  <c r="C23" i="49"/>
  <c r="C43" i="50"/>
  <c r="C17" i="50"/>
  <c r="E49" i="73"/>
  <c r="I49" i="73" s="1"/>
  <c r="H58" i="72" s="1"/>
  <c r="C37" i="50"/>
  <c r="C32" i="50"/>
  <c r="C42" i="47"/>
  <c r="C33" i="50"/>
  <c r="C49" i="24"/>
  <c r="C28" i="50"/>
  <c r="C12" i="50"/>
  <c r="C48" i="1"/>
  <c r="C22" i="48"/>
  <c r="C54" i="50"/>
  <c r="C40" i="1"/>
  <c r="C24" i="50"/>
  <c r="C12" i="1"/>
  <c r="C38" i="24"/>
  <c r="C26" i="50"/>
  <c r="C52" i="1"/>
  <c r="C50" i="1"/>
  <c r="F17" i="73"/>
  <c r="E26" i="72" s="1"/>
  <c r="K26" i="72" s="1"/>
  <c r="G38" i="73"/>
  <c r="F47" i="72" s="1"/>
  <c r="C26" i="49"/>
  <c r="C16" i="50"/>
  <c r="C48" i="49"/>
  <c r="C52" i="48"/>
  <c r="C14" i="24"/>
  <c r="C28" i="24"/>
  <c r="G29" i="73"/>
  <c r="H55" i="73" s="1"/>
  <c r="G64" i="72" s="1"/>
  <c r="C14" i="48"/>
  <c r="C40" i="49"/>
  <c r="C38" i="47"/>
  <c r="C24" i="24"/>
  <c r="C24" i="1"/>
  <c r="C50" i="24"/>
  <c r="F13" i="73"/>
  <c r="E22" i="72" s="1"/>
  <c r="K22" i="72" s="1"/>
  <c r="G47" i="73"/>
  <c r="F56" i="72" s="1"/>
  <c r="G27" i="73"/>
  <c r="H53" i="73" s="1"/>
  <c r="G62" i="72" s="1"/>
  <c r="C50" i="49"/>
  <c r="C48" i="50"/>
  <c r="C54" i="48"/>
  <c r="C54" i="47"/>
  <c r="C12" i="49"/>
  <c r="C52" i="47"/>
  <c r="C54" i="49"/>
  <c r="C48" i="24"/>
  <c r="C28" i="1"/>
  <c r="C50" i="50"/>
  <c r="C51" i="1"/>
  <c r="E27" i="73"/>
  <c r="D36" i="72" s="1"/>
  <c r="E19" i="73"/>
  <c r="D28" i="72" s="1"/>
  <c r="C22" i="24"/>
  <c r="C26" i="48"/>
  <c r="C28" i="48"/>
  <c r="C19" i="49"/>
  <c r="F30" i="73"/>
  <c r="E39" i="72" s="1"/>
  <c r="K39" i="72" s="1"/>
  <c r="G25" i="73"/>
  <c r="H51" i="73" s="1"/>
  <c r="G60" i="72" s="1"/>
  <c r="C28" i="49"/>
  <c r="C12" i="24"/>
  <c r="C40" i="50"/>
  <c r="C58" i="49"/>
  <c r="C12" i="48"/>
  <c r="C52" i="24"/>
  <c r="F29" i="73"/>
  <c r="E38" i="72" s="1"/>
  <c r="K38" i="72" s="1"/>
  <c r="G44" i="73"/>
  <c r="F53" i="72" s="1"/>
  <c r="E26" i="73"/>
  <c r="I26" i="73" s="1"/>
  <c r="H35" i="72" s="1"/>
  <c r="C55" i="1"/>
  <c r="C48" i="48"/>
  <c r="C32" i="24"/>
  <c r="C22" i="1"/>
  <c r="C22" i="49"/>
  <c r="C25" i="24"/>
  <c r="G55" i="73"/>
  <c r="F64" i="72" s="1"/>
  <c r="F27" i="72"/>
  <c r="H18" i="73"/>
  <c r="G27" i="72" s="1"/>
  <c r="C37" i="48"/>
  <c r="C11" i="50"/>
  <c r="E14" i="73"/>
  <c r="F46" i="73"/>
  <c r="E55" i="72" s="1"/>
  <c r="M55" i="72" s="1"/>
  <c r="F14" i="73"/>
  <c r="E23" i="72" s="1"/>
  <c r="M23" i="72" s="1"/>
  <c r="C53" i="48"/>
  <c r="C27" i="48"/>
  <c r="C27" i="50"/>
  <c r="C53" i="47"/>
  <c r="C53" i="50"/>
  <c r="C53" i="49"/>
  <c r="C53" i="1"/>
  <c r="F55" i="73"/>
  <c r="E64" i="72" s="1"/>
  <c r="M64" i="72" s="1"/>
  <c r="E41" i="73"/>
  <c r="D50" i="72" s="1"/>
  <c r="C59" i="24"/>
  <c r="C33" i="1"/>
  <c r="C59" i="49"/>
  <c r="C33" i="48"/>
  <c r="C59" i="1"/>
  <c r="C39" i="50"/>
  <c r="C13" i="1"/>
  <c r="C13" i="50"/>
  <c r="C13" i="49"/>
  <c r="C39" i="47"/>
  <c r="C39" i="1"/>
  <c r="C13" i="24"/>
  <c r="C39" i="49"/>
  <c r="C41" i="47"/>
  <c r="G32" i="73"/>
  <c r="G24" i="73"/>
  <c r="H50" i="73" s="1"/>
  <c r="G59" i="72" s="1"/>
  <c r="I18" i="73"/>
  <c r="H27" i="72" s="1"/>
  <c r="C45" i="48"/>
  <c r="C19" i="50"/>
  <c r="C45" i="49"/>
  <c r="C19" i="48"/>
  <c r="C19" i="1"/>
  <c r="C59" i="48"/>
  <c r="F28" i="73"/>
  <c r="E37" i="72" s="1"/>
  <c r="M37" i="72" s="1"/>
  <c r="F32" i="73"/>
  <c r="E41" i="72" s="1"/>
  <c r="K41" i="72" s="1"/>
  <c r="AJ13" i="47"/>
  <c r="F32" i="72"/>
  <c r="H23" i="73"/>
  <c r="G32" i="72" s="1"/>
  <c r="G205" i="47"/>
  <c r="AN86" i="47"/>
  <c r="C47" i="48"/>
  <c r="C21" i="24"/>
  <c r="C47" i="47"/>
  <c r="C53" i="24"/>
  <c r="G58" i="73"/>
  <c r="F67" i="72" s="1"/>
  <c r="C47" i="1"/>
  <c r="C47" i="24"/>
  <c r="C21" i="49"/>
  <c r="C21" i="50"/>
  <c r="G28" i="73"/>
  <c r="H28" i="73" s="1"/>
  <c r="G37" i="72" s="1"/>
  <c r="G53" i="73"/>
  <c r="F62" i="72" s="1"/>
  <c r="G17" i="73"/>
  <c r="AY8" i="47"/>
  <c r="AY9" i="47" s="1"/>
  <c r="AY15" i="47" s="1"/>
  <c r="K28" i="72"/>
  <c r="M28" i="72"/>
  <c r="F44" i="73"/>
  <c r="E53" i="72" s="1"/>
  <c r="K53" i="72" s="1"/>
  <c r="C15" i="50"/>
  <c r="C41" i="48"/>
  <c r="C15" i="48"/>
  <c r="C15" i="24"/>
  <c r="C41" i="24"/>
  <c r="C41" i="1"/>
  <c r="C15" i="1"/>
  <c r="C25" i="49"/>
  <c r="C51" i="50"/>
  <c r="C51" i="47"/>
  <c r="C51" i="49"/>
  <c r="C51" i="24"/>
  <c r="C25" i="50"/>
  <c r="C47" i="49"/>
  <c r="C57" i="49"/>
  <c r="C31" i="50"/>
  <c r="C31" i="48"/>
  <c r="C57" i="1"/>
  <c r="C31" i="1"/>
  <c r="C57" i="48"/>
  <c r="C57" i="24"/>
  <c r="C41" i="49"/>
  <c r="C33" i="49"/>
  <c r="C25" i="48"/>
  <c r="C25" i="1"/>
  <c r="F12" i="73"/>
  <c r="E21" i="72" s="1"/>
  <c r="K21" i="72" s="1"/>
  <c r="E53" i="73"/>
  <c r="G21" i="73"/>
  <c r="H21" i="73" s="1"/>
  <c r="G30" i="72" s="1"/>
  <c r="E17" i="73"/>
  <c r="D26" i="72" s="1"/>
  <c r="C21" i="1"/>
  <c r="C21" i="48"/>
  <c r="C27" i="1"/>
  <c r="G57" i="73"/>
  <c r="F66" i="72" s="1"/>
  <c r="G37" i="73"/>
  <c r="F46" i="72" s="1"/>
  <c r="E31" i="73"/>
  <c r="E29" i="73"/>
  <c r="D38" i="72" s="1"/>
  <c r="E23" i="73"/>
  <c r="C31" i="24"/>
  <c r="E21" i="73"/>
  <c r="C15" i="49"/>
  <c r="C17" i="49"/>
  <c r="C43" i="48"/>
  <c r="C46" i="49"/>
  <c r="C40" i="47"/>
  <c r="C43" i="47"/>
  <c r="C14" i="50"/>
  <c r="C29" i="24"/>
  <c r="E32" i="73"/>
  <c r="E58" i="73"/>
  <c r="C37" i="24"/>
  <c r="C52" i="49"/>
  <c r="C58" i="24"/>
  <c r="C32" i="48"/>
  <c r="C14" i="1"/>
  <c r="C17" i="1"/>
  <c r="F23" i="73"/>
  <c r="E32" i="72" s="1"/>
  <c r="K32" i="72" s="1"/>
  <c r="F16" i="73"/>
  <c r="E25" i="72" s="1"/>
  <c r="G52" i="73"/>
  <c r="F61" i="72" s="1"/>
  <c r="C37" i="1"/>
  <c r="C46" i="1"/>
  <c r="C46" i="48"/>
  <c r="C23" i="24"/>
  <c r="C26" i="24"/>
  <c r="G49" i="73"/>
  <c r="F58" i="72" s="1"/>
  <c r="I16" i="73"/>
  <c r="H25" i="72" s="1"/>
  <c r="C58" i="1"/>
  <c r="S85" i="47"/>
  <c r="S84" i="47" s="1"/>
  <c r="C207" i="24"/>
  <c r="C160" i="24"/>
  <c r="G205" i="24"/>
  <c r="G258" i="50"/>
  <c r="C258" i="50"/>
  <c r="C257" i="50"/>
  <c r="G252" i="50"/>
  <c r="G254" i="50"/>
  <c r="C261" i="50"/>
  <c r="G255" i="50"/>
  <c r="C261" i="49"/>
  <c r="G254" i="49"/>
  <c r="G252" i="49"/>
  <c r="G256" i="49"/>
  <c r="G205" i="49"/>
  <c r="G209" i="49"/>
  <c r="C212" i="49"/>
  <c r="G207" i="49"/>
  <c r="C206" i="49"/>
  <c r="C203" i="49"/>
  <c r="G160" i="49"/>
  <c r="G158" i="49"/>
  <c r="G155" i="49"/>
  <c r="G176" i="49"/>
  <c r="G154" i="49"/>
  <c r="C109" i="49"/>
  <c r="G104" i="49"/>
  <c r="G102" i="49"/>
  <c r="G156" i="48"/>
  <c r="G256" i="24"/>
  <c r="G254" i="24"/>
  <c r="G156" i="24"/>
  <c r="C154" i="24"/>
  <c r="G160" i="24"/>
  <c r="C155" i="24"/>
  <c r="C156" i="24"/>
  <c r="AX86" i="47"/>
  <c r="S48" i="47"/>
  <c r="T91" i="73"/>
  <c r="X115" i="72" s="1"/>
  <c r="T102" i="73"/>
  <c r="X126" i="72" s="1"/>
  <c r="R107" i="73"/>
  <c r="V131" i="72" s="1"/>
  <c r="Q212" i="73"/>
  <c r="AY130" i="72" s="1"/>
  <c r="E95" i="73"/>
  <c r="T51" i="72" s="1"/>
  <c r="R95" i="73"/>
  <c r="V119" i="72" s="1"/>
  <c r="E51" i="73"/>
  <c r="I51" i="73" s="1"/>
  <c r="H60" i="72" s="1"/>
  <c r="Q57" i="73"/>
  <c r="E134" i="72" s="1"/>
  <c r="Q107" i="73"/>
  <c r="U131" i="72" s="1"/>
  <c r="AA131" i="72" s="1"/>
  <c r="Q198" i="73"/>
  <c r="AY116" i="72" s="1"/>
  <c r="R213" i="73"/>
  <c r="F49" i="73"/>
  <c r="E58" i="72" s="1"/>
  <c r="M58" i="72" s="1"/>
  <c r="G41" i="73"/>
  <c r="F50" i="72" s="1"/>
  <c r="S100" i="73"/>
  <c r="W124" i="72" s="1"/>
  <c r="R100" i="73"/>
  <c r="V124" i="72" s="1"/>
  <c r="P149" i="73"/>
  <c r="T149" i="73" s="1"/>
  <c r="AM120" i="72" s="1"/>
  <c r="G101" i="73"/>
  <c r="V57" i="72" s="1"/>
  <c r="G56" i="73"/>
  <c r="F65" i="72" s="1"/>
  <c r="Q47" i="73"/>
  <c r="E124" i="72" s="1"/>
  <c r="P108" i="73"/>
  <c r="T132" i="72" s="1"/>
  <c r="P150" i="73"/>
  <c r="AI121" i="72" s="1"/>
  <c r="Q199" i="73"/>
  <c r="AY117" i="72" s="1"/>
  <c r="BG117" i="72" s="1"/>
  <c r="F110" i="73"/>
  <c r="U66" i="72" s="1"/>
  <c r="AC66" i="72" s="1"/>
  <c r="Q58" i="73"/>
  <c r="E135" i="72" s="1"/>
  <c r="K135" i="72" s="1"/>
  <c r="G48" i="73"/>
  <c r="F57" i="72" s="1"/>
  <c r="F41" i="73"/>
  <c r="E50" i="72" s="1"/>
  <c r="K50" i="72" s="1"/>
  <c r="R54" i="73"/>
  <c r="F131" i="72" s="1"/>
  <c r="R101" i="73"/>
  <c r="V125" i="72" s="1"/>
  <c r="R160" i="73"/>
  <c r="AK131" i="72" s="1"/>
  <c r="Q200" i="73"/>
  <c r="AY118" i="72" s="1"/>
  <c r="E54" i="73"/>
  <c r="D63" i="72" s="1"/>
  <c r="E38" i="73"/>
  <c r="D47" i="72" s="1"/>
  <c r="Q211" i="73"/>
  <c r="AY129" i="72" s="1"/>
  <c r="BE129" i="72" s="1"/>
  <c r="Q197" i="73"/>
  <c r="AY115" i="72" s="1"/>
  <c r="BG115" i="72" s="1"/>
  <c r="P102" i="73"/>
  <c r="T126" i="72" s="1"/>
  <c r="R143" i="73"/>
  <c r="S143" i="73" s="1"/>
  <c r="AL114" i="72" s="1"/>
  <c r="Q201" i="73"/>
  <c r="AY119" i="72" s="1"/>
  <c r="Q209" i="73"/>
  <c r="AY127" i="72" s="1"/>
  <c r="BG127" i="72" s="1"/>
  <c r="F42" i="73"/>
  <c r="E51" i="72" s="1"/>
  <c r="M51" i="72" s="1"/>
  <c r="R48" i="73"/>
  <c r="F125" i="72" s="1"/>
  <c r="R37" i="73"/>
  <c r="S37" i="73" s="1"/>
  <c r="G114" i="72" s="1"/>
  <c r="AP126" i="72"/>
  <c r="P156" i="73"/>
  <c r="Q56" i="73"/>
  <c r="E133" i="72" s="1"/>
  <c r="R46" i="73"/>
  <c r="F123" i="72" s="1"/>
  <c r="G92" i="73"/>
  <c r="E104" i="73"/>
  <c r="I104" i="73" s="1"/>
  <c r="X60" i="72" s="1"/>
  <c r="BG100" i="72"/>
  <c r="BE100" i="72"/>
  <c r="AC109" i="72"/>
  <c r="AR94" i="72"/>
  <c r="P185" i="73"/>
  <c r="Q19" i="73"/>
  <c r="E96" i="72" s="1"/>
  <c r="R72" i="73"/>
  <c r="R187" i="73"/>
  <c r="AC97" i="72"/>
  <c r="P179" i="73"/>
  <c r="P84" i="73"/>
  <c r="R136" i="73"/>
  <c r="R181" i="73"/>
  <c r="S71" i="73"/>
  <c r="W95" i="72" s="1"/>
  <c r="P81" i="73"/>
  <c r="F108" i="72"/>
  <c r="Q18" i="73"/>
  <c r="E95" i="72" s="1"/>
  <c r="M95" i="72" s="1"/>
  <c r="P125" i="73"/>
  <c r="F65" i="73"/>
  <c r="U21" i="72" s="1"/>
  <c r="AC21" i="72" s="1"/>
  <c r="P184" i="73"/>
  <c r="F24" i="73"/>
  <c r="E33" i="72" s="1"/>
  <c r="F27" i="73"/>
  <c r="E36" i="72" s="1"/>
  <c r="K36" i="72" s="1"/>
  <c r="T80" i="73"/>
  <c r="X104" i="72" s="1"/>
  <c r="S121" i="73"/>
  <c r="AL92" i="72" s="1"/>
  <c r="Q17" i="73"/>
  <c r="E94" i="72" s="1"/>
  <c r="K94" i="72" s="1"/>
  <c r="P23" i="73"/>
  <c r="D100" i="72" s="1"/>
  <c r="T119" i="73"/>
  <c r="AM90" i="72" s="1"/>
  <c r="AO90" i="72" s="1"/>
  <c r="AQ90" i="72" s="1"/>
  <c r="AX88" i="72"/>
  <c r="T170" i="73"/>
  <c r="BB88" i="72" s="1"/>
  <c r="G82" i="73"/>
  <c r="E79" i="73"/>
  <c r="F73" i="73"/>
  <c r="U29" i="72" s="1"/>
  <c r="R175" i="73"/>
  <c r="AZ93" i="72" s="1"/>
  <c r="BH93" i="72" s="1"/>
  <c r="R170" i="73"/>
  <c r="H71" i="73"/>
  <c r="W27" i="72" s="1"/>
  <c r="G81" i="73"/>
  <c r="V37" i="72" s="1"/>
  <c r="R186" i="73"/>
  <c r="G11" i="73"/>
  <c r="P190" i="73"/>
  <c r="F77" i="73"/>
  <c r="U33" i="72" s="1"/>
  <c r="AA33" i="72" s="1"/>
  <c r="I83" i="73"/>
  <c r="X39" i="72" s="1"/>
  <c r="R135" i="73"/>
  <c r="E84" i="73"/>
  <c r="I84" i="73" s="1"/>
  <c r="X40" i="72" s="1"/>
  <c r="G70" i="73"/>
  <c r="P189" i="73"/>
  <c r="Q75" i="73"/>
  <c r="U99" i="72" s="1"/>
  <c r="G69" i="73"/>
  <c r="V25" i="72" s="1"/>
  <c r="AP88" i="72"/>
  <c r="Q177" i="73"/>
  <c r="AY95" i="72" s="1"/>
  <c r="Q64" i="73"/>
  <c r="U88" i="72" s="1"/>
  <c r="P82" i="73"/>
  <c r="R70" i="73"/>
  <c r="E70" i="73"/>
  <c r="I70" i="73" s="1"/>
  <c r="X26" i="72" s="1"/>
  <c r="Q171" i="73"/>
  <c r="AY89" i="72" s="1"/>
  <c r="E67" i="73"/>
  <c r="I67" i="73" s="1"/>
  <c r="X23" i="72" s="1"/>
  <c r="R128" i="73"/>
  <c r="AK99" i="72" s="1"/>
  <c r="E80" i="73"/>
  <c r="Q133" i="73"/>
  <c r="AJ104" i="72" s="1"/>
  <c r="F25" i="73"/>
  <c r="E34" i="72" s="1"/>
  <c r="Q29" i="73"/>
  <c r="E106" i="72" s="1"/>
  <c r="K106" i="72" s="1"/>
  <c r="R65" i="73"/>
  <c r="S65" i="73" s="1"/>
  <c r="W89" i="72" s="1"/>
  <c r="R176" i="73"/>
  <c r="P74" i="73"/>
  <c r="P180" i="73"/>
  <c r="G64" i="73"/>
  <c r="AA95" i="72"/>
  <c r="D25" i="72"/>
  <c r="R30" i="73"/>
  <c r="F107" i="72" s="1"/>
  <c r="S131" i="73"/>
  <c r="AL102" i="72" s="1"/>
  <c r="S66" i="73"/>
  <c r="W90" i="72" s="1"/>
  <c r="P133" i="73"/>
  <c r="F72" i="73"/>
  <c r="U28" i="72" s="1"/>
  <c r="F71" i="73"/>
  <c r="U27" i="72" s="1"/>
  <c r="F105" i="72"/>
  <c r="S29" i="73"/>
  <c r="G106" i="72" s="1"/>
  <c r="Q172" i="73"/>
  <c r="AY90" i="72" s="1"/>
  <c r="Q176" i="73"/>
  <c r="AY94" i="72" s="1"/>
  <c r="BE106" i="72"/>
  <c r="G73" i="73"/>
  <c r="V29" i="72" s="1"/>
  <c r="G76" i="73"/>
  <c r="E64" i="73"/>
  <c r="E77" i="73"/>
  <c r="T172" i="73"/>
  <c r="BB90" i="72" s="1"/>
  <c r="R38" i="73"/>
  <c r="R108" i="73"/>
  <c r="V132" i="72" s="1"/>
  <c r="T110" i="73"/>
  <c r="X134" i="72" s="1"/>
  <c r="BE121" i="72"/>
  <c r="R52" i="73"/>
  <c r="F129" i="72" s="1"/>
  <c r="AA130" i="72"/>
  <c r="AC130" i="72"/>
  <c r="Q153" i="73"/>
  <c r="AJ124" i="72" s="1"/>
  <c r="AP124" i="72" s="1"/>
  <c r="P93" i="73"/>
  <c r="T117" i="72" s="1"/>
  <c r="Q97" i="73"/>
  <c r="U121" i="72" s="1"/>
  <c r="T93" i="73"/>
  <c r="X117" i="72" s="1"/>
  <c r="T104" i="73"/>
  <c r="X128" i="72" s="1"/>
  <c r="R145" i="73"/>
  <c r="AK116" i="72" s="1"/>
  <c r="AZ116" i="72"/>
  <c r="S198" i="73"/>
  <c r="BA116" i="72" s="1"/>
  <c r="D122" i="72"/>
  <c r="T45" i="73"/>
  <c r="H122" i="72" s="1"/>
  <c r="F97" i="73"/>
  <c r="U53" i="72" s="1"/>
  <c r="AC53" i="72" s="1"/>
  <c r="F94" i="73"/>
  <c r="U50" i="72" s="1"/>
  <c r="AC50" i="72" s="1"/>
  <c r="Q154" i="73"/>
  <c r="AJ125" i="72" s="1"/>
  <c r="Q44" i="73"/>
  <c r="E121" i="72" s="1"/>
  <c r="Q110" i="73"/>
  <c r="U134" i="72" s="1"/>
  <c r="AA134" i="72" s="1"/>
  <c r="P52" i="73"/>
  <c r="D129" i="72" s="1"/>
  <c r="P44" i="73"/>
  <c r="D121" i="72" s="1"/>
  <c r="P110" i="73"/>
  <c r="T134" i="72" s="1"/>
  <c r="G100" i="73"/>
  <c r="V56" i="72" s="1"/>
  <c r="G46" i="73"/>
  <c r="F55" i="72" s="1"/>
  <c r="Q51" i="73"/>
  <c r="E128" i="72" s="1"/>
  <c r="M128" i="72" s="1"/>
  <c r="E97" i="73"/>
  <c r="T53" i="72" s="1"/>
  <c r="F104" i="73"/>
  <c r="U60" i="72" s="1"/>
  <c r="G51" i="73"/>
  <c r="F60" i="72" s="1"/>
  <c r="P51" i="73"/>
  <c r="P41" i="73"/>
  <c r="T41" i="73" s="1"/>
  <c r="H118" i="72" s="1"/>
  <c r="S206" i="73"/>
  <c r="BA124" i="72" s="1"/>
  <c r="G105" i="73"/>
  <c r="V61" i="72" s="1"/>
  <c r="Q42" i="73"/>
  <c r="E119" i="72" s="1"/>
  <c r="K119" i="72" s="1"/>
  <c r="G94" i="73"/>
  <c r="V50" i="72" s="1"/>
  <c r="Q93" i="73"/>
  <c r="U117" i="72" s="1"/>
  <c r="P109" i="73"/>
  <c r="T133" i="72" s="1"/>
  <c r="Q43" i="73"/>
  <c r="E120" i="72" s="1"/>
  <c r="E46" i="73"/>
  <c r="D55" i="72" s="1"/>
  <c r="Q109" i="73"/>
  <c r="U133" i="72" s="1"/>
  <c r="AA133" i="72" s="1"/>
  <c r="P201" i="73"/>
  <c r="P217" i="73"/>
  <c r="AX135" i="72" s="1"/>
  <c r="G96" i="73"/>
  <c r="E99" i="73"/>
  <c r="T55" i="72" s="1"/>
  <c r="E107" i="73"/>
  <c r="I107" i="73" s="1"/>
  <c r="X63" i="72" s="1"/>
  <c r="Q163" i="73"/>
  <c r="AJ134" i="72" s="1"/>
  <c r="AR134" i="72" s="1"/>
  <c r="P43" i="73"/>
  <c r="T43" i="73" s="1"/>
  <c r="H120" i="72" s="1"/>
  <c r="AP127" i="72"/>
  <c r="P58" i="73"/>
  <c r="D135" i="72" s="1"/>
  <c r="R196" i="73"/>
  <c r="F107" i="73"/>
  <c r="U63" i="72" s="1"/>
  <c r="AA63" i="72" s="1"/>
  <c r="G91" i="73"/>
  <c r="V47" i="72" s="1"/>
  <c r="E44" i="73"/>
  <c r="I44" i="73" s="1"/>
  <c r="H53" i="72" s="1"/>
  <c r="T39" i="73"/>
  <c r="H116" i="72" s="1"/>
  <c r="P90" i="73"/>
  <c r="T114" i="72" s="1"/>
  <c r="R99" i="73"/>
  <c r="V123" i="72" s="1"/>
  <c r="Q152" i="73"/>
  <c r="AJ123" i="72" s="1"/>
  <c r="AR123" i="72" s="1"/>
  <c r="E57" i="73"/>
  <c r="I57" i="73" s="1"/>
  <c r="H66" i="72" s="1"/>
  <c r="F91" i="73"/>
  <c r="U47" i="72" s="1"/>
  <c r="P38" i="73"/>
  <c r="T38" i="73" s="1"/>
  <c r="H115" i="72" s="1"/>
  <c r="P106" i="73"/>
  <c r="T130" i="72" s="1"/>
  <c r="Q213" i="73"/>
  <c r="AY131" i="72" s="1"/>
  <c r="I92" i="73"/>
  <c r="X48" i="72" s="1"/>
  <c r="G104" i="73"/>
  <c r="AR115" i="72"/>
  <c r="G107" i="73"/>
  <c r="V63" i="72" s="1"/>
  <c r="R159" i="73"/>
  <c r="R152" i="73"/>
  <c r="P153" i="73"/>
  <c r="AI124" i="72" s="1"/>
  <c r="T163" i="73"/>
  <c r="AM134" i="72" s="1"/>
  <c r="AI134" i="72"/>
  <c r="Q217" i="73"/>
  <c r="AY135" i="72" s="1"/>
  <c r="P160" i="73"/>
  <c r="AI131" i="72" s="1"/>
  <c r="E110" i="73"/>
  <c r="T66" i="72" s="1"/>
  <c r="G99" i="73"/>
  <c r="V55" i="72" s="1"/>
  <c r="Q205" i="73"/>
  <c r="AY123" i="72" s="1"/>
  <c r="S108" i="73"/>
  <c r="W132" i="72" s="1"/>
  <c r="P197" i="73"/>
  <c r="AX115" i="72" s="1"/>
  <c r="T57" i="73"/>
  <c r="H134" i="72" s="1"/>
  <c r="P103" i="73"/>
  <c r="T127" i="72" s="1"/>
  <c r="Q161" i="73"/>
  <c r="AJ132" i="72" s="1"/>
  <c r="P216" i="73"/>
  <c r="Q53" i="73"/>
  <c r="E130" i="72" s="1"/>
  <c r="S92" i="73"/>
  <c r="W116" i="72" s="1"/>
  <c r="T92" i="73"/>
  <c r="X116" i="72" s="1"/>
  <c r="Q95" i="73"/>
  <c r="U119" i="72" s="1"/>
  <c r="AA119" i="72" s="1"/>
  <c r="S103" i="73"/>
  <c r="W127" i="72" s="1"/>
  <c r="R155" i="73"/>
  <c r="E96" i="73"/>
  <c r="R150" i="73"/>
  <c r="F106" i="73"/>
  <c r="U62" i="72" s="1"/>
  <c r="AA62" i="72" s="1"/>
  <c r="E101" i="73"/>
  <c r="F98" i="73"/>
  <c r="U54" i="72" s="1"/>
  <c r="AA54" i="72" s="1"/>
  <c r="Q202" i="73"/>
  <c r="AY120" i="72" s="1"/>
  <c r="T204" i="73"/>
  <c r="BB122" i="72" s="1"/>
  <c r="F57" i="73"/>
  <c r="E66" i="72" s="1"/>
  <c r="R53" i="73"/>
  <c r="Q39" i="73"/>
  <c r="E116" i="72" s="1"/>
  <c r="M116" i="72" s="1"/>
  <c r="R94" i="73"/>
  <c r="V118" i="72" s="1"/>
  <c r="R208" i="73"/>
  <c r="R163" i="73"/>
  <c r="AK134" i="72" s="1"/>
  <c r="E93" i="73"/>
  <c r="AK120" i="72"/>
  <c r="Q150" i="73"/>
  <c r="AJ121" i="72" s="1"/>
  <c r="F90" i="73"/>
  <c r="U46" i="72" s="1"/>
  <c r="Q103" i="73"/>
  <c r="U127" i="72" s="1"/>
  <c r="AA127" i="72" s="1"/>
  <c r="T101" i="73"/>
  <c r="X125" i="72" s="1"/>
  <c r="S156" i="73"/>
  <c r="AL127" i="72" s="1"/>
  <c r="R92" i="73"/>
  <c r="V116" i="72" s="1"/>
  <c r="P144" i="73"/>
  <c r="AI115" i="72" s="1"/>
  <c r="Q215" i="73"/>
  <c r="AY133" i="72" s="1"/>
  <c r="S58" i="73"/>
  <c r="G135" i="72" s="1"/>
  <c r="R43" i="73"/>
  <c r="P107" i="73"/>
  <c r="T131" i="72" s="1"/>
  <c r="R91" i="73"/>
  <c r="V115" i="72" s="1"/>
  <c r="Q158" i="73"/>
  <c r="AJ129" i="72" s="1"/>
  <c r="P143" i="73"/>
  <c r="P159" i="73"/>
  <c r="T159" i="73" s="1"/>
  <c r="AM130" i="72" s="1"/>
  <c r="R47" i="73"/>
  <c r="F124" i="72" s="1"/>
  <c r="Q151" i="73"/>
  <c r="AJ122" i="72" s="1"/>
  <c r="R209" i="73"/>
  <c r="AZ127" i="72" s="1"/>
  <c r="P210" i="73"/>
  <c r="AX128" i="72" s="1"/>
  <c r="Q204" i="73"/>
  <c r="AY122" i="72" s="1"/>
  <c r="F52" i="73"/>
  <c r="E61" i="72" s="1"/>
  <c r="AC126" i="72"/>
  <c r="R96" i="73"/>
  <c r="V120" i="72" s="1"/>
  <c r="P145" i="73"/>
  <c r="T145" i="73" s="1"/>
  <c r="AM116" i="72" s="1"/>
  <c r="Q216" i="73"/>
  <c r="AY134" i="72" s="1"/>
  <c r="P99" i="73"/>
  <c r="T123" i="72" s="1"/>
  <c r="P148" i="73"/>
  <c r="AI119" i="72" s="1"/>
  <c r="E103" i="73"/>
  <c r="F39" i="73"/>
  <c r="E48" i="72" s="1"/>
  <c r="Q46" i="73"/>
  <c r="E123" i="72" s="1"/>
  <c r="M123" i="72" s="1"/>
  <c r="Q38" i="73"/>
  <c r="E115" i="72" s="1"/>
  <c r="S99" i="73"/>
  <c r="W123" i="72" s="1"/>
  <c r="P101" i="73"/>
  <c r="T125" i="72" s="1"/>
  <c r="P94" i="73"/>
  <c r="T118" i="72" s="1"/>
  <c r="F105" i="73"/>
  <c r="U61" i="72" s="1"/>
  <c r="AC61" i="72" s="1"/>
  <c r="F37" i="73"/>
  <c r="E46" i="72" s="1"/>
  <c r="P49" i="73"/>
  <c r="D126" i="72" s="1"/>
  <c r="Q162" i="73"/>
  <c r="AJ133" i="72" s="1"/>
  <c r="G39" i="73"/>
  <c r="F48" i="72" s="1"/>
  <c r="P152" i="73"/>
  <c r="AI123" i="72" s="1"/>
  <c r="R57" i="73"/>
  <c r="R51" i="73"/>
  <c r="F128" i="72" s="1"/>
  <c r="G93" i="73"/>
  <c r="E50" i="73"/>
  <c r="D59" i="72" s="1"/>
  <c r="P42" i="73"/>
  <c r="D119" i="72" s="1"/>
  <c r="Q101" i="73"/>
  <c r="U125" i="72" s="1"/>
  <c r="AC125" i="72" s="1"/>
  <c r="Q108" i="73"/>
  <c r="U132" i="72" s="1"/>
  <c r="AA132" i="72" s="1"/>
  <c r="R157" i="73"/>
  <c r="F93" i="73"/>
  <c r="U49" i="72" s="1"/>
  <c r="AA49" i="72" s="1"/>
  <c r="R50" i="73"/>
  <c r="Q45" i="73"/>
  <c r="E122" i="72" s="1"/>
  <c r="M122" i="72" s="1"/>
  <c r="Q105" i="73"/>
  <c r="U129" i="72" s="1"/>
  <c r="AA129" i="72" s="1"/>
  <c r="P157" i="73"/>
  <c r="T157" i="73" s="1"/>
  <c r="AM128" i="72" s="1"/>
  <c r="P146" i="73"/>
  <c r="G110" i="73"/>
  <c r="E108" i="73"/>
  <c r="I108" i="73" s="1"/>
  <c r="X64" i="72" s="1"/>
  <c r="Q111" i="73"/>
  <c r="U135" i="72" s="1"/>
  <c r="F109" i="73"/>
  <c r="U65" i="72" s="1"/>
  <c r="AC65" i="72" s="1"/>
  <c r="Q100" i="73"/>
  <c r="U124" i="72" s="1"/>
  <c r="R154" i="73"/>
  <c r="S154" i="73" s="1"/>
  <c r="AL125" i="72" s="1"/>
  <c r="BE126" i="72"/>
  <c r="BG126" i="72"/>
  <c r="E52" i="73"/>
  <c r="S204" i="73"/>
  <c r="BA122" i="72" s="1"/>
  <c r="BG132" i="72"/>
  <c r="BE132" i="72"/>
  <c r="AP130" i="72"/>
  <c r="S107" i="73"/>
  <c r="W131" i="72" s="1"/>
  <c r="P104" i="73"/>
  <c r="T128" i="72" s="1"/>
  <c r="R44" i="73"/>
  <c r="F121" i="72" s="1"/>
  <c r="P56" i="73"/>
  <c r="D133" i="72" s="1"/>
  <c r="AC115" i="72"/>
  <c r="AA115" i="72"/>
  <c r="AK135" i="72"/>
  <c r="S164" i="73"/>
  <c r="AL135" i="72" s="1"/>
  <c r="AZ120" i="72"/>
  <c r="S202" i="73"/>
  <c r="BA120" i="72" s="1"/>
  <c r="G45" i="73"/>
  <c r="F54" i="72" s="1"/>
  <c r="AC55" i="72"/>
  <c r="AA55" i="72"/>
  <c r="T105" i="73"/>
  <c r="X129" i="72" s="1"/>
  <c r="R49" i="73"/>
  <c r="F126" i="72" s="1"/>
  <c r="D124" i="72"/>
  <c r="AA122" i="72"/>
  <c r="T95" i="73"/>
  <c r="X119" i="72" s="1"/>
  <c r="R111" i="73"/>
  <c r="V135" i="72" s="1"/>
  <c r="G90" i="73"/>
  <c r="AI132" i="72"/>
  <c r="F100" i="73"/>
  <c r="U56" i="72" s="1"/>
  <c r="F95" i="73"/>
  <c r="U51" i="72" s="1"/>
  <c r="F102" i="73"/>
  <c r="U58" i="72" s="1"/>
  <c r="E98" i="73"/>
  <c r="T54" i="72" s="1"/>
  <c r="P55" i="73"/>
  <c r="F111" i="73"/>
  <c r="U67" i="72" s="1"/>
  <c r="G102" i="73"/>
  <c r="G97" i="73"/>
  <c r="T198" i="73"/>
  <c r="BB116" i="72" s="1"/>
  <c r="R39" i="73"/>
  <c r="S111" i="73"/>
  <c r="W135" i="72" s="1"/>
  <c r="G111" i="73"/>
  <c r="G106" i="73"/>
  <c r="AC52" i="72"/>
  <c r="AA52" i="72"/>
  <c r="I94" i="73"/>
  <c r="X50" i="72" s="1"/>
  <c r="K97" i="72"/>
  <c r="K88" i="72"/>
  <c r="M88" i="72"/>
  <c r="N88" i="72" s="1"/>
  <c r="M107" i="72"/>
  <c r="K107" i="72"/>
  <c r="P73" i="73"/>
  <c r="AA26" i="72"/>
  <c r="S67" i="73"/>
  <c r="W91" i="72" s="1"/>
  <c r="K105" i="72"/>
  <c r="AK97" i="72"/>
  <c r="I11" i="73"/>
  <c r="H20" i="72" s="1"/>
  <c r="V99" i="72"/>
  <c r="AC102" i="72"/>
  <c r="AA102" i="72"/>
  <c r="AK109" i="72"/>
  <c r="T96" i="72"/>
  <c r="T72" i="73"/>
  <c r="X96" i="72" s="1"/>
  <c r="AR106" i="72"/>
  <c r="AP106" i="72"/>
  <c r="BG102" i="72"/>
  <c r="AI98" i="72"/>
  <c r="R129" i="73"/>
  <c r="T134" i="73"/>
  <c r="AM105" i="72" s="1"/>
  <c r="S22" i="73"/>
  <c r="G99" i="72" s="1"/>
  <c r="AA22" i="72"/>
  <c r="AC22" i="72"/>
  <c r="Q72" i="73"/>
  <c r="U96" i="72" s="1"/>
  <c r="T31" i="73"/>
  <c r="H108" i="72" s="1"/>
  <c r="T71" i="73"/>
  <c r="X95" i="72" s="1"/>
  <c r="Z95" i="72" s="1"/>
  <c r="T102" i="72"/>
  <c r="D99" i="72"/>
  <c r="T22" i="73"/>
  <c r="H99" i="72" s="1"/>
  <c r="V90" i="72"/>
  <c r="T129" i="73"/>
  <c r="AM100" i="72" s="1"/>
  <c r="T27" i="73"/>
  <c r="H104" i="72" s="1"/>
  <c r="T15" i="73"/>
  <c r="H92" i="72" s="1"/>
  <c r="E85" i="73"/>
  <c r="G74" i="73"/>
  <c r="F76" i="73"/>
  <c r="U32" i="72" s="1"/>
  <c r="E74" i="73"/>
  <c r="F67" i="73"/>
  <c r="U23" i="72" s="1"/>
  <c r="H80" i="73"/>
  <c r="W36" i="72" s="1"/>
  <c r="F83" i="73"/>
  <c r="U39" i="72" s="1"/>
  <c r="F80" i="73"/>
  <c r="U36" i="72" s="1"/>
  <c r="G78" i="73"/>
  <c r="M126" i="72" l="1"/>
  <c r="T196" i="73"/>
  <c r="BB114" i="72" s="1"/>
  <c r="M118" i="72"/>
  <c r="Z126" i="72"/>
  <c r="AB126" i="72" s="1"/>
  <c r="S210" i="73"/>
  <c r="BA128" i="72" s="1"/>
  <c r="I105" i="73"/>
  <c r="X61" i="72" s="1"/>
  <c r="Z61" i="72" s="1"/>
  <c r="AB61" i="72" s="1"/>
  <c r="M129" i="72"/>
  <c r="AC31" i="72"/>
  <c r="V33" i="72"/>
  <c r="S188" i="73"/>
  <c r="BA106" i="72" s="1"/>
  <c r="H75" i="73"/>
  <c r="W31" i="72" s="1"/>
  <c r="AX96" i="72"/>
  <c r="K102" i="72"/>
  <c r="T174" i="73"/>
  <c r="BB92" i="72" s="1"/>
  <c r="BD92" i="72" s="1"/>
  <c r="BF92" i="72" s="1"/>
  <c r="D105" i="72"/>
  <c r="AC123" i="72"/>
  <c r="AO127" i="72"/>
  <c r="S217" i="73"/>
  <c r="BA135" i="72" s="1"/>
  <c r="AA61" i="72"/>
  <c r="AC127" i="72"/>
  <c r="AD127" i="72" s="1"/>
  <c r="T212" i="73"/>
  <c r="BB130" i="72" s="1"/>
  <c r="BG128" i="72"/>
  <c r="BH128" i="72" s="1"/>
  <c r="S41" i="73"/>
  <c r="G118" i="72" s="1"/>
  <c r="AR114" i="72"/>
  <c r="AX124" i="72"/>
  <c r="BD124" i="72" s="1"/>
  <c r="T211" i="73"/>
  <c r="BB129" i="72" s="1"/>
  <c r="BD129" i="72" s="1"/>
  <c r="BF129" i="72" s="1"/>
  <c r="AP135" i="72"/>
  <c r="AR118" i="72"/>
  <c r="S197" i="73"/>
  <c r="BA115" i="72" s="1"/>
  <c r="M114" i="72"/>
  <c r="T83" i="73"/>
  <c r="X107" i="72" s="1"/>
  <c r="Z107" i="72" s="1"/>
  <c r="AB107" i="72" s="1"/>
  <c r="AP105" i="72"/>
  <c r="T17" i="73"/>
  <c r="H94" i="72" s="1"/>
  <c r="AZ97" i="72"/>
  <c r="T29" i="72"/>
  <c r="I82" i="73"/>
  <c r="X38" i="72" s="1"/>
  <c r="Z38" i="72" s="1"/>
  <c r="K99" i="72"/>
  <c r="T130" i="73"/>
  <c r="AM101" i="72" s="1"/>
  <c r="S185" i="73"/>
  <c r="BA103" i="72" s="1"/>
  <c r="Z122" i="72"/>
  <c r="D114" i="72"/>
  <c r="J114" i="72" s="1"/>
  <c r="L114" i="72" s="1"/>
  <c r="AA66" i="72"/>
  <c r="T155" i="73"/>
  <c r="AM126" i="72" s="1"/>
  <c r="T60" i="72"/>
  <c r="Z60" i="72" s="1"/>
  <c r="S215" i="73"/>
  <c r="BA133" i="72" s="1"/>
  <c r="I110" i="73"/>
  <c r="X66" i="72" s="1"/>
  <c r="T92" i="72"/>
  <c r="Z92" i="72" s="1"/>
  <c r="AB92" i="72" s="1"/>
  <c r="AK95" i="72"/>
  <c r="BG103" i="72"/>
  <c r="T70" i="73"/>
  <c r="X94" i="72" s="1"/>
  <c r="Z94" i="72" s="1"/>
  <c r="AA35" i="72"/>
  <c r="AP108" i="72"/>
  <c r="BG91" i="72"/>
  <c r="AZ92" i="72"/>
  <c r="BE98" i="72"/>
  <c r="M106" i="72"/>
  <c r="BG104" i="72"/>
  <c r="AP91" i="72"/>
  <c r="S76" i="73"/>
  <c r="W100" i="72" s="1"/>
  <c r="Z105" i="72"/>
  <c r="AB105" i="72" s="1"/>
  <c r="T128" i="73"/>
  <c r="AM99" i="72" s="1"/>
  <c r="AO99" i="72" s="1"/>
  <c r="S125" i="73"/>
  <c r="AL96" i="72" s="1"/>
  <c r="AI106" i="72"/>
  <c r="S189" i="73"/>
  <c r="BA107" i="72" s="1"/>
  <c r="AA98" i="72"/>
  <c r="AO107" i="72"/>
  <c r="AQ107" i="72" s="1"/>
  <c r="V41" i="72"/>
  <c r="AO92" i="72"/>
  <c r="AF25" i="47"/>
  <c r="AD85" i="47" s="1"/>
  <c r="C165" i="47"/>
  <c r="P10" i="47" s="1"/>
  <c r="C182" i="47" s="1"/>
  <c r="Y185" i="24"/>
  <c r="AI25" i="47"/>
  <c r="AD48" i="47" s="1"/>
  <c r="Y184" i="48"/>
  <c r="M54" i="72"/>
  <c r="M62" i="72"/>
  <c r="AD24" i="47"/>
  <c r="AI191" i="47" s="1"/>
  <c r="K52" i="72"/>
  <c r="K24" i="72"/>
  <c r="C214" i="47"/>
  <c r="P11" i="47" s="1"/>
  <c r="C231" i="47" s="1"/>
  <c r="K47" i="72"/>
  <c r="X201" i="47"/>
  <c r="D49" i="72"/>
  <c r="J49" i="72" s="1"/>
  <c r="W167" i="47"/>
  <c r="AR176" i="47"/>
  <c r="AS197" i="47"/>
  <c r="H39" i="73"/>
  <c r="G48" i="72" s="1"/>
  <c r="M40" i="72"/>
  <c r="AS25" i="47"/>
  <c r="AN48" i="47" s="1"/>
  <c r="Y184" i="49"/>
  <c r="X159" i="47"/>
  <c r="W204" i="47"/>
  <c r="Y167" i="49"/>
  <c r="W168" i="47"/>
  <c r="W166" i="47"/>
  <c r="T151" i="73"/>
  <c r="AM122" i="72" s="1"/>
  <c r="AO122" i="72" s="1"/>
  <c r="Y202" i="49"/>
  <c r="Y205" i="1"/>
  <c r="AB122" i="72"/>
  <c r="AR128" i="72"/>
  <c r="BE125" i="72"/>
  <c r="M117" i="72"/>
  <c r="N117" i="72" s="1"/>
  <c r="AR116" i="72"/>
  <c r="Y187" i="48"/>
  <c r="Y198" i="1"/>
  <c r="J124" i="72"/>
  <c r="S56" i="73"/>
  <c r="G133" i="72" s="1"/>
  <c r="M57" i="72"/>
  <c r="N57" i="72" s="1"/>
  <c r="AC54" i="72"/>
  <c r="AD54" i="72" s="1"/>
  <c r="AI120" i="72"/>
  <c r="AO120" i="72" s="1"/>
  <c r="S199" i="73"/>
  <c r="BA117" i="72" s="1"/>
  <c r="Z114" i="72"/>
  <c r="AB114" i="72" s="1"/>
  <c r="V65" i="72"/>
  <c r="AB130" i="72"/>
  <c r="D120" i="72"/>
  <c r="Y200" i="48"/>
  <c r="Y186" i="24"/>
  <c r="I91" i="73"/>
  <c r="X47" i="72" s="1"/>
  <c r="AD122" i="72"/>
  <c r="Y189" i="49"/>
  <c r="F93" i="72"/>
  <c r="N93" i="72" s="1"/>
  <c r="J105" i="72"/>
  <c r="L105" i="72" s="1"/>
  <c r="BE101" i="72"/>
  <c r="BG108" i="72"/>
  <c r="AA40" i="72"/>
  <c r="M109" i="72"/>
  <c r="H68" i="73"/>
  <c r="W24" i="72" s="1"/>
  <c r="AC105" i="72"/>
  <c r="D97" i="72"/>
  <c r="J97" i="72" s="1"/>
  <c r="L97" i="72" s="1"/>
  <c r="T26" i="72"/>
  <c r="F22" i="72"/>
  <c r="D106" i="72"/>
  <c r="AP95" i="72"/>
  <c r="BE88" i="72"/>
  <c r="Y162" i="1"/>
  <c r="Y160" i="48"/>
  <c r="H57" i="73"/>
  <c r="G66" i="72" s="1"/>
  <c r="J66" i="72" s="1"/>
  <c r="T123" i="73"/>
  <c r="AM94" i="72" s="1"/>
  <c r="AO94" i="72" s="1"/>
  <c r="AQ94" i="72" s="1"/>
  <c r="S11" i="73"/>
  <c r="G88" i="72" s="1"/>
  <c r="T65" i="73"/>
  <c r="X89" i="72" s="1"/>
  <c r="Z89" i="72" s="1"/>
  <c r="BG92" i="72"/>
  <c r="Y177" i="48"/>
  <c r="Y175" i="49"/>
  <c r="AO103" i="72"/>
  <c r="Y176" i="50"/>
  <c r="AO106" i="72"/>
  <c r="AQ106" i="72" s="1"/>
  <c r="AA38" i="72"/>
  <c r="H31" i="73"/>
  <c r="G40" i="72" s="1"/>
  <c r="AX99" i="72"/>
  <c r="BD99" i="72" s="1"/>
  <c r="BF99" i="72" s="1"/>
  <c r="S177" i="73"/>
  <c r="BA95" i="72" s="1"/>
  <c r="Y179" i="49"/>
  <c r="BG96" i="72"/>
  <c r="S84" i="73"/>
  <c r="W108" i="72" s="1"/>
  <c r="Z108" i="72" s="1"/>
  <c r="AB108" i="72" s="1"/>
  <c r="S17" i="73"/>
  <c r="G94" i="72" s="1"/>
  <c r="AP101" i="72"/>
  <c r="AC108" i="72"/>
  <c r="Y176" i="49"/>
  <c r="Y167" i="1"/>
  <c r="AS91" i="72"/>
  <c r="Y176" i="24"/>
  <c r="Y160" i="24"/>
  <c r="Y200" i="49"/>
  <c r="AH166" i="47"/>
  <c r="Y170" i="1"/>
  <c r="Y177" i="50"/>
  <c r="Y162" i="24"/>
  <c r="Y190" i="50"/>
  <c r="Y198" i="49"/>
  <c r="Y197" i="24"/>
  <c r="Y184" i="24"/>
  <c r="Y190" i="24"/>
  <c r="Y200" i="50"/>
  <c r="Y176" i="48"/>
  <c r="Y162" i="48"/>
  <c r="Y172" i="50"/>
  <c r="AR179" i="47"/>
  <c r="Y159" i="50"/>
  <c r="Y196" i="49"/>
  <c r="Y195" i="1"/>
  <c r="Y192" i="49"/>
  <c r="Y187" i="49"/>
  <c r="Y193" i="50"/>
  <c r="X200" i="47"/>
  <c r="Y160" i="50"/>
  <c r="Y163" i="1"/>
  <c r="X202" i="47"/>
  <c r="Y197" i="1"/>
  <c r="AS200" i="47"/>
  <c r="Y188" i="24"/>
  <c r="Y159" i="1"/>
  <c r="Y164" i="50"/>
  <c r="Y203" i="48"/>
  <c r="Y203" i="1"/>
  <c r="X174" i="47"/>
  <c r="W170" i="47"/>
  <c r="Y168" i="48"/>
  <c r="Y165" i="49"/>
  <c r="Y172" i="1"/>
  <c r="Y177" i="24"/>
  <c r="Y205" i="49"/>
  <c r="Y199" i="49"/>
  <c r="Y186" i="48"/>
  <c r="Y196" i="1"/>
  <c r="Y185" i="48"/>
  <c r="Y179" i="1"/>
  <c r="Y169" i="49"/>
  <c r="AR189" i="47"/>
  <c r="Y199" i="50"/>
  <c r="Y189" i="48"/>
  <c r="Y196" i="24"/>
  <c r="AI187" i="47"/>
  <c r="AJ197" i="48"/>
  <c r="BD179" i="1"/>
  <c r="BD191" i="24"/>
  <c r="AT196" i="48"/>
  <c r="BD177" i="48"/>
  <c r="BD195" i="1"/>
  <c r="BD176" i="48"/>
  <c r="AJ196" i="49"/>
  <c r="AJ195" i="1"/>
  <c r="BD185" i="24"/>
  <c r="AT186" i="50"/>
  <c r="AJ171" i="49"/>
  <c r="AT162" i="1"/>
  <c r="BD174" i="1"/>
  <c r="BD194" i="48"/>
  <c r="AJ197" i="50"/>
  <c r="AJ184" i="49"/>
  <c r="AJ199" i="1"/>
  <c r="AT191" i="24"/>
  <c r="AJ171" i="1"/>
  <c r="AT179" i="49"/>
  <c r="BD170" i="1"/>
  <c r="AT185" i="24"/>
  <c r="AJ191" i="24"/>
  <c r="AT191" i="49"/>
  <c r="AT176" i="49"/>
  <c r="BD202" i="49"/>
  <c r="BD189" i="50"/>
  <c r="AT186" i="49"/>
  <c r="AT197" i="24"/>
  <c r="BD179" i="24"/>
  <c r="BD166" i="1"/>
  <c r="AT194" i="1"/>
  <c r="BD178" i="48"/>
  <c r="AT179" i="48"/>
  <c r="AJ170" i="50"/>
  <c r="AT159" i="50"/>
  <c r="AJ202" i="50"/>
  <c r="AT201" i="24"/>
  <c r="AJ167" i="48"/>
  <c r="AJ179" i="50"/>
  <c r="AT165" i="48"/>
  <c r="AT205" i="50"/>
  <c r="BD194" i="49"/>
  <c r="AJ192" i="1"/>
  <c r="BD175" i="24"/>
  <c r="BD169" i="49"/>
  <c r="AJ194" i="48"/>
  <c r="BD197" i="50"/>
  <c r="BD189" i="48"/>
  <c r="AJ189" i="24"/>
  <c r="AT190" i="24"/>
  <c r="AT166" i="50"/>
  <c r="BD196" i="48"/>
  <c r="AT166" i="49"/>
  <c r="AT176" i="1"/>
  <c r="BD193" i="48"/>
  <c r="AT177" i="50"/>
  <c r="BD198" i="49"/>
  <c r="BD197" i="24"/>
  <c r="AJ198" i="24"/>
  <c r="BD192" i="24"/>
  <c r="AJ194" i="50"/>
  <c r="BD166" i="24"/>
  <c r="BD160" i="50"/>
  <c r="BD169" i="24"/>
  <c r="AT164" i="50"/>
  <c r="AJ161" i="48"/>
  <c r="AT201" i="50"/>
  <c r="AJ203" i="48"/>
  <c r="AT198" i="24"/>
  <c r="AT158" i="48"/>
  <c r="BD164" i="50"/>
  <c r="AJ194" i="24"/>
  <c r="C104" i="47"/>
  <c r="AJ160" i="50"/>
  <c r="AJ186" i="50"/>
  <c r="AJ175" i="48"/>
  <c r="AT172" i="1"/>
  <c r="AT202" i="50"/>
  <c r="AJ177" i="24"/>
  <c r="AJ179" i="1"/>
  <c r="BD168" i="1"/>
  <c r="AT198" i="50"/>
  <c r="AJ199" i="50"/>
  <c r="AJ190" i="1"/>
  <c r="BD198" i="1"/>
  <c r="AR166" i="47"/>
  <c r="AS174" i="47"/>
  <c r="AT177" i="24"/>
  <c r="AS161" i="47"/>
  <c r="AT167" i="48"/>
  <c r="X171" i="47"/>
  <c r="AI204" i="47"/>
  <c r="AT188" i="48"/>
  <c r="X184" i="47"/>
  <c r="C215" i="47"/>
  <c r="AR186" i="47"/>
  <c r="AR195" i="47"/>
  <c r="AS195" i="47"/>
  <c r="AR169" i="47"/>
  <c r="AS173" i="47"/>
  <c r="AR171" i="47"/>
  <c r="AR165" i="47"/>
  <c r="AS175" i="47"/>
  <c r="AS164" i="47"/>
  <c r="AR204" i="47"/>
  <c r="AR199" i="47"/>
  <c r="AR196" i="47"/>
  <c r="AS196" i="47"/>
  <c r="AS178" i="47"/>
  <c r="AS160" i="47"/>
  <c r="AR178" i="47"/>
  <c r="AR193" i="47"/>
  <c r="AS203" i="47"/>
  <c r="AR197" i="47"/>
  <c r="AR203" i="47"/>
  <c r="AR201" i="47"/>
  <c r="AR168" i="47"/>
  <c r="AS177" i="47"/>
  <c r="AS167" i="47"/>
  <c r="AR158" i="47"/>
  <c r="AR172" i="47"/>
  <c r="AS163" i="47"/>
  <c r="AR161" i="47"/>
  <c r="AR192" i="47"/>
  <c r="AS186" i="47"/>
  <c r="AS179" i="47"/>
  <c r="AR167" i="47"/>
  <c r="AS158" i="47"/>
  <c r="AR190" i="47"/>
  <c r="AR198" i="47"/>
  <c r="AS166" i="47"/>
  <c r="AR162" i="47"/>
  <c r="AS162" i="47"/>
  <c r="AS170" i="47"/>
  <c r="AS176" i="47"/>
  <c r="AS188" i="47"/>
  <c r="AS187" i="47"/>
  <c r="AS169" i="47"/>
  <c r="AS205" i="47"/>
  <c r="AR188" i="47"/>
  <c r="AS190" i="47"/>
  <c r="AS185" i="47"/>
  <c r="AR184" i="47"/>
  <c r="AS198" i="47"/>
  <c r="AS192" i="47"/>
  <c r="AS159" i="47"/>
  <c r="AR160" i="47"/>
  <c r="AR164" i="47"/>
  <c r="AR191" i="47"/>
  <c r="AS171" i="47"/>
  <c r="AR163" i="47"/>
  <c r="AS168" i="47"/>
  <c r="AS202" i="47"/>
  <c r="AS199" i="47"/>
  <c r="AS201" i="47"/>
  <c r="AS204" i="47"/>
  <c r="AR175" i="47"/>
  <c r="AJ178" i="48"/>
  <c r="AT194" i="24"/>
  <c r="AT174" i="50"/>
  <c r="AR170" i="47"/>
  <c r="AT165" i="49"/>
  <c r="AT159" i="49"/>
  <c r="X204" i="47"/>
  <c r="BD203" i="49"/>
  <c r="X199" i="47"/>
  <c r="AS165" i="47"/>
  <c r="AS184" i="47"/>
  <c r="X194" i="47"/>
  <c r="X193" i="47"/>
  <c r="AR202" i="47"/>
  <c r="W159" i="47"/>
  <c r="X179" i="47"/>
  <c r="AT160" i="49"/>
  <c r="BD170" i="50"/>
  <c r="W163" i="47"/>
  <c r="W193" i="47"/>
  <c r="X185" i="47"/>
  <c r="AR187" i="47"/>
  <c r="AS194" i="47"/>
  <c r="W185" i="47"/>
  <c r="X168" i="47"/>
  <c r="AR159" i="47"/>
  <c r="X166" i="47"/>
  <c r="AT200" i="48"/>
  <c r="AR200" i="47"/>
  <c r="X189" i="47"/>
  <c r="AT200" i="1"/>
  <c r="AJ195" i="48"/>
  <c r="AR185" i="47"/>
  <c r="AS193" i="47"/>
  <c r="AX24" i="47"/>
  <c r="BC34" i="47"/>
  <c r="W194" i="47"/>
  <c r="W196" i="47"/>
  <c r="X191" i="47"/>
  <c r="W179" i="47"/>
  <c r="X176" i="47"/>
  <c r="W197" i="47"/>
  <c r="W201" i="47"/>
  <c r="X173" i="47"/>
  <c r="X165" i="47"/>
  <c r="X175" i="47"/>
  <c r="X164" i="47"/>
  <c r="W160" i="47"/>
  <c r="W190" i="47"/>
  <c r="W186" i="47"/>
  <c r="W195" i="47"/>
  <c r="X195" i="47"/>
  <c r="W198" i="47"/>
  <c r="X178" i="47"/>
  <c r="X161" i="47"/>
  <c r="W188" i="47"/>
  <c r="W184" i="47"/>
  <c r="W162" i="47"/>
  <c r="X163" i="47"/>
  <c r="W203" i="47"/>
  <c r="X196" i="47"/>
  <c r="X167" i="47"/>
  <c r="W178" i="47"/>
  <c r="W172" i="47"/>
  <c r="W161" i="47"/>
  <c r="W158" i="47"/>
  <c r="W192" i="47"/>
  <c r="W191" i="47"/>
  <c r="X160" i="47"/>
  <c r="X177" i="47"/>
  <c r="W164" i="47"/>
  <c r="X170" i="47"/>
  <c r="X205" i="47"/>
  <c r="X188" i="47"/>
  <c r="X190" i="47"/>
  <c r="X203" i="47"/>
  <c r="X198" i="47"/>
  <c r="X186" i="47"/>
  <c r="X192" i="47"/>
  <c r="W174" i="47"/>
  <c r="W176" i="47"/>
  <c r="X169" i="47"/>
  <c r="X158" i="47"/>
  <c r="W202" i="47"/>
  <c r="X187" i="47"/>
  <c r="X197" i="47"/>
  <c r="X172" i="47"/>
  <c r="W177" i="47"/>
  <c r="W165" i="47"/>
  <c r="AJ203" i="49"/>
  <c r="AJ202" i="24"/>
  <c r="AJ164" i="24"/>
  <c r="AJ161" i="50"/>
  <c r="AJ196" i="50"/>
  <c r="AR205" i="47"/>
  <c r="W173" i="47"/>
  <c r="X162" i="47"/>
  <c r="AR173" i="47"/>
  <c r="AT173" i="1"/>
  <c r="AT170" i="24"/>
  <c r="W171" i="47"/>
  <c r="AS172" i="47"/>
  <c r="AT194" i="48"/>
  <c r="AT193" i="24"/>
  <c r="AJ200" i="49"/>
  <c r="AR174" i="47"/>
  <c r="AR177" i="47"/>
  <c r="W169" i="47"/>
  <c r="W175" i="47"/>
  <c r="AS191" i="47"/>
  <c r="W200" i="47"/>
  <c r="W205" i="47"/>
  <c r="BD184" i="48"/>
  <c r="AS189" i="47"/>
  <c r="W189" i="47"/>
  <c r="AR194" i="47"/>
  <c r="W199" i="47"/>
  <c r="AJ184" i="24"/>
  <c r="BD203" i="24"/>
  <c r="AJ205" i="24"/>
  <c r="AJ165" i="49"/>
  <c r="AJ169" i="24"/>
  <c r="AT175" i="49"/>
  <c r="BD160" i="48"/>
  <c r="AJ175" i="1"/>
  <c r="AT176" i="50"/>
  <c r="BD162" i="48"/>
  <c r="AT175" i="48"/>
  <c r="BD162" i="50"/>
  <c r="AJ174" i="50"/>
  <c r="AT163" i="24"/>
  <c r="BD173" i="1"/>
  <c r="BD170" i="24"/>
  <c r="AJ166" i="50"/>
  <c r="BD179" i="50"/>
  <c r="BD165" i="48"/>
  <c r="AT178" i="48"/>
  <c r="BD177" i="24"/>
  <c r="BD167" i="49"/>
  <c r="AJ170" i="1"/>
  <c r="BD167" i="48"/>
  <c r="AT166" i="24"/>
  <c r="BD165" i="49"/>
  <c r="AJ168" i="1"/>
  <c r="AT169" i="24"/>
  <c r="AJ166" i="1"/>
  <c r="BD161" i="50"/>
  <c r="BD166" i="49"/>
  <c r="BD162" i="24"/>
  <c r="BD159" i="50"/>
  <c r="AJ176" i="48"/>
  <c r="AJ169" i="49"/>
  <c r="AJ177" i="48"/>
  <c r="AT164" i="24"/>
  <c r="AT177" i="1"/>
  <c r="BD165" i="50"/>
  <c r="BD177" i="50"/>
  <c r="AT159" i="1"/>
  <c r="AJ191" i="50"/>
  <c r="AT202" i="48"/>
  <c r="AT203" i="24"/>
  <c r="AT200" i="50"/>
  <c r="AJ201" i="49"/>
  <c r="AT196" i="1"/>
  <c r="AT175" i="24"/>
  <c r="AT170" i="49"/>
  <c r="AT177" i="48"/>
  <c r="AJ177" i="50"/>
  <c r="BD163" i="49"/>
  <c r="BD196" i="49"/>
  <c r="BD184" i="50"/>
  <c r="AT192" i="49"/>
  <c r="AJ187" i="1"/>
  <c r="AT187" i="50"/>
  <c r="BD198" i="48"/>
  <c r="BD203" i="50"/>
  <c r="AT189" i="48"/>
  <c r="AT196" i="24"/>
  <c r="BD199" i="49"/>
  <c r="AJ205" i="50"/>
  <c r="AT191" i="48"/>
  <c r="AJ187" i="24"/>
  <c r="BD191" i="49"/>
  <c r="AJ203" i="24"/>
  <c r="BD188" i="49"/>
  <c r="AT191" i="1"/>
  <c r="BD204" i="48"/>
  <c r="BD199" i="24"/>
  <c r="BD201" i="49"/>
  <c r="BD205" i="48"/>
  <c r="AT162" i="50"/>
  <c r="AT188" i="1"/>
  <c r="BD190" i="24"/>
  <c r="AJ165" i="50"/>
  <c r="BD171" i="48"/>
  <c r="BD187" i="1"/>
  <c r="AJ198" i="48"/>
  <c r="AJ201" i="48"/>
  <c r="AJ199" i="49"/>
  <c r="BD185" i="50"/>
  <c r="AP25" i="47"/>
  <c r="AN85" i="47" s="1"/>
  <c r="AN84" i="47" s="1"/>
  <c r="AS34" i="47"/>
  <c r="AT160" i="50"/>
  <c r="BD204" i="1"/>
  <c r="AT186" i="24"/>
  <c r="AJ188" i="24"/>
  <c r="BD201" i="1"/>
  <c r="BD194" i="1"/>
  <c r="AJ190" i="50"/>
  <c r="AT203" i="49"/>
  <c r="BD192" i="49"/>
  <c r="AT189" i="50"/>
  <c r="AT189" i="1"/>
  <c r="AT194" i="49"/>
  <c r="AT200" i="49"/>
  <c r="BG118" i="72"/>
  <c r="BE118" i="72"/>
  <c r="I109" i="73"/>
  <c r="X65" i="72" s="1"/>
  <c r="T65" i="72"/>
  <c r="AD65" i="72" s="1"/>
  <c r="I106" i="73"/>
  <c r="X62" i="72" s="1"/>
  <c r="H98" i="73"/>
  <c r="W54" i="72" s="1"/>
  <c r="AC133" i="72"/>
  <c r="AD133" i="72" s="1"/>
  <c r="AJ190" i="49"/>
  <c r="AJ204" i="49"/>
  <c r="AJ192" i="50"/>
  <c r="I90" i="73"/>
  <c r="X46" i="72" s="1"/>
  <c r="T46" i="72"/>
  <c r="Z47" i="72"/>
  <c r="S57" i="73"/>
  <c r="G134" i="72" s="1"/>
  <c r="F134" i="72"/>
  <c r="J134" i="72" s="1"/>
  <c r="AX121" i="72"/>
  <c r="T203" i="73"/>
  <c r="BB121" i="72" s="1"/>
  <c r="AK119" i="72"/>
  <c r="AS119" i="72" s="1"/>
  <c r="S148" i="73"/>
  <c r="AL119" i="72" s="1"/>
  <c r="BD190" i="1"/>
  <c r="Y195" i="49"/>
  <c r="Y192" i="1"/>
  <c r="AT205" i="1"/>
  <c r="AT193" i="50"/>
  <c r="Y200" i="24"/>
  <c r="T57" i="72"/>
  <c r="I101" i="73"/>
  <c r="X57" i="72" s="1"/>
  <c r="BB142" i="1" a="1"/>
  <c r="BB142" i="1" s="1"/>
  <c r="AW209" i="1" s="1"/>
  <c r="BE6" i="1" s="1"/>
  <c r="W142" i="48" a="1"/>
  <c r="W142" i="48" s="1"/>
  <c r="R209" i="48" s="1"/>
  <c r="Z6" i="48" s="1"/>
  <c r="AI129" i="72"/>
  <c r="T158" i="73"/>
  <c r="AM129" i="72" s="1"/>
  <c r="S211" i="73"/>
  <c r="BA129" i="72" s="1"/>
  <c r="AR142" i="1" a="1"/>
  <c r="AR142" i="1" s="1"/>
  <c r="AP142" i="1" s="1"/>
  <c r="T46" i="73"/>
  <c r="H123" i="72" s="1"/>
  <c r="D123" i="72"/>
  <c r="N123" i="72" s="1"/>
  <c r="Y201" i="1"/>
  <c r="Y202" i="24"/>
  <c r="AJ198" i="50"/>
  <c r="Y204" i="1"/>
  <c r="BD187" i="48"/>
  <c r="BD188" i="1"/>
  <c r="BD191" i="50"/>
  <c r="BD193" i="1"/>
  <c r="AJ204" i="50"/>
  <c r="AJ202" i="48"/>
  <c r="BD187" i="49"/>
  <c r="AJ198" i="1"/>
  <c r="Y191" i="49"/>
  <c r="AJ204" i="24"/>
  <c r="AJ188" i="50"/>
  <c r="AT205" i="24"/>
  <c r="BD203" i="1"/>
  <c r="BD194" i="50"/>
  <c r="AT192" i="48"/>
  <c r="Y201" i="49"/>
  <c r="AJ196" i="1"/>
  <c r="AT195" i="50"/>
  <c r="AT184" i="48"/>
  <c r="AZ118" i="72"/>
  <c r="S200" i="73"/>
  <c r="BA118" i="72" s="1"/>
  <c r="AX125" i="72"/>
  <c r="BH125" i="72" s="1"/>
  <c r="T207" i="73"/>
  <c r="BB125" i="72" s="1"/>
  <c r="W142" i="1" a="1"/>
  <c r="W142" i="1" s="1"/>
  <c r="R209" i="1" s="1"/>
  <c r="Z6" i="1" s="1"/>
  <c r="AA128" i="72"/>
  <c r="AC128" i="72"/>
  <c r="AD128" i="72" s="1"/>
  <c r="Y186" i="50"/>
  <c r="Y199" i="1"/>
  <c r="BD197" i="48"/>
  <c r="AT190" i="1"/>
  <c r="AT187" i="48"/>
  <c r="BD196" i="24"/>
  <c r="Y205" i="50"/>
  <c r="BD187" i="24"/>
  <c r="BD184" i="24"/>
  <c r="AJ185" i="1"/>
  <c r="Y188" i="49"/>
  <c r="Y191" i="1"/>
  <c r="AJ192" i="48"/>
  <c r="AJ195" i="50"/>
  <c r="AC47" i="72"/>
  <c r="AD47" i="72" s="1"/>
  <c r="AA47" i="72"/>
  <c r="BG124" i="72"/>
  <c r="BE124" i="72"/>
  <c r="AT185" i="49"/>
  <c r="Y185" i="1"/>
  <c r="Y184" i="1"/>
  <c r="S160" i="73"/>
  <c r="AL131" i="72" s="1"/>
  <c r="AO131" i="72" s="1"/>
  <c r="BD195" i="24"/>
  <c r="AJ202" i="1"/>
  <c r="Y197" i="49"/>
  <c r="Y190" i="48"/>
  <c r="AK129" i="72"/>
  <c r="S158" i="73"/>
  <c r="AL129" i="72" s="1"/>
  <c r="AJ197" i="1"/>
  <c r="M67" i="72"/>
  <c r="T40" i="73"/>
  <c r="H117" i="72" s="1"/>
  <c r="J117" i="72" s="1"/>
  <c r="L117" i="72" s="1"/>
  <c r="T51" i="73"/>
  <c r="H128" i="72" s="1"/>
  <c r="D128" i="72"/>
  <c r="N128" i="72" s="1"/>
  <c r="T162" i="73"/>
  <c r="AM133" i="72" s="1"/>
  <c r="AO133" i="72" s="1"/>
  <c r="S146" i="73"/>
  <c r="AL117" i="72" s="1"/>
  <c r="S205" i="73"/>
  <c r="BA123" i="72" s="1"/>
  <c r="BD190" i="50"/>
  <c r="Y184" i="50"/>
  <c r="AJ192" i="49"/>
  <c r="BD187" i="50"/>
  <c r="Y189" i="50"/>
  <c r="BD199" i="48"/>
  <c r="AJ185" i="49"/>
  <c r="Y203" i="50"/>
  <c r="AJ186" i="49"/>
  <c r="AJ186" i="1"/>
  <c r="Y191" i="48"/>
  <c r="AJ186" i="24"/>
  <c r="BD189" i="1"/>
  <c r="AT187" i="24"/>
  <c r="AJ193" i="49"/>
  <c r="BD185" i="1"/>
  <c r="AJ200" i="50"/>
  <c r="AT195" i="49"/>
  <c r="AT188" i="49"/>
  <c r="BD191" i="1"/>
  <c r="Y204" i="48"/>
  <c r="AJ199" i="24"/>
  <c r="AT184" i="1"/>
  <c r="Y205" i="48"/>
  <c r="AT188" i="24"/>
  <c r="Z134" i="72"/>
  <c r="AB134" i="72" s="1"/>
  <c r="AT190" i="50"/>
  <c r="BD188" i="48"/>
  <c r="Y195" i="24"/>
  <c r="AT184" i="50"/>
  <c r="Y196" i="50"/>
  <c r="Y187" i="1"/>
  <c r="Y187" i="50"/>
  <c r="Y198" i="48"/>
  <c r="AT199" i="48"/>
  <c r="BD185" i="49"/>
  <c r="AJ203" i="50"/>
  <c r="BD201" i="48"/>
  <c r="BD186" i="49"/>
  <c r="Y192" i="50"/>
  <c r="BD186" i="1"/>
  <c r="AJ185" i="50"/>
  <c r="AJ191" i="48"/>
  <c r="Y189" i="1"/>
  <c r="AT193" i="49"/>
  <c r="AJ192" i="24"/>
  <c r="AJ194" i="49"/>
  <c r="AT197" i="1"/>
  <c r="Y193" i="24"/>
  <c r="BD195" i="49"/>
  <c r="BD200" i="49"/>
  <c r="AJ204" i="48"/>
  <c r="AT199" i="24"/>
  <c r="BD184" i="1"/>
  <c r="AJ205" i="48"/>
  <c r="K125" i="72"/>
  <c r="AT196" i="49"/>
  <c r="AT195" i="1"/>
  <c r="AJ188" i="48"/>
  <c r="AT195" i="24"/>
  <c r="AJ184" i="50"/>
  <c r="AT196" i="50"/>
  <c r="Y194" i="48"/>
  <c r="BD201" i="24"/>
  <c r="AT197" i="50"/>
  <c r="AT187" i="1"/>
  <c r="AJ184" i="48"/>
  <c r="AJ187" i="50"/>
  <c r="AT198" i="48"/>
  <c r="AJ199" i="48"/>
  <c r="AJ197" i="49"/>
  <c r="AT203" i="50"/>
  <c r="Y201" i="48"/>
  <c r="Y186" i="49"/>
  <c r="AJ205" i="1"/>
  <c r="AT192" i="50"/>
  <c r="AJ190" i="48"/>
  <c r="AJ197" i="24"/>
  <c r="Y186" i="1"/>
  <c r="Y185" i="50"/>
  <c r="BD191" i="48"/>
  <c r="BD186" i="24"/>
  <c r="BD189" i="24"/>
  <c r="Y193" i="49"/>
  <c r="AT192" i="24"/>
  <c r="BD193" i="24"/>
  <c r="AT204" i="48"/>
  <c r="Y199" i="24"/>
  <c r="BD134" i="72"/>
  <c r="Y188" i="48"/>
  <c r="AJ195" i="24"/>
  <c r="Y190" i="49"/>
  <c r="BD196" i="50"/>
  <c r="AJ201" i="24"/>
  <c r="Y203" i="49"/>
  <c r="Y204" i="49"/>
  <c r="AJ205" i="49"/>
  <c r="BD192" i="1"/>
  <c r="AT199" i="50"/>
  <c r="AJ189" i="50"/>
  <c r="Y199" i="48"/>
  <c r="AT197" i="49"/>
  <c r="Y200" i="1"/>
  <c r="AT201" i="48"/>
  <c r="BD205" i="1"/>
  <c r="BD192" i="50"/>
  <c r="BD190" i="48"/>
  <c r="AT186" i="1"/>
  <c r="AT185" i="50"/>
  <c r="AT203" i="48"/>
  <c r="Y198" i="24"/>
  <c r="AJ189" i="1"/>
  <c r="AT189" i="24"/>
  <c r="BD193" i="49"/>
  <c r="Y192" i="24"/>
  <c r="Y194" i="49"/>
  <c r="BD197" i="1"/>
  <c r="AJ193" i="24"/>
  <c r="AJ200" i="24"/>
  <c r="Y202" i="50"/>
  <c r="BD190" i="49"/>
  <c r="Y201" i="24"/>
  <c r="Y197" i="50"/>
  <c r="BD204" i="49"/>
  <c r="BD205" i="49"/>
  <c r="Y202" i="1"/>
  <c r="Y201" i="50"/>
  <c r="BD197" i="49"/>
  <c r="AJ200" i="1"/>
  <c r="Y193" i="1"/>
  <c r="Y204" i="50"/>
  <c r="AT190" i="48"/>
  <c r="Y189" i="24"/>
  <c r="BD195" i="48"/>
  <c r="AJ185" i="48"/>
  <c r="BD204" i="24"/>
  <c r="BD188" i="50"/>
  <c r="AT186" i="48"/>
  <c r="AJ189" i="49"/>
  <c r="AT193" i="48"/>
  <c r="AT200" i="24"/>
  <c r="S47" i="73"/>
  <c r="G124" i="72" s="1"/>
  <c r="AD130" i="72"/>
  <c r="Z115" i="72"/>
  <c r="AB115" i="72" s="1"/>
  <c r="BB142" i="50" a="1"/>
  <c r="BB142" i="50" s="1"/>
  <c r="AW209" i="50" s="1"/>
  <c r="BE6" i="50" s="1"/>
  <c r="BB150" i="48" a="1"/>
  <c r="BB150" i="48" s="1"/>
  <c r="BD150" i="48" s="1"/>
  <c r="BD202" i="50"/>
  <c r="AJ200" i="48"/>
  <c r="AT190" i="49"/>
  <c r="Y194" i="1"/>
  <c r="BD202" i="24"/>
  <c r="AT204" i="49"/>
  <c r="Y198" i="50"/>
  <c r="AJ196" i="48"/>
  <c r="AT205" i="49"/>
  <c r="AT192" i="1"/>
  <c r="BD199" i="50"/>
  <c r="AT202" i="1"/>
  <c r="AJ201" i="50"/>
  <c r="Y194" i="24"/>
  <c r="BD200" i="1"/>
  <c r="AT198" i="49"/>
  <c r="AJ193" i="1"/>
  <c r="BD204" i="50"/>
  <c r="BD202" i="48"/>
  <c r="AJ187" i="49"/>
  <c r="AJ193" i="50"/>
  <c r="BD203" i="48"/>
  <c r="BD198" i="24"/>
  <c r="AT202" i="49"/>
  <c r="AT195" i="48"/>
  <c r="AT185" i="48"/>
  <c r="AT204" i="24"/>
  <c r="AT188" i="50"/>
  <c r="AJ186" i="48"/>
  <c r="BD205" i="24"/>
  <c r="AT203" i="1"/>
  <c r="AT194" i="50"/>
  <c r="Y192" i="48"/>
  <c r="AT189" i="49"/>
  <c r="Y195" i="50"/>
  <c r="Y193" i="48"/>
  <c r="BD200" i="24"/>
  <c r="BD200" i="48"/>
  <c r="AJ201" i="1"/>
  <c r="AJ194" i="1"/>
  <c r="AT202" i="24"/>
  <c r="BD184" i="49"/>
  <c r="AT199" i="1"/>
  <c r="BD198" i="50"/>
  <c r="Y196" i="48"/>
  <c r="Y191" i="24"/>
  <c r="AJ204" i="1"/>
  <c r="Y197" i="48"/>
  <c r="BD202" i="1"/>
  <c r="BD201" i="50"/>
  <c r="BD194" i="24"/>
  <c r="Y188" i="1"/>
  <c r="Y191" i="50"/>
  <c r="AJ198" i="49"/>
  <c r="AT193" i="1"/>
  <c r="AT204" i="50"/>
  <c r="Y202" i="48"/>
  <c r="AT187" i="49"/>
  <c r="BD193" i="50"/>
  <c r="AJ202" i="49"/>
  <c r="Y195" i="48"/>
  <c r="BD185" i="48"/>
  <c r="Y204" i="24"/>
  <c r="Y188" i="50"/>
  <c r="BD186" i="48"/>
  <c r="Y205" i="24"/>
  <c r="AJ203" i="1"/>
  <c r="Y194" i="50"/>
  <c r="BD192" i="48"/>
  <c r="BD189" i="49"/>
  <c r="BD196" i="1"/>
  <c r="BD195" i="50"/>
  <c r="AJ193" i="48"/>
  <c r="AJ185" i="24"/>
  <c r="AT201" i="1"/>
  <c r="BD186" i="50"/>
  <c r="AT184" i="49"/>
  <c r="BD199" i="1"/>
  <c r="AT204" i="1"/>
  <c r="AT197" i="48"/>
  <c r="Y190" i="1"/>
  <c r="AJ187" i="48"/>
  <c r="Y185" i="49"/>
  <c r="AJ188" i="1"/>
  <c r="AT191" i="50"/>
  <c r="AJ189" i="48"/>
  <c r="AJ196" i="24"/>
  <c r="AT199" i="49"/>
  <c r="AT198" i="1"/>
  <c r="BD205" i="50"/>
  <c r="Y187" i="24"/>
  <c r="AJ191" i="49"/>
  <c r="AT184" i="24"/>
  <c r="AJ190" i="24"/>
  <c r="Y203" i="24"/>
  <c r="AT185" i="1"/>
  <c r="BD200" i="50"/>
  <c r="AJ195" i="49"/>
  <c r="AJ188" i="49"/>
  <c r="AJ191" i="1"/>
  <c r="AT201" i="49"/>
  <c r="AJ184" i="1"/>
  <c r="AT205" i="48"/>
  <c r="BD188" i="24"/>
  <c r="AH125" i="1" a="1"/>
  <c r="AH125" i="1" s="1"/>
  <c r="BD165" i="24"/>
  <c r="AJ166" i="24"/>
  <c r="AC90" i="72"/>
  <c r="AD90" i="72" s="1"/>
  <c r="AA90" i="72"/>
  <c r="AR125" i="24" a="1"/>
  <c r="AR125" i="24" s="1"/>
  <c r="AH77" i="48" a="1"/>
  <c r="AH77" i="48" s="1"/>
  <c r="AJ158" i="48"/>
  <c r="AR77" i="48" a="1"/>
  <c r="AR77" i="48" s="1"/>
  <c r="AT160" i="48"/>
  <c r="AZ96" i="72"/>
  <c r="S178" i="73"/>
  <c r="BA96" i="72" s="1"/>
  <c r="AH116" i="24" a="1"/>
  <c r="AH116" i="24" s="1"/>
  <c r="AP103" i="72"/>
  <c r="W116" i="50" a="1"/>
  <c r="W116" i="50" s="1"/>
  <c r="AR150" i="49" a="1"/>
  <c r="AR150" i="49" s="1"/>
  <c r="AT161" i="50"/>
  <c r="AJ166" i="49"/>
  <c r="Y171" i="49"/>
  <c r="S120" i="73"/>
  <c r="AL91" i="72" s="1"/>
  <c r="AR103" i="72"/>
  <c r="AS103" i="72" s="1"/>
  <c r="Y166" i="50"/>
  <c r="BB125" i="48" a="1"/>
  <c r="BB125" i="48" s="1"/>
  <c r="BB116" i="49" a="1"/>
  <c r="BB116" i="49" s="1"/>
  <c r="AJ167" i="49"/>
  <c r="BB150" i="49" a="1"/>
  <c r="BB150" i="49" s="1"/>
  <c r="BB77" i="48" a="1"/>
  <c r="BB77" i="48" s="1"/>
  <c r="BD158" i="48"/>
  <c r="BD175" i="1"/>
  <c r="AJ176" i="50"/>
  <c r="AR116" i="48" a="1"/>
  <c r="AR116" i="48" s="1"/>
  <c r="AA91" i="72"/>
  <c r="Z90" i="72"/>
  <c r="BB116" i="50" a="1"/>
  <c r="BB116" i="50" s="1"/>
  <c r="W77" i="49" a="1"/>
  <c r="W77" i="49" s="1"/>
  <c r="Y158" i="49"/>
  <c r="AJ167" i="50"/>
  <c r="BD164" i="24"/>
  <c r="AT167" i="49"/>
  <c r="AR77" i="1" a="1"/>
  <c r="AR77" i="1" s="1"/>
  <c r="AT158" i="1"/>
  <c r="W150" i="50" a="1"/>
  <c r="W150" i="50" s="1"/>
  <c r="AT179" i="24"/>
  <c r="Y163" i="50"/>
  <c r="AJ162" i="48"/>
  <c r="AA103" i="72"/>
  <c r="AC103" i="72"/>
  <c r="BG107" i="72"/>
  <c r="T28" i="72"/>
  <c r="Z28" i="72" s="1"/>
  <c r="S171" i="73"/>
  <c r="BA89" i="72" s="1"/>
  <c r="AC92" i="72"/>
  <c r="AD92" i="72" s="1"/>
  <c r="F31" i="72"/>
  <c r="N31" i="72" s="1"/>
  <c r="BD176" i="49"/>
  <c r="AJ167" i="1"/>
  <c r="AT168" i="49"/>
  <c r="AJ160" i="1"/>
  <c r="AH150" i="50" a="1"/>
  <c r="AH150" i="50" s="1"/>
  <c r="AJ179" i="48"/>
  <c r="BD161" i="49"/>
  <c r="AT175" i="1"/>
  <c r="AJ159" i="50"/>
  <c r="AJ159" i="49"/>
  <c r="I71" i="73"/>
  <c r="X27" i="72" s="1"/>
  <c r="T27" i="72"/>
  <c r="AP99" i="72"/>
  <c r="AR99" i="72"/>
  <c r="AS99" i="72" s="1"/>
  <c r="AS94" i="72"/>
  <c r="S18" i="73"/>
  <c r="G95" i="72" s="1"/>
  <c r="BD170" i="49"/>
  <c r="AJ168" i="49"/>
  <c r="BD178" i="50"/>
  <c r="BD160" i="1"/>
  <c r="Y165" i="50"/>
  <c r="D29" i="72"/>
  <c r="I20" i="73"/>
  <c r="H29" i="72" s="1"/>
  <c r="AJ163" i="50"/>
  <c r="BB125" i="49" a="1"/>
  <c r="BB125" i="49" s="1"/>
  <c r="AT163" i="1"/>
  <c r="T34" i="72"/>
  <c r="I78" i="73"/>
  <c r="X34" i="72" s="1"/>
  <c r="Z34" i="72" s="1"/>
  <c r="AB34" i="72" s="1"/>
  <c r="AJ161" i="24"/>
  <c r="Y159" i="49"/>
  <c r="AT169" i="50"/>
  <c r="S133" i="73"/>
  <c r="AL104" i="72" s="1"/>
  <c r="AK104" i="72"/>
  <c r="T177" i="73"/>
  <c r="BB95" i="72" s="1"/>
  <c r="BD95" i="72" s="1"/>
  <c r="T30" i="73"/>
  <c r="H107" i="72" s="1"/>
  <c r="J107" i="72" s="1"/>
  <c r="L107" i="72" s="1"/>
  <c r="J27" i="72"/>
  <c r="Z104" i="72"/>
  <c r="AB104" i="72" s="1"/>
  <c r="AR116" i="50" a="1"/>
  <c r="AR116" i="50" s="1"/>
  <c r="AJ170" i="49"/>
  <c r="BD168" i="49"/>
  <c r="BB142" i="49" a="1"/>
  <c r="BB142" i="49" s="1"/>
  <c r="AT168" i="24"/>
  <c r="AJ161" i="1"/>
  <c r="AT178" i="1"/>
  <c r="Y171" i="48"/>
  <c r="Y161" i="49"/>
  <c r="Y172" i="49"/>
  <c r="BD163" i="1"/>
  <c r="BD172" i="24"/>
  <c r="BD174" i="48"/>
  <c r="AH142" i="50" a="1"/>
  <c r="AH142" i="50" s="1"/>
  <c r="AT161" i="48"/>
  <c r="H79" i="73"/>
  <c r="W35" i="72" s="1"/>
  <c r="AZ108" i="72"/>
  <c r="S190" i="73"/>
  <c r="BA108" i="72" s="1"/>
  <c r="AT164" i="49"/>
  <c r="AT170" i="48"/>
  <c r="BD159" i="24"/>
  <c r="BD173" i="49"/>
  <c r="BD176" i="24"/>
  <c r="BD177" i="1"/>
  <c r="AR142" i="49" a="1"/>
  <c r="AR142" i="49" s="1"/>
  <c r="BD168" i="24"/>
  <c r="BD178" i="1"/>
  <c r="Y171" i="24"/>
  <c r="AT161" i="49"/>
  <c r="AJ178" i="49"/>
  <c r="AR116" i="1" a="1"/>
  <c r="AR116" i="1" s="1"/>
  <c r="Y169" i="50"/>
  <c r="AJ163" i="48"/>
  <c r="S69" i="73"/>
  <c r="W93" i="72" s="1"/>
  <c r="BD164" i="49"/>
  <c r="BB150" i="24" a="1"/>
  <c r="BB150" i="24" s="1"/>
  <c r="Y159" i="48"/>
  <c r="AJ178" i="50"/>
  <c r="Y172" i="48"/>
  <c r="AJ159" i="24"/>
  <c r="AT173" i="49"/>
  <c r="AT176" i="24"/>
  <c r="BD162" i="49"/>
  <c r="AJ174" i="49"/>
  <c r="AR150" i="1" a="1"/>
  <c r="AR150" i="1" s="1"/>
  <c r="BD165" i="1"/>
  <c r="AH125" i="50" a="1"/>
  <c r="AH125" i="50" s="1"/>
  <c r="AT166" i="48"/>
  <c r="AH142" i="49" a="1"/>
  <c r="AH142" i="49" s="1"/>
  <c r="BD168" i="48"/>
  <c r="Y167" i="24"/>
  <c r="BD177" i="49"/>
  <c r="BD175" i="50"/>
  <c r="BD169" i="48"/>
  <c r="AJ168" i="24"/>
  <c r="Y161" i="1"/>
  <c r="Y168" i="50"/>
  <c r="Y163" i="49"/>
  <c r="AJ178" i="1"/>
  <c r="AT173" i="50"/>
  <c r="BD173" i="24"/>
  <c r="S12" i="73"/>
  <c r="G89" i="72" s="1"/>
  <c r="S21" i="73"/>
  <c r="G98" i="72" s="1"/>
  <c r="S117" i="73"/>
  <c r="AL88" i="72" s="1"/>
  <c r="V97" i="72"/>
  <c r="S15" i="73"/>
  <c r="G92" i="72" s="1"/>
  <c r="S27" i="73"/>
  <c r="G104" i="72" s="1"/>
  <c r="J104" i="72" s="1"/>
  <c r="L104" i="72" s="1"/>
  <c r="AC104" i="72"/>
  <c r="AD104" i="72" s="1"/>
  <c r="AR107" i="72"/>
  <c r="W150" i="49" a="1"/>
  <c r="W150" i="49" s="1"/>
  <c r="AJ162" i="50"/>
  <c r="AJ179" i="24"/>
  <c r="H72" i="73"/>
  <c r="W28" i="72" s="1"/>
  <c r="Y173" i="1"/>
  <c r="Y167" i="50"/>
  <c r="AR92" i="72"/>
  <c r="AS92" i="72" s="1"/>
  <c r="AP92" i="72"/>
  <c r="AQ92" i="72" s="1"/>
  <c r="Y170" i="49"/>
  <c r="AP96" i="72"/>
  <c r="AR96" i="72"/>
  <c r="AT160" i="1"/>
  <c r="Y179" i="48"/>
  <c r="AT168" i="1"/>
  <c r="BB142" i="24" a="1"/>
  <c r="BB142" i="24" s="1"/>
  <c r="K93" i="72"/>
  <c r="S77" i="73"/>
  <c r="W101" i="72" s="1"/>
  <c r="Z101" i="72" s="1"/>
  <c r="AB101" i="72" s="1"/>
  <c r="AH77" i="49" a="1"/>
  <c r="AH77" i="49" s="1"/>
  <c r="AJ158" i="49"/>
  <c r="BD159" i="1"/>
  <c r="BD167" i="50"/>
  <c r="W77" i="1" a="1"/>
  <c r="W77" i="1" s="1"/>
  <c r="Y158" i="1"/>
  <c r="AH142" i="24" a="1"/>
  <c r="AH142" i="24" s="1"/>
  <c r="C178" i="24" s="1"/>
  <c r="AC20" i="72"/>
  <c r="AA20" i="72"/>
  <c r="BD167" i="1"/>
  <c r="AJ175" i="24"/>
  <c r="AH150" i="24" a="1"/>
  <c r="AH150" i="24" s="1"/>
  <c r="AT169" i="49"/>
  <c r="AT167" i="50"/>
  <c r="Y164" i="24"/>
  <c r="AH77" i="1" a="1"/>
  <c r="AH77" i="1" s="1"/>
  <c r="AJ158" i="1"/>
  <c r="AR142" i="24" a="1"/>
  <c r="AR142" i="24" s="1"/>
  <c r="C227" i="24" s="1"/>
  <c r="T109" i="72"/>
  <c r="T85" i="73"/>
  <c r="X109" i="72" s="1"/>
  <c r="BB77" i="49" a="1"/>
  <c r="BB77" i="49" s="1"/>
  <c r="BD158" i="49"/>
  <c r="BD170" i="48"/>
  <c r="AT178" i="50"/>
  <c r="AT159" i="24"/>
  <c r="BB150" i="50" a="1"/>
  <c r="BB150" i="50" s="1"/>
  <c r="W142" i="24" a="1"/>
  <c r="W142" i="24" s="1"/>
  <c r="I22" i="73"/>
  <c r="H31" i="72" s="1"/>
  <c r="J31" i="72" s="1"/>
  <c r="T186" i="73"/>
  <c r="BB104" i="72" s="1"/>
  <c r="T21" i="73"/>
  <c r="H98" i="72" s="1"/>
  <c r="J98" i="72" s="1"/>
  <c r="AJ172" i="48"/>
  <c r="AZ109" i="72"/>
  <c r="S191" i="73"/>
  <c r="BA109" i="72" s="1"/>
  <c r="T173" i="73"/>
  <c r="BB91" i="72" s="1"/>
  <c r="BD91" i="72" s="1"/>
  <c r="BF91" i="72" s="1"/>
  <c r="AT175" i="50"/>
  <c r="AJ163" i="1"/>
  <c r="T11" i="73"/>
  <c r="H88" i="72" s="1"/>
  <c r="J88" i="72" s="1"/>
  <c r="L88" i="72" s="1"/>
  <c r="S78" i="73"/>
  <c r="W102" i="72" s="1"/>
  <c r="T122" i="73"/>
  <c r="AM93" i="72" s="1"/>
  <c r="AI93" i="72"/>
  <c r="S118" i="73"/>
  <c r="AL89" i="72" s="1"/>
  <c r="W116" i="49" a="1"/>
  <c r="W116" i="49" s="1"/>
  <c r="AH77" i="50" a="1"/>
  <c r="AH77" i="50" s="1"/>
  <c r="AJ158" i="50"/>
  <c r="AT162" i="24"/>
  <c r="W125" i="1" a="1"/>
  <c r="W125" i="1" s="1"/>
  <c r="AH116" i="49" a="1"/>
  <c r="AH116" i="49" s="1"/>
  <c r="BB116" i="24" a="1"/>
  <c r="BB116" i="24" s="1"/>
  <c r="AT176" i="48"/>
  <c r="T69" i="73"/>
  <c r="X93" i="72" s="1"/>
  <c r="Z93" i="72" s="1"/>
  <c r="AJ170" i="24"/>
  <c r="AJ159" i="1"/>
  <c r="Y160" i="1"/>
  <c r="Y179" i="24"/>
  <c r="BD163" i="50"/>
  <c r="BD171" i="49"/>
  <c r="AJ162" i="1"/>
  <c r="H22" i="73"/>
  <c r="G31" i="72" s="1"/>
  <c r="F97" i="72"/>
  <c r="Y175" i="24"/>
  <c r="Y168" i="49"/>
  <c r="AH125" i="48" a="1"/>
  <c r="AH125" i="48" s="1"/>
  <c r="Y178" i="48"/>
  <c r="K27" i="72"/>
  <c r="M27" i="72"/>
  <c r="N27" i="72" s="1"/>
  <c r="Y166" i="24"/>
  <c r="F25" i="72"/>
  <c r="H16" i="73"/>
  <c r="G25" i="72" s="1"/>
  <c r="H42" i="73"/>
  <c r="G51" i="72" s="1"/>
  <c r="Y175" i="1"/>
  <c r="Y166" i="49"/>
  <c r="T138" i="73"/>
  <c r="AM109" i="72" s="1"/>
  <c r="AI109" i="72"/>
  <c r="AS109" i="72" s="1"/>
  <c r="BD161" i="24"/>
  <c r="AT171" i="49"/>
  <c r="W116" i="48" a="1"/>
  <c r="W116" i="48" s="1"/>
  <c r="AB95" i="72"/>
  <c r="M90" i="72"/>
  <c r="S172" i="73"/>
  <c r="BA90" i="72" s="1"/>
  <c r="AH116" i="50" a="1"/>
  <c r="AH116" i="50" s="1"/>
  <c r="Y170" i="48"/>
  <c r="AR125" i="48" a="1"/>
  <c r="AR125" i="48" s="1"/>
  <c r="AJ178" i="24"/>
  <c r="Y168" i="1"/>
  <c r="AT163" i="50"/>
  <c r="Y166" i="1"/>
  <c r="AT162" i="48"/>
  <c r="AT161" i="24"/>
  <c r="Y161" i="48"/>
  <c r="BB116" i="48" a="1"/>
  <c r="BB116" i="48" s="1"/>
  <c r="I75" i="73"/>
  <c r="X31" i="72" s="1"/>
  <c r="Z31" i="72" s="1"/>
  <c r="AB31" i="72" s="1"/>
  <c r="S132" i="73"/>
  <c r="AL103" i="72" s="1"/>
  <c r="AC25" i="72"/>
  <c r="AD25" i="72" s="1"/>
  <c r="AA25" i="72"/>
  <c r="T67" i="73"/>
  <c r="X91" i="72" s="1"/>
  <c r="T91" i="72"/>
  <c r="AD91" i="72" s="1"/>
  <c r="AR77" i="49" a="1"/>
  <c r="AR77" i="49" s="1"/>
  <c r="AT158" i="49"/>
  <c r="AJ170" i="48"/>
  <c r="W125" i="48" a="1"/>
  <c r="W125" i="48" s="1"/>
  <c r="AJ177" i="1"/>
  <c r="AR150" i="50" a="1"/>
  <c r="AR150" i="50" s="1"/>
  <c r="AT178" i="24"/>
  <c r="Y168" i="24"/>
  <c r="BD161" i="1"/>
  <c r="AT166" i="1"/>
  <c r="AJ161" i="49"/>
  <c r="AJ164" i="50"/>
  <c r="BD161" i="48"/>
  <c r="AH116" i="48" a="1"/>
  <c r="AH116" i="48" s="1"/>
  <c r="AJ176" i="49"/>
  <c r="AT167" i="1"/>
  <c r="W150" i="24" a="1"/>
  <c r="W150" i="24" s="1"/>
  <c r="BD172" i="48"/>
  <c r="Y174" i="49"/>
  <c r="Y177" i="1"/>
  <c r="BB77" i="1" a="1"/>
  <c r="BB77" i="1" s="1"/>
  <c r="BD158" i="1"/>
  <c r="BD179" i="48"/>
  <c r="Y178" i="24"/>
  <c r="S32" i="73"/>
  <c r="G109" i="72" s="1"/>
  <c r="F109" i="72"/>
  <c r="AH125" i="49" a="1"/>
  <c r="AH125" i="49" s="1"/>
  <c r="BD178" i="49"/>
  <c r="AI97" i="72"/>
  <c r="T126" i="73"/>
  <c r="AM97" i="72" s="1"/>
  <c r="Y161" i="24"/>
  <c r="Y171" i="50"/>
  <c r="AZ101" i="72"/>
  <c r="BH101" i="72" s="1"/>
  <c r="S183" i="73"/>
  <c r="BA101" i="72" s="1"/>
  <c r="BD101" i="72" s="1"/>
  <c r="BF101" i="72" s="1"/>
  <c r="BD159" i="49"/>
  <c r="BD169" i="50"/>
  <c r="BD163" i="48"/>
  <c r="BE97" i="72"/>
  <c r="AR98" i="72"/>
  <c r="AP93" i="72"/>
  <c r="T118" i="73"/>
  <c r="AM89" i="72" s="1"/>
  <c r="AO89" i="72" s="1"/>
  <c r="BG109" i="72"/>
  <c r="AR150" i="24" a="1"/>
  <c r="AR150" i="24" s="1"/>
  <c r="BD159" i="48"/>
  <c r="BB77" i="24" a="1"/>
  <c r="BB77" i="24" s="1"/>
  <c r="BD158" i="24"/>
  <c r="Y178" i="50"/>
  <c r="Y162" i="49"/>
  <c r="BD174" i="49"/>
  <c r="AT165" i="50"/>
  <c r="BD178" i="24"/>
  <c r="AT161" i="1"/>
  <c r="AJ163" i="49"/>
  <c r="W125" i="49" a="1"/>
  <c r="W125" i="49" s="1"/>
  <c r="AJ172" i="49"/>
  <c r="Y172" i="24"/>
  <c r="Y174" i="48"/>
  <c r="M91" i="72"/>
  <c r="K91" i="72"/>
  <c r="AJ164" i="1"/>
  <c r="AT171" i="50"/>
  <c r="AJ173" i="48"/>
  <c r="S175" i="73"/>
  <c r="BA93" i="72" s="1"/>
  <c r="T16" i="73"/>
  <c r="H93" i="72" s="1"/>
  <c r="J93" i="72" s="1"/>
  <c r="AO91" i="72"/>
  <c r="Y164" i="48"/>
  <c r="AR77" i="24" a="1"/>
  <c r="AR77" i="24" s="1"/>
  <c r="AT158" i="24"/>
  <c r="T131" i="73"/>
  <c r="AM102" i="72" s="1"/>
  <c r="AO102" i="72" s="1"/>
  <c r="AI95" i="72"/>
  <c r="AO95" i="72" s="1"/>
  <c r="M103" i="72"/>
  <c r="M101" i="72"/>
  <c r="M100" i="72"/>
  <c r="N100" i="72" s="1"/>
  <c r="AK105" i="72"/>
  <c r="AS105" i="72" s="1"/>
  <c r="T76" i="73"/>
  <c r="X100" i="72" s="1"/>
  <c r="S184" i="73"/>
  <c r="BA102" i="72" s="1"/>
  <c r="T18" i="73"/>
  <c r="H95" i="72" s="1"/>
  <c r="J95" i="72" s="1"/>
  <c r="AC107" i="72"/>
  <c r="AA94" i="72"/>
  <c r="AA106" i="72"/>
  <c r="AJ171" i="48"/>
  <c r="AJ171" i="24"/>
  <c r="AR125" i="49" a="1"/>
  <c r="AR125" i="49" s="1"/>
  <c r="BD172" i="49"/>
  <c r="AT172" i="24"/>
  <c r="AT178" i="49"/>
  <c r="AJ174" i="48"/>
  <c r="BD164" i="1"/>
  <c r="AJ171" i="50"/>
  <c r="AT173" i="48"/>
  <c r="AT169" i="1"/>
  <c r="W116" i="1" a="1"/>
  <c r="W116" i="1" s="1"/>
  <c r="C120" i="1" s="1"/>
  <c r="I120" i="1" s="1"/>
  <c r="AJ169" i="50"/>
  <c r="AT163" i="48"/>
  <c r="Y174" i="24"/>
  <c r="AO98" i="72"/>
  <c r="AQ98" i="72" s="1"/>
  <c r="AS101" i="72"/>
  <c r="AJ164" i="49"/>
  <c r="BD174" i="50"/>
  <c r="BB142" i="48" a="1"/>
  <c r="BB142" i="48" s="1"/>
  <c r="BD164" i="48"/>
  <c r="BD163" i="24"/>
  <c r="AJ159" i="48"/>
  <c r="W77" i="24" a="1"/>
  <c r="W77" i="24" s="1"/>
  <c r="Y158" i="24"/>
  <c r="AT171" i="1"/>
  <c r="AT172" i="48"/>
  <c r="Y159" i="24"/>
  <c r="AJ173" i="49"/>
  <c r="AJ176" i="24"/>
  <c r="AT162" i="49"/>
  <c r="AT174" i="49"/>
  <c r="BB150" i="1" a="1"/>
  <c r="BB150" i="1" s="1"/>
  <c r="Y165" i="1"/>
  <c r="BB125" i="50" a="1"/>
  <c r="BB125" i="50" s="1"/>
  <c r="BD172" i="50"/>
  <c r="W150" i="48" a="1"/>
  <c r="W150" i="48" s="1"/>
  <c r="AJ166" i="48"/>
  <c r="Y165" i="24"/>
  <c r="W142" i="49" a="1"/>
  <c r="W142" i="49" s="1"/>
  <c r="AJ168" i="48"/>
  <c r="AJ167" i="24"/>
  <c r="Y177" i="49"/>
  <c r="AJ175" i="50"/>
  <c r="AJ169" i="48"/>
  <c r="AH125" i="24" a="1"/>
  <c r="AH125" i="24" s="1"/>
  <c r="BD168" i="50"/>
  <c r="AT163" i="49"/>
  <c r="Y178" i="1"/>
  <c r="BD173" i="50"/>
  <c r="AT171" i="48"/>
  <c r="BD171" i="24"/>
  <c r="Y160" i="49"/>
  <c r="AT172" i="49"/>
  <c r="BB77" i="50" a="1"/>
  <c r="BB77" i="50" s="1"/>
  <c r="BD158" i="50"/>
  <c r="AJ172" i="24"/>
  <c r="Y178" i="49"/>
  <c r="AT174" i="48"/>
  <c r="AJ173" i="24"/>
  <c r="AT164" i="1"/>
  <c r="BD176" i="1"/>
  <c r="BD171" i="50"/>
  <c r="Y173" i="48"/>
  <c r="AJ160" i="24"/>
  <c r="Y169" i="1"/>
  <c r="BB116" i="1" a="1"/>
  <c r="BB116" i="1" s="1"/>
  <c r="AT174" i="1"/>
  <c r="Y163" i="48"/>
  <c r="AJ174" i="24"/>
  <c r="Y164" i="49"/>
  <c r="Y174" i="50"/>
  <c r="AR142" i="48" a="1"/>
  <c r="AR142" i="48" s="1"/>
  <c r="AT164" i="48"/>
  <c r="Y163" i="24"/>
  <c r="AT159" i="48"/>
  <c r="AH77" i="24" a="1"/>
  <c r="AH77" i="24" s="1"/>
  <c r="AJ158" i="24"/>
  <c r="BD171" i="1"/>
  <c r="Y173" i="49"/>
  <c r="BB125" i="1" a="1"/>
  <c r="BB125" i="1" s="1"/>
  <c r="AJ172" i="1"/>
  <c r="W142" i="50" a="1"/>
  <c r="W142" i="50" s="1"/>
  <c r="Y179" i="50"/>
  <c r="AJ165" i="48"/>
  <c r="AJ162" i="49"/>
  <c r="W150" i="1" a="1"/>
  <c r="W150" i="1" s="1"/>
  <c r="AT165" i="1"/>
  <c r="AR125" i="50" a="1"/>
  <c r="AR125" i="50" s="1"/>
  <c r="AJ172" i="50"/>
  <c r="AH150" i="48" a="1"/>
  <c r="AH150" i="48" s="1"/>
  <c r="BD166" i="48"/>
  <c r="AJ165" i="24"/>
  <c r="AJ179" i="49"/>
  <c r="AT168" i="48"/>
  <c r="AT167" i="24"/>
  <c r="AJ177" i="49"/>
  <c r="Y175" i="50"/>
  <c r="Y169" i="48"/>
  <c r="BB125" i="24" a="1"/>
  <c r="BB125" i="24" s="1"/>
  <c r="AJ168" i="50"/>
  <c r="AJ175" i="49"/>
  <c r="AJ173" i="50"/>
  <c r="AT171" i="24"/>
  <c r="AJ160" i="49"/>
  <c r="AR77" i="50" a="1"/>
  <c r="AR77" i="50" s="1"/>
  <c r="AT158" i="50"/>
  <c r="AT170" i="50"/>
  <c r="W116" i="24" a="1"/>
  <c r="W116" i="24" s="1"/>
  <c r="AT173" i="24"/>
  <c r="Y164" i="1"/>
  <c r="AJ176" i="1"/>
  <c r="BD173" i="48"/>
  <c r="AT160" i="24"/>
  <c r="BD169" i="1"/>
  <c r="AH116" i="1" a="1"/>
  <c r="AH116" i="1" s="1"/>
  <c r="AJ174" i="1"/>
  <c r="Y175" i="48"/>
  <c r="AT174" i="24"/>
  <c r="AH142" i="1" a="1"/>
  <c r="AH142" i="1" s="1"/>
  <c r="AT179" i="1"/>
  <c r="Y162" i="50"/>
  <c r="AH142" i="48" a="1"/>
  <c r="AH142" i="48" s="1"/>
  <c r="AJ164" i="48"/>
  <c r="AJ163" i="24"/>
  <c r="AJ173" i="1"/>
  <c r="Y170" i="24"/>
  <c r="Y171" i="1"/>
  <c r="BD166" i="50"/>
  <c r="AR125" i="1" a="1"/>
  <c r="AR125" i="1" s="1"/>
  <c r="BD172" i="1"/>
  <c r="AR142" i="50" a="1"/>
  <c r="AR142" i="50" s="1"/>
  <c r="AT179" i="50"/>
  <c r="Y165" i="48"/>
  <c r="AR116" i="49" a="1"/>
  <c r="AR116" i="49" s="1"/>
  <c r="AH150" i="1" a="1"/>
  <c r="AH150" i="1" s="1"/>
  <c r="AJ165" i="1"/>
  <c r="W125" i="50" a="1"/>
  <c r="W125" i="50" s="1"/>
  <c r="AT172" i="50"/>
  <c r="AR150" i="48" a="1"/>
  <c r="AR150" i="48" s="1"/>
  <c r="Y166" i="48"/>
  <c r="AT165" i="24"/>
  <c r="BD179" i="49"/>
  <c r="AT170" i="1"/>
  <c r="Y167" i="48"/>
  <c r="BD167" i="24"/>
  <c r="AH150" i="49" a="1"/>
  <c r="AH150" i="49" s="1"/>
  <c r="AT177" i="49"/>
  <c r="AT169" i="48"/>
  <c r="W125" i="24" a="1"/>
  <c r="W125" i="24" s="1"/>
  <c r="AT168" i="50"/>
  <c r="W77" i="48" a="1"/>
  <c r="W77" i="48" s="1"/>
  <c r="Y158" i="48"/>
  <c r="Y169" i="24"/>
  <c r="BD175" i="49"/>
  <c r="Y161" i="50"/>
  <c r="Y173" i="50"/>
  <c r="AJ160" i="48"/>
  <c r="BD160" i="49"/>
  <c r="W77" i="50" a="1"/>
  <c r="W77" i="50" s="1"/>
  <c r="Y158" i="50"/>
  <c r="Y170" i="50"/>
  <c r="BD176" i="50"/>
  <c r="AR116" i="24" a="1"/>
  <c r="AR116" i="24" s="1"/>
  <c r="Y173" i="24"/>
  <c r="AJ162" i="24"/>
  <c r="Y176" i="1"/>
  <c r="BD160" i="24"/>
  <c r="AJ169" i="1"/>
  <c r="BD162" i="1"/>
  <c r="Y174" i="1"/>
  <c r="BD175" i="48"/>
  <c r="BD174" i="24"/>
  <c r="AX117" i="72"/>
  <c r="BH117" i="72" s="1"/>
  <c r="AZ121" i="72"/>
  <c r="T215" i="73"/>
  <c r="BB133" i="72" s="1"/>
  <c r="BD133" i="72" s="1"/>
  <c r="BD135" i="72"/>
  <c r="BH115" i="72"/>
  <c r="S214" i="73"/>
  <c r="BA132" i="72" s="1"/>
  <c r="S212" i="73"/>
  <c r="BA130" i="72" s="1"/>
  <c r="S207" i="73"/>
  <c r="BA125" i="72" s="1"/>
  <c r="T175" i="73"/>
  <c r="BB93" i="72" s="1"/>
  <c r="BD93" i="72" s="1"/>
  <c r="BF93" i="72" s="1"/>
  <c r="AX118" i="72"/>
  <c r="BD118" i="72" s="1"/>
  <c r="AX120" i="72"/>
  <c r="BD120" i="72" s="1"/>
  <c r="BE114" i="72"/>
  <c r="BF114" i="72" s="1"/>
  <c r="T214" i="73"/>
  <c r="BB132" i="72" s="1"/>
  <c r="BD132" i="72" s="1"/>
  <c r="BF132" i="72" s="1"/>
  <c r="T197" i="73"/>
  <c r="BB115" i="72" s="1"/>
  <c r="BD115" i="72" s="1"/>
  <c r="BE105" i="72"/>
  <c r="BD130" i="72"/>
  <c r="S209" i="73"/>
  <c r="BA127" i="72" s="1"/>
  <c r="BD127" i="72" s="1"/>
  <c r="BD90" i="72"/>
  <c r="BD114" i="72"/>
  <c r="AX126" i="72"/>
  <c r="BG129" i="72"/>
  <c r="BH129" i="72" s="1"/>
  <c r="T205" i="73"/>
  <c r="BB123" i="72" s="1"/>
  <c r="BD123" i="72" s="1"/>
  <c r="T188" i="73"/>
  <c r="BB106" i="72" s="1"/>
  <c r="AX106" i="72"/>
  <c r="BD116" i="72"/>
  <c r="AX127" i="72"/>
  <c r="BH127" i="72" s="1"/>
  <c r="T182" i="73"/>
  <c r="BB100" i="72" s="1"/>
  <c r="BE115" i="72"/>
  <c r="BH132" i="72"/>
  <c r="T217" i="73"/>
  <c r="BB135" i="72" s="1"/>
  <c r="BH100" i="72"/>
  <c r="AZ91" i="72"/>
  <c r="BH91" i="72" s="1"/>
  <c r="BG134" i="72"/>
  <c r="T176" i="73"/>
  <c r="BB94" i="72" s="1"/>
  <c r="BD94" i="72" s="1"/>
  <c r="BE117" i="72"/>
  <c r="S201" i="73"/>
  <c r="BA119" i="72" s="1"/>
  <c r="AZ119" i="72"/>
  <c r="T187" i="73"/>
  <c r="BB105" i="72" s="1"/>
  <c r="S182" i="73"/>
  <c r="BA100" i="72" s="1"/>
  <c r="BD100" i="72" s="1"/>
  <c r="BF100" i="72" s="1"/>
  <c r="T56" i="72"/>
  <c r="Z56" i="72" s="1"/>
  <c r="I95" i="73"/>
  <c r="X51" i="72" s="1"/>
  <c r="Z51" i="72" s="1"/>
  <c r="AC63" i="72"/>
  <c r="AD21" i="72"/>
  <c r="I97" i="73"/>
  <c r="X53" i="72" s="1"/>
  <c r="Z53" i="72" s="1"/>
  <c r="AD50" i="72"/>
  <c r="AC62" i="72"/>
  <c r="AA53" i="72"/>
  <c r="V64" i="72"/>
  <c r="AC49" i="72"/>
  <c r="AA65" i="72"/>
  <c r="T64" i="72"/>
  <c r="Z64" i="72" s="1"/>
  <c r="AB64" i="72" s="1"/>
  <c r="H73" i="73"/>
  <c r="W29" i="72" s="1"/>
  <c r="AA59" i="72"/>
  <c r="AC64" i="72"/>
  <c r="I65" i="73"/>
  <c r="X21" i="72" s="1"/>
  <c r="Z21" i="72" s="1"/>
  <c r="I69" i="73"/>
  <c r="X25" i="72" s="1"/>
  <c r="Z25" i="72" s="1"/>
  <c r="Z48" i="72"/>
  <c r="Z50" i="72"/>
  <c r="AA50" i="72"/>
  <c r="H95" i="73"/>
  <c r="W51" i="72" s="1"/>
  <c r="V51" i="72"/>
  <c r="T23" i="72"/>
  <c r="Z23" i="72" s="1"/>
  <c r="V23" i="72"/>
  <c r="H67" i="73"/>
  <c r="W23" i="72" s="1"/>
  <c r="AA48" i="72"/>
  <c r="AA21" i="72"/>
  <c r="AA57" i="72"/>
  <c r="I99" i="73"/>
  <c r="X55" i="72" s="1"/>
  <c r="Z55" i="72" s="1"/>
  <c r="AB55" i="72" s="1"/>
  <c r="AA30" i="72"/>
  <c r="H84" i="73"/>
  <c r="W40" i="72" s="1"/>
  <c r="V40" i="72"/>
  <c r="Z40" i="72" s="1"/>
  <c r="AB22" i="72"/>
  <c r="H107" i="73"/>
  <c r="W63" i="72" s="1"/>
  <c r="Z63" i="72" s="1"/>
  <c r="AB63" i="72" s="1"/>
  <c r="H103" i="73"/>
  <c r="W59" i="72" s="1"/>
  <c r="Z59" i="72" s="1"/>
  <c r="H101" i="73"/>
  <c r="W57" i="72" s="1"/>
  <c r="T67" i="72"/>
  <c r="I68" i="73"/>
  <c r="X24" i="72" s="1"/>
  <c r="T24" i="72"/>
  <c r="H65" i="73"/>
  <c r="W21" i="72" s="1"/>
  <c r="H81" i="73"/>
  <c r="W37" i="72" s="1"/>
  <c r="Z37" i="72" s="1"/>
  <c r="AB37" i="72" s="1"/>
  <c r="AC34" i="72"/>
  <c r="AC33" i="72"/>
  <c r="H99" i="73"/>
  <c r="W55" i="72" s="1"/>
  <c r="H94" i="73"/>
  <c r="W50" i="72" s="1"/>
  <c r="AC37" i="72"/>
  <c r="AD37" i="72" s="1"/>
  <c r="V22" i="72"/>
  <c r="AD22" i="72" s="1"/>
  <c r="H66" i="73"/>
  <c r="W22" i="72" s="1"/>
  <c r="V39" i="72"/>
  <c r="H83" i="73"/>
  <c r="W39" i="72" s="1"/>
  <c r="AP97" i="72"/>
  <c r="S161" i="73"/>
  <c r="AL132" i="72" s="1"/>
  <c r="T148" i="73"/>
  <c r="AM119" i="72" s="1"/>
  <c r="AO119" i="72" s="1"/>
  <c r="AS118" i="72"/>
  <c r="T153" i="73"/>
  <c r="AM124" i="72" s="1"/>
  <c r="AO124" i="72" s="1"/>
  <c r="AQ124" i="72" s="1"/>
  <c r="AP134" i="72"/>
  <c r="AS97" i="72"/>
  <c r="T137" i="73"/>
  <c r="AM108" i="72" s="1"/>
  <c r="AI130" i="72"/>
  <c r="T150" i="73"/>
  <c r="AM121" i="72" s="1"/>
  <c r="AO121" i="72" s="1"/>
  <c r="T154" i="73"/>
  <c r="AM125" i="72" s="1"/>
  <c r="AO125" i="72" s="1"/>
  <c r="AO97" i="72"/>
  <c r="AQ97" i="72" s="1"/>
  <c r="S130" i="73"/>
  <c r="AL101" i="72" s="1"/>
  <c r="AO101" i="72" s="1"/>
  <c r="AP120" i="72"/>
  <c r="S151" i="73"/>
  <c r="AL122" i="72" s="1"/>
  <c r="AP131" i="72"/>
  <c r="S145" i="73"/>
  <c r="AL116" i="72" s="1"/>
  <c r="AK108" i="72"/>
  <c r="AO108" i="72" s="1"/>
  <c r="AK115" i="72"/>
  <c r="AS115" i="72" s="1"/>
  <c r="AK98" i="72"/>
  <c r="AS98" i="72" s="1"/>
  <c r="AP100" i="72"/>
  <c r="S163" i="73"/>
  <c r="AL134" i="72" s="1"/>
  <c r="AO134" i="72" s="1"/>
  <c r="S128" i="73"/>
  <c r="AL99" i="72" s="1"/>
  <c r="T144" i="73"/>
  <c r="AM115" i="72" s="1"/>
  <c r="AO115" i="72" s="1"/>
  <c r="AQ115" i="72" s="1"/>
  <c r="AO109" i="72"/>
  <c r="AQ109" i="72" s="1"/>
  <c r="T147" i="73"/>
  <c r="AM118" i="72" s="1"/>
  <c r="AO118" i="72" s="1"/>
  <c r="AQ118" i="72" s="1"/>
  <c r="AP123" i="72"/>
  <c r="AR89" i="72"/>
  <c r="AS89" i="72" s="1"/>
  <c r="AP89" i="72"/>
  <c r="AK93" i="72"/>
  <c r="S122" i="73"/>
  <c r="AL93" i="72" s="1"/>
  <c r="AK114" i="72"/>
  <c r="S147" i="73"/>
  <c r="AL118" i="72" s="1"/>
  <c r="T152" i="73"/>
  <c r="AM123" i="72" s="1"/>
  <c r="AO123" i="72" s="1"/>
  <c r="AQ127" i="72"/>
  <c r="AI135" i="72"/>
  <c r="AS135" i="72" s="1"/>
  <c r="T164" i="73"/>
  <c r="AM135" i="72" s="1"/>
  <c r="AK90" i="72"/>
  <c r="AS90" i="72" s="1"/>
  <c r="S119" i="73"/>
  <c r="AL90" i="72" s="1"/>
  <c r="AI88" i="72"/>
  <c r="AS88" i="72" s="1"/>
  <c r="T117" i="73"/>
  <c r="AM88" i="72" s="1"/>
  <c r="AP102" i="72"/>
  <c r="AR124" i="72"/>
  <c r="AS124" i="72" s="1"/>
  <c r="AI128" i="72"/>
  <c r="AO128" i="72" s="1"/>
  <c r="AQ128" i="72" s="1"/>
  <c r="AK133" i="72"/>
  <c r="S153" i="73"/>
  <c r="AL124" i="72" s="1"/>
  <c r="AP119" i="72"/>
  <c r="AO104" i="72"/>
  <c r="V88" i="72"/>
  <c r="Z118" i="72"/>
  <c r="AB118" i="72" s="1"/>
  <c r="V107" i="72"/>
  <c r="AC132" i="72"/>
  <c r="AD132" i="72" s="1"/>
  <c r="AC131" i="72"/>
  <c r="AD131" i="72" s="1"/>
  <c r="Z116" i="72"/>
  <c r="AD126" i="72"/>
  <c r="T103" i="72"/>
  <c r="AD103" i="72" s="1"/>
  <c r="AA120" i="72"/>
  <c r="AD114" i="72"/>
  <c r="Z123" i="72"/>
  <c r="AB123" i="72" s="1"/>
  <c r="Z120" i="72"/>
  <c r="Z132" i="72"/>
  <c r="AB132" i="72" s="1"/>
  <c r="V89" i="72"/>
  <c r="AD89" i="72" s="1"/>
  <c r="AD115" i="72"/>
  <c r="Z133" i="72"/>
  <c r="AB133" i="72" s="1"/>
  <c r="AA89" i="72"/>
  <c r="AD120" i="72"/>
  <c r="AC118" i="72"/>
  <c r="AD118" i="72" s="1"/>
  <c r="AA116" i="72"/>
  <c r="AC116" i="72"/>
  <c r="AD116" i="72" s="1"/>
  <c r="AC93" i="72"/>
  <c r="AD93" i="72" s="1"/>
  <c r="AA93" i="72"/>
  <c r="AB90" i="72"/>
  <c r="S82" i="73"/>
  <c r="W106" i="72" s="1"/>
  <c r="V106" i="72"/>
  <c r="V109" i="72"/>
  <c r="S85" i="73"/>
  <c r="W109" i="72" s="1"/>
  <c r="T101" i="72"/>
  <c r="AD101" i="72" s="1"/>
  <c r="T77" i="73"/>
  <c r="X101" i="72" s="1"/>
  <c r="S79" i="73"/>
  <c r="W103" i="72" s="1"/>
  <c r="T88" i="72"/>
  <c r="T64" i="73"/>
  <c r="X88" i="72" s="1"/>
  <c r="Z102" i="72"/>
  <c r="AB102" i="72" s="1"/>
  <c r="AC119" i="72"/>
  <c r="AD119" i="72" s="1"/>
  <c r="Z131" i="72"/>
  <c r="AB131" i="72" s="1"/>
  <c r="Z119" i="72"/>
  <c r="AB119" i="72" s="1"/>
  <c r="S68" i="73"/>
  <c r="W92" i="72" s="1"/>
  <c r="Z125" i="72"/>
  <c r="Z128" i="72"/>
  <c r="AD100" i="72"/>
  <c r="AC134" i="72"/>
  <c r="AD134" i="72" s="1"/>
  <c r="AA100" i="72"/>
  <c r="V98" i="72"/>
  <c r="N122" i="72"/>
  <c r="M135" i="72"/>
  <c r="N135" i="72" s="1"/>
  <c r="S48" i="73"/>
  <c r="G125" i="72" s="1"/>
  <c r="M119" i="72"/>
  <c r="N119" i="72" s="1"/>
  <c r="S24" i="73"/>
  <c r="G101" i="72" s="1"/>
  <c r="J101" i="72" s="1"/>
  <c r="L101" i="72" s="1"/>
  <c r="M104" i="72"/>
  <c r="N104" i="72" s="1"/>
  <c r="N95" i="72"/>
  <c r="S23" i="73"/>
  <c r="G100" i="72" s="1"/>
  <c r="J100" i="72" s="1"/>
  <c r="L100" i="72" s="1"/>
  <c r="J108" i="72"/>
  <c r="T52" i="73"/>
  <c r="H129" i="72" s="1"/>
  <c r="J129" i="72" s="1"/>
  <c r="L129" i="72" s="1"/>
  <c r="J94" i="72"/>
  <c r="L94" i="72" s="1"/>
  <c r="N129" i="72"/>
  <c r="N105" i="72"/>
  <c r="S14" i="73"/>
  <c r="G91" i="72" s="1"/>
  <c r="D131" i="72"/>
  <c r="K116" i="72"/>
  <c r="M92" i="72"/>
  <c r="N92" i="72" s="1"/>
  <c r="S42" i="73"/>
  <c r="G119" i="72" s="1"/>
  <c r="J116" i="72"/>
  <c r="J135" i="72"/>
  <c r="L135" i="72" s="1"/>
  <c r="J106" i="72"/>
  <c r="L106" i="72" s="1"/>
  <c r="F103" i="72"/>
  <c r="S26" i="73"/>
  <c r="G103" i="72" s="1"/>
  <c r="T13" i="73"/>
  <c r="H90" i="72" s="1"/>
  <c r="D90" i="72"/>
  <c r="K120" i="72"/>
  <c r="M120" i="72"/>
  <c r="M121" i="72"/>
  <c r="N121" i="72" s="1"/>
  <c r="K121" i="72"/>
  <c r="K131" i="72"/>
  <c r="M131" i="72"/>
  <c r="S13" i="73"/>
  <c r="G90" i="72" s="1"/>
  <c r="F90" i="72"/>
  <c r="K127" i="72"/>
  <c r="M127" i="72"/>
  <c r="D130" i="72"/>
  <c r="T58" i="73"/>
  <c r="H135" i="72" s="1"/>
  <c r="K132" i="72"/>
  <c r="M132" i="72"/>
  <c r="S54" i="73"/>
  <c r="G131" i="72" s="1"/>
  <c r="J131" i="72" s="1"/>
  <c r="D127" i="72"/>
  <c r="T50" i="73"/>
  <c r="H127" i="72" s="1"/>
  <c r="S55" i="73"/>
  <c r="G132" i="72" s="1"/>
  <c r="K122" i="72"/>
  <c r="J122" i="72"/>
  <c r="S40" i="73"/>
  <c r="G117" i="72" s="1"/>
  <c r="M94" i="72"/>
  <c r="N94" i="72" s="1"/>
  <c r="F127" i="72"/>
  <c r="S50" i="73"/>
  <c r="G127" i="72" s="1"/>
  <c r="T26" i="73"/>
  <c r="H103" i="72" s="1"/>
  <c r="J103" i="72" s="1"/>
  <c r="L103" i="72" s="1"/>
  <c r="F102" i="72"/>
  <c r="S49" i="73"/>
  <c r="G126" i="72" s="1"/>
  <c r="J126" i="72" s="1"/>
  <c r="L126" i="72" s="1"/>
  <c r="D102" i="72"/>
  <c r="T25" i="73"/>
  <c r="H102" i="72" s="1"/>
  <c r="D91" i="72"/>
  <c r="T14" i="73"/>
  <c r="H91" i="72" s="1"/>
  <c r="J92" i="72"/>
  <c r="L92" i="72" s="1"/>
  <c r="K98" i="72"/>
  <c r="M98" i="72"/>
  <c r="N98" i="72" s="1"/>
  <c r="S30" i="73"/>
  <c r="G107" i="72" s="1"/>
  <c r="T23" i="73"/>
  <c r="H100" i="72" s="1"/>
  <c r="D125" i="72"/>
  <c r="J125" i="72" s="1"/>
  <c r="K108" i="72"/>
  <c r="N89" i="72"/>
  <c r="S45" i="73"/>
  <c r="G122" i="72" s="1"/>
  <c r="F114" i="72"/>
  <c r="D101" i="72"/>
  <c r="N101" i="72" s="1"/>
  <c r="T32" i="73"/>
  <c r="H109" i="72" s="1"/>
  <c r="H46" i="73"/>
  <c r="G55" i="72" s="1"/>
  <c r="H20" i="73"/>
  <c r="G29" i="72" s="1"/>
  <c r="M63" i="72"/>
  <c r="N63" i="72" s="1"/>
  <c r="K56" i="72"/>
  <c r="I19" i="73"/>
  <c r="H28" i="72" s="1"/>
  <c r="J28" i="72" s="1"/>
  <c r="L28" i="72" s="1"/>
  <c r="F38" i="72"/>
  <c r="D65" i="72"/>
  <c r="N65" i="72" s="1"/>
  <c r="T14" i="47"/>
  <c r="C103" i="47" s="1"/>
  <c r="H29" i="73"/>
  <c r="G38" i="72" s="1"/>
  <c r="I47" i="73"/>
  <c r="H56" i="72" s="1"/>
  <c r="J56" i="72" s="1"/>
  <c r="T12" i="47"/>
  <c r="C101" i="47" s="1"/>
  <c r="M26" i="72"/>
  <c r="H19" i="73"/>
  <c r="G28" i="72" s="1"/>
  <c r="M29" i="72"/>
  <c r="K30" i="72"/>
  <c r="BC25" i="47"/>
  <c r="AX48" i="47" s="1"/>
  <c r="T13" i="47"/>
  <c r="C102" i="47" s="1"/>
  <c r="I55" i="73"/>
  <c r="H64" i="72" s="1"/>
  <c r="J64" i="72" s="1"/>
  <c r="I43" i="73"/>
  <c r="H52" i="72" s="1"/>
  <c r="J52" i="72" s="1"/>
  <c r="M60" i="72"/>
  <c r="D24" i="72"/>
  <c r="N24" i="72" s="1"/>
  <c r="I25" i="73"/>
  <c r="H34" i="72" s="1"/>
  <c r="J34" i="72" s="1"/>
  <c r="I28" i="73"/>
  <c r="H37" i="72" s="1"/>
  <c r="N51" i="72"/>
  <c r="D22" i="72"/>
  <c r="J22" i="72" s="1"/>
  <c r="L22" i="72" s="1"/>
  <c r="J59" i="72"/>
  <c r="K65" i="72"/>
  <c r="F21" i="72"/>
  <c r="F35" i="72"/>
  <c r="I17" i="73"/>
  <c r="H26" i="72" s="1"/>
  <c r="J26" i="72" s="1"/>
  <c r="L26" i="72" s="1"/>
  <c r="AZ25" i="47"/>
  <c r="AX85" i="47" s="1"/>
  <c r="AX84" i="47" s="1"/>
  <c r="H45" i="73"/>
  <c r="G54" i="72" s="1"/>
  <c r="H40" i="73"/>
  <c r="G49" i="72" s="1"/>
  <c r="C263" i="47"/>
  <c r="P12" i="47" s="1"/>
  <c r="C280" i="47" s="1"/>
  <c r="F39" i="72"/>
  <c r="F34" i="72"/>
  <c r="J20" i="72"/>
  <c r="M39" i="72"/>
  <c r="I48" i="73"/>
  <c r="H57" i="72" s="1"/>
  <c r="J57" i="72" s="1"/>
  <c r="L57" i="72" s="1"/>
  <c r="H41" i="73"/>
  <c r="G50" i="72" s="1"/>
  <c r="I42" i="73"/>
  <c r="H51" i="72" s="1"/>
  <c r="J51" i="72" s="1"/>
  <c r="N28" i="72"/>
  <c r="H52" i="73"/>
  <c r="G61" i="72" s="1"/>
  <c r="H38" i="73"/>
  <c r="G47" i="72" s="1"/>
  <c r="K51" i="72"/>
  <c r="K59" i="72"/>
  <c r="K20" i="72"/>
  <c r="K49" i="72"/>
  <c r="H15" i="73"/>
  <c r="G24" i="72" s="1"/>
  <c r="M35" i="72"/>
  <c r="D54" i="72"/>
  <c r="J54" i="72" s="1"/>
  <c r="L54" i="72" s="1"/>
  <c r="H56" i="73"/>
  <c r="G65" i="72" s="1"/>
  <c r="J62" i="72"/>
  <c r="L62" i="72" s="1"/>
  <c r="H14" i="73"/>
  <c r="G23" i="72" s="1"/>
  <c r="D58" i="72"/>
  <c r="N58" i="72" s="1"/>
  <c r="I24" i="73"/>
  <c r="H33" i="72" s="1"/>
  <c r="H25" i="73"/>
  <c r="G34" i="72" s="1"/>
  <c r="D35" i="72"/>
  <c r="J35" i="72" s="1"/>
  <c r="L35" i="72" s="1"/>
  <c r="K31" i="72"/>
  <c r="D46" i="72"/>
  <c r="J46" i="72" s="1"/>
  <c r="I27" i="73"/>
  <c r="H36" i="72" s="1"/>
  <c r="N64" i="72"/>
  <c r="I38" i="73"/>
  <c r="H47" i="72" s="1"/>
  <c r="J47" i="72" s="1"/>
  <c r="I39" i="73"/>
  <c r="H48" i="72" s="1"/>
  <c r="J48" i="72" s="1"/>
  <c r="D39" i="72"/>
  <c r="J39" i="72" s="1"/>
  <c r="L39" i="72" s="1"/>
  <c r="D53" i="72"/>
  <c r="J53" i="72" s="1"/>
  <c r="L53" i="72" s="1"/>
  <c r="H27" i="73"/>
  <c r="G36" i="72" s="1"/>
  <c r="M32" i="72"/>
  <c r="M22" i="72"/>
  <c r="I12" i="73"/>
  <c r="H21" i="72" s="1"/>
  <c r="J21" i="72" s="1"/>
  <c r="L21" i="72" s="1"/>
  <c r="M41" i="72"/>
  <c r="I54" i="73"/>
  <c r="H63" i="72" s="1"/>
  <c r="AY13" i="47"/>
  <c r="C254" i="47" s="1"/>
  <c r="AY14" i="47"/>
  <c r="C255" i="47" s="1"/>
  <c r="M38" i="72"/>
  <c r="K64" i="72"/>
  <c r="AO14" i="47"/>
  <c r="C206" i="47" s="1"/>
  <c r="K23" i="72"/>
  <c r="D60" i="72"/>
  <c r="J60" i="72" s="1"/>
  <c r="L60" i="72" s="1"/>
  <c r="F36" i="72"/>
  <c r="J32" i="72"/>
  <c r="L32" i="72" s="1"/>
  <c r="AE14" i="47"/>
  <c r="C157" i="47" s="1"/>
  <c r="M21" i="72"/>
  <c r="AO13" i="47"/>
  <c r="AN134" i="47" s="1"/>
  <c r="AO15" i="47"/>
  <c r="I41" i="73"/>
  <c r="H50" i="72" s="1"/>
  <c r="J50" i="72" s="1"/>
  <c r="L50" i="72" s="1"/>
  <c r="J25" i="72"/>
  <c r="M50" i="72"/>
  <c r="N50" i="72" s="1"/>
  <c r="I29" i="73"/>
  <c r="H38" i="72" s="1"/>
  <c r="J38" i="72" s="1"/>
  <c r="L38" i="72" s="1"/>
  <c r="K37" i="72"/>
  <c r="M53" i="72"/>
  <c r="D66" i="72"/>
  <c r="N47" i="72"/>
  <c r="N56" i="72"/>
  <c r="N55" i="72"/>
  <c r="C256" i="47"/>
  <c r="F33" i="72"/>
  <c r="H24" i="73"/>
  <c r="G33" i="72" s="1"/>
  <c r="H58" i="73"/>
  <c r="G67" i="72" s="1"/>
  <c r="F41" i="72"/>
  <c r="C156" i="47"/>
  <c r="AY12" i="47"/>
  <c r="AE15" i="47"/>
  <c r="C112" i="47"/>
  <c r="F26" i="72"/>
  <c r="H17" i="73"/>
  <c r="G26" i="72" s="1"/>
  <c r="M25" i="72"/>
  <c r="K25" i="72"/>
  <c r="F37" i="72"/>
  <c r="J37" i="72" s="1"/>
  <c r="J58" i="72"/>
  <c r="H32" i="73"/>
  <c r="G41" i="72" s="1"/>
  <c r="D67" i="72"/>
  <c r="I58" i="73"/>
  <c r="H67" i="72" s="1"/>
  <c r="I21" i="73"/>
  <c r="H30" i="72" s="1"/>
  <c r="D30" i="72"/>
  <c r="G156" i="47"/>
  <c r="AD86" i="47"/>
  <c r="AE12" i="47"/>
  <c r="D40" i="72"/>
  <c r="I31" i="73"/>
  <c r="H40" i="72" s="1"/>
  <c r="D62" i="72"/>
  <c r="I53" i="73"/>
  <c r="H62" i="72" s="1"/>
  <c r="I14" i="73"/>
  <c r="H23" i="72" s="1"/>
  <c r="D23" i="72"/>
  <c r="K55" i="72"/>
  <c r="D41" i="72"/>
  <c r="I32" i="73"/>
  <c r="H41" i="72" s="1"/>
  <c r="H54" i="73"/>
  <c r="G63" i="72" s="1"/>
  <c r="J63" i="72" s="1"/>
  <c r="L63" i="72" s="1"/>
  <c r="I23" i="73"/>
  <c r="H32" i="72" s="1"/>
  <c r="D32" i="72"/>
  <c r="H47" i="73"/>
  <c r="G56" i="72" s="1"/>
  <c r="F30" i="72"/>
  <c r="H43" i="73"/>
  <c r="G52" i="72" s="1"/>
  <c r="K58" i="72"/>
  <c r="G118" i="24"/>
  <c r="C159" i="24"/>
  <c r="C163" i="24"/>
  <c r="C206" i="24"/>
  <c r="C205" i="24"/>
  <c r="C203" i="24"/>
  <c r="C204" i="24"/>
  <c r="G207" i="24"/>
  <c r="G253" i="50"/>
  <c r="G274" i="50"/>
  <c r="C260" i="50"/>
  <c r="C259" i="50"/>
  <c r="G259" i="50"/>
  <c r="G253" i="49"/>
  <c r="G255" i="49"/>
  <c r="G259" i="49"/>
  <c r="C260" i="49"/>
  <c r="C257" i="49"/>
  <c r="C258" i="49"/>
  <c r="G258" i="49"/>
  <c r="G206" i="49"/>
  <c r="G203" i="49"/>
  <c r="G210" i="49"/>
  <c r="C208" i="49"/>
  <c r="C209" i="49"/>
  <c r="C211" i="49"/>
  <c r="G231" i="49"/>
  <c r="I231" i="49" s="1"/>
  <c r="G172" i="49"/>
  <c r="G178" i="49"/>
  <c r="G180" i="49"/>
  <c r="G159" i="49"/>
  <c r="G106" i="49"/>
  <c r="G100" i="49"/>
  <c r="C108" i="49"/>
  <c r="C105" i="49"/>
  <c r="C106" i="49"/>
  <c r="G107" i="49"/>
  <c r="G103" i="49"/>
  <c r="C156" i="48"/>
  <c r="C154" i="48"/>
  <c r="C155" i="48"/>
  <c r="G252" i="24"/>
  <c r="G259" i="24"/>
  <c r="C261" i="24"/>
  <c r="G258" i="24"/>
  <c r="C260" i="24"/>
  <c r="C258" i="24"/>
  <c r="C257" i="24"/>
  <c r="G161" i="24"/>
  <c r="C162" i="24"/>
  <c r="G182" i="24"/>
  <c r="I182" i="24" s="1"/>
  <c r="G157" i="24"/>
  <c r="C161" i="24"/>
  <c r="AK125" i="72"/>
  <c r="S52" i="73"/>
  <c r="G129" i="72" s="1"/>
  <c r="AS131" i="72"/>
  <c r="D118" i="72"/>
  <c r="J118" i="72" s="1"/>
  <c r="L118" i="72" s="1"/>
  <c r="BG130" i="72"/>
  <c r="BH130" i="72" s="1"/>
  <c r="BE130" i="72"/>
  <c r="AI127" i="72"/>
  <c r="AS127" i="72" s="1"/>
  <c r="T156" i="73"/>
  <c r="AM127" i="72" s="1"/>
  <c r="BG119" i="72"/>
  <c r="BE119" i="72"/>
  <c r="D115" i="72"/>
  <c r="J115" i="72" s="1"/>
  <c r="AZ131" i="72"/>
  <c r="S213" i="73"/>
  <c r="BA131" i="72" s="1"/>
  <c r="BG116" i="72"/>
  <c r="BH116" i="72" s="1"/>
  <c r="BE116" i="72"/>
  <c r="Z117" i="72"/>
  <c r="BE127" i="72"/>
  <c r="K123" i="72"/>
  <c r="H92" i="73"/>
  <c r="W48" i="72" s="1"/>
  <c r="V48" i="72"/>
  <c r="AD48" i="72" s="1"/>
  <c r="S46" i="73"/>
  <c r="G123" i="72" s="1"/>
  <c r="K128" i="72"/>
  <c r="T63" i="72"/>
  <c r="K134" i="72"/>
  <c r="M134" i="72"/>
  <c r="AD123" i="72"/>
  <c r="H91" i="73"/>
  <c r="W47" i="72" s="1"/>
  <c r="M133" i="72"/>
  <c r="N133" i="72" s="1"/>
  <c r="K133" i="72"/>
  <c r="M124" i="72"/>
  <c r="N124" i="72" s="1"/>
  <c r="K124" i="72"/>
  <c r="AC99" i="72"/>
  <c r="AD99" i="72" s="1"/>
  <c r="AA99" i="72"/>
  <c r="K96" i="72"/>
  <c r="M96" i="72"/>
  <c r="N96" i="72" s="1"/>
  <c r="H37" i="73"/>
  <c r="G46" i="72" s="1"/>
  <c r="F20" i="72"/>
  <c r="N20" i="72" s="1"/>
  <c r="AI96" i="72"/>
  <c r="T125" i="73"/>
  <c r="AM96" i="72" s="1"/>
  <c r="M33" i="72"/>
  <c r="K33" i="72"/>
  <c r="T185" i="73"/>
  <c r="BB103" i="72" s="1"/>
  <c r="AX103" i="72"/>
  <c r="J96" i="72"/>
  <c r="T36" i="72"/>
  <c r="I80" i="73"/>
  <c r="X36" i="72" s="1"/>
  <c r="BE95" i="72"/>
  <c r="BG95" i="72"/>
  <c r="BH95" i="72" s="1"/>
  <c r="AK106" i="72"/>
  <c r="AS106" i="72" s="1"/>
  <c r="S135" i="73"/>
  <c r="AL106" i="72" s="1"/>
  <c r="H82" i="73"/>
  <c r="W38" i="72" s="1"/>
  <c r="V38" i="72"/>
  <c r="AD38" i="72" s="1"/>
  <c r="T84" i="73"/>
  <c r="X108" i="72" s="1"/>
  <c r="T108" i="72"/>
  <c r="AD108" i="72" s="1"/>
  <c r="AA28" i="72"/>
  <c r="AC28" i="72"/>
  <c r="AX107" i="72"/>
  <c r="T189" i="73"/>
  <c r="BB107" i="72" s="1"/>
  <c r="AA29" i="72"/>
  <c r="AC29" i="72"/>
  <c r="AD29" i="72" s="1"/>
  <c r="T105" i="72"/>
  <c r="T81" i="73"/>
  <c r="X105" i="72" s="1"/>
  <c r="Z99" i="72"/>
  <c r="H11" i="73"/>
  <c r="G20" i="72" s="1"/>
  <c r="AZ94" i="72"/>
  <c r="S176" i="73"/>
  <c r="BA94" i="72" s="1"/>
  <c r="S70" i="73"/>
  <c r="W94" i="72" s="1"/>
  <c r="V94" i="72"/>
  <c r="AD94" i="72" s="1"/>
  <c r="T35" i="72"/>
  <c r="I79" i="73"/>
  <c r="X35" i="72" s="1"/>
  <c r="T33" i="72"/>
  <c r="I77" i="73"/>
  <c r="X33" i="72" s="1"/>
  <c r="V20" i="72"/>
  <c r="H64" i="73"/>
  <c r="W20" i="72" s="1"/>
  <c r="BG89" i="72"/>
  <c r="BH89" i="72" s="1"/>
  <c r="BE89" i="72"/>
  <c r="BD88" i="72"/>
  <c r="AZ99" i="72"/>
  <c r="S181" i="73"/>
  <c r="BA99" i="72" s="1"/>
  <c r="AZ105" i="72"/>
  <c r="BH105" i="72" s="1"/>
  <c r="S187" i="73"/>
  <c r="BA105" i="72" s="1"/>
  <c r="T40" i="72"/>
  <c r="V32" i="72"/>
  <c r="H76" i="73"/>
  <c r="W32" i="72" s="1"/>
  <c r="AA27" i="72"/>
  <c r="AC27" i="72"/>
  <c r="AR104" i="72"/>
  <c r="AP104" i="72"/>
  <c r="T184" i="73"/>
  <c r="BB102" i="72" s="1"/>
  <c r="AX102" i="72"/>
  <c r="BD89" i="72"/>
  <c r="V26" i="72"/>
  <c r="H70" i="73"/>
  <c r="W26" i="72" s="1"/>
  <c r="N108" i="72"/>
  <c r="M36" i="72"/>
  <c r="BG94" i="72"/>
  <c r="BE94" i="72"/>
  <c r="H69" i="73"/>
  <c r="W25" i="72" s="1"/>
  <c r="T106" i="72"/>
  <c r="T82" i="73"/>
  <c r="X106" i="72" s="1"/>
  <c r="S136" i="73"/>
  <c r="AL107" i="72" s="1"/>
  <c r="AK107" i="72"/>
  <c r="T20" i="72"/>
  <c r="I64" i="73"/>
  <c r="X20" i="72" s="1"/>
  <c r="AZ88" i="72"/>
  <c r="BH88" i="72" s="1"/>
  <c r="S170" i="73"/>
  <c r="BA88" i="72" s="1"/>
  <c r="BG90" i="72"/>
  <c r="BH90" i="72" s="1"/>
  <c r="BE90" i="72"/>
  <c r="T98" i="72"/>
  <c r="T74" i="73"/>
  <c r="X98" i="72" s="1"/>
  <c r="AC88" i="72"/>
  <c r="AA88" i="72"/>
  <c r="W150" i="47" a="1"/>
  <c r="W150" i="47" s="1"/>
  <c r="C126" i="47" s="1"/>
  <c r="Z29" i="72"/>
  <c r="K95" i="72"/>
  <c r="S186" i="73"/>
  <c r="BA104" i="72" s="1"/>
  <c r="AZ104" i="72"/>
  <c r="T179" i="73"/>
  <c r="BB97" i="72" s="1"/>
  <c r="AX97" i="72"/>
  <c r="AX108" i="72"/>
  <c r="T190" i="73"/>
  <c r="BB108" i="72" s="1"/>
  <c r="S72" i="73"/>
  <c r="W96" i="72" s="1"/>
  <c r="V96" i="72"/>
  <c r="T133" i="73"/>
  <c r="AM104" i="72" s="1"/>
  <c r="AI104" i="72"/>
  <c r="T180" i="73"/>
  <c r="BB98" i="72" s="1"/>
  <c r="AX98" i="72"/>
  <c r="BH98" i="72" s="1"/>
  <c r="M34" i="72"/>
  <c r="K34" i="72"/>
  <c r="BE131" i="72"/>
  <c r="BG131" i="72"/>
  <c r="I46" i="73"/>
  <c r="H55" i="72" s="1"/>
  <c r="J55" i="72" s="1"/>
  <c r="AR125" i="72"/>
  <c r="AP125" i="72"/>
  <c r="S196" i="73"/>
  <c r="BA114" i="72" s="1"/>
  <c r="AZ114" i="72"/>
  <c r="BH114" i="72" s="1"/>
  <c r="AA60" i="72"/>
  <c r="AC60" i="72"/>
  <c r="T44" i="73"/>
  <c r="H121" i="72" s="1"/>
  <c r="J121" i="72" s="1"/>
  <c r="AD125" i="72"/>
  <c r="Z127" i="72"/>
  <c r="AB127" i="72" s="1"/>
  <c r="S38" i="73"/>
  <c r="G115" i="72" s="1"/>
  <c r="F115" i="72"/>
  <c r="AC117" i="72"/>
  <c r="AD117" i="72" s="1"/>
  <c r="AA117" i="72"/>
  <c r="Z121" i="72"/>
  <c r="AA121" i="72"/>
  <c r="AC121" i="72"/>
  <c r="AD121" i="72" s="1"/>
  <c r="BD122" i="72"/>
  <c r="T56" i="73"/>
  <c r="H133" i="72" s="1"/>
  <c r="J133" i="72" s="1"/>
  <c r="H100" i="73"/>
  <c r="W56" i="72" s="1"/>
  <c r="BE134" i="72"/>
  <c r="V60" i="72"/>
  <c r="H104" i="73"/>
  <c r="W60" i="72" s="1"/>
  <c r="V52" i="72"/>
  <c r="H96" i="73"/>
  <c r="W52" i="72" s="1"/>
  <c r="H105" i="73"/>
  <c r="W61" i="72" s="1"/>
  <c r="AS134" i="72"/>
  <c r="AX119" i="72"/>
  <c r="T201" i="73"/>
  <c r="BB119" i="72" s="1"/>
  <c r="AI116" i="72"/>
  <c r="AS116" i="72" s="1"/>
  <c r="I50" i="73"/>
  <c r="H59" i="72" s="1"/>
  <c r="S53" i="73"/>
  <c r="G130" i="72" s="1"/>
  <c r="F130" i="72"/>
  <c r="I96" i="73"/>
  <c r="X52" i="72" s="1"/>
  <c r="T52" i="72"/>
  <c r="AA135" i="72"/>
  <c r="AC135" i="72"/>
  <c r="AD135" i="72" s="1"/>
  <c r="V49" i="72"/>
  <c r="H93" i="73"/>
  <c r="W49" i="72" s="1"/>
  <c r="T59" i="72"/>
  <c r="AD59" i="72" s="1"/>
  <c r="I103" i="73"/>
  <c r="X59" i="72" s="1"/>
  <c r="T143" i="73"/>
  <c r="AM114" i="72" s="1"/>
  <c r="AI114" i="72"/>
  <c r="AC46" i="72"/>
  <c r="AA46" i="72"/>
  <c r="AR121" i="72"/>
  <c r="AP121" i="72"/>
  <c r="AK121" i="72"/>
  <c r="S150" i="73"/>
  <c r="AL121" i="72" s="1"/>
  <c r="S155" i="73"/>
  <c r="AL126" i="72" s="1"/>
  <c r="AK126" i="72"/>
  <c r="AC129" i="72"/>
  <c r="AD129" i="72" s="1"/>
  <c r="AK128" i="72"/>
  <c r="S157" i="73"/>
  <c r="AL128" i="72" s="1"/>
  <c r="T42" i="73"/>
  <c r="H119" i="72" s="1"/>
  <c r="J119" i="72" s="1"/>
  <c r="L119" i="72" s="1"/>
  <c r="AP129" i="72"/>
  <c r="AR129" i="72"/>
  <c r="F120" i="72"/>
  <c r="S43" i="73"/>
  <c r="G120" i="72" s="1"/>
  <c r="M66" i="72"/>
  <c r="K66" i="72"/>
  <c r="AP132" i="72"/>
  <c r="AR132" i="72"/>
  <c r="AS132" i="72" s="1"/>
  <c r="I93" i="73"/>
  <c r="X49" i="72" s="1"/>
  <c r="T49" i="72"/>
  <c r="H110" i="73"/>
  <c r="W66" i="72" s="1"/>
  <c r="V66" i="72"/>
  <c r="AD66" i="72" s="1"/>
  <c r="K115" i="72"/>
  <c r="M115" i="72"/>
  <c r="Z129" i="72"/>
  <c r="AB129" i="72" s="1"/>
  <c r="AA124" i="72"/>
  <c r="AC124" i="72"/>
  <c r="AD124" i="72" s="1"/>
  <c r="S51" i="73"/>
  <c r="G128" i="72" s="1"/>
  <c r="S152" i="73"/>
  <c r="AL123" i="72" s="1"/>
  <c r="AK123" i="72"/>
  <c r="AS123" i="72" s="1"/>
  <c r="T49" i="73"/>
  <c r="H126" i="72" s="1"/>
  <c r="K48" i="72"/>
  <c r="M48" i="72"/>
  <c r="N48" i="72" s="1"/>
  <c r="N52" i="72"/>
  <c r="AX134" i="72"/>
  <c r="T216" i="73"/>
  <c r="BB134" i="72" s="1"/>
  <c r="AA125" i="72"/>
  <c r="M61" i="72"/>
  <c r="K61" i="72"/>
  <c r="AP122" i="72"/>
  <c r="AR122" i="72"/>
  <c r="AS122" i="72" s="1"/>
  <c r="S208" i="73"/>
  <c r="BA126" i="72" s="1"/>
  <c r="AZ126" i="72"/>
  <c r="T160" i="73"/>
  <c r="AM131" i="72" s="1"/>
  <c r="T146" i="73"/>
  <c r="AM117" i="72" s="1"/>
  <c r="AI117" i="72"/>
  <c r="AP133" i="72"/>
  <c r="AR133" i="72"/>
  <c r="K130" i="72"/>
  <c r="M130" i="72"/>
  <c r="Z124" i="72"/>
  <c r="BG123" i="72"/>
  <c r="BH123" i="72" s="1"/>
  <c r="BE123" i="72"/>
  <c r="T210" i="73"/>
  <c r="BB128" i="72" s="1"/>
  <c r="BD128" i="72" s="1"/>
  <c r="BF128" i="72" s="1"/>
  <c r="K46" i="72"/>
  <c r="M46" i="72"/>
  <c r="BE133" i="72"/>
  <c r="BG133" i="72"/>
  <c r="BH133" i="72" s="1"/>
  <c r="AH150" i="47" a="1"/>
  <c r="AH150" i="47" s="1"/>
  <c r="BG135" i="72"/>
  <c r="BH135" i="72" s="1"/>
  <c r="BE135" i="72"/>
  <c r="S159" i="73"/>
  <c r="AL130" i="72" s="1"/>
  <c r="AK130" i="72"/>
  <c r="AD55" i="72"/>
  <c r="BG122" i="72"/>
  <c r="BH122" i="72" s="1"/>
  <c r="BE122" i="72"/>
  <c r="BG120" i="72"/>
  <c r="BE120" i="72"/>
  <c r="AA56" i="72"/>
  <c r="AC56" i="72"/>
  <c r="Z135" i="72"/>
  <c r="D61" i="72"/>
  <c r="I52" i="73"/>
  <c r="H61" i="72" s="1"/>
  <c r="I98" i="73"/>
  <c r="X54" i="72" s="1"/>
  <c r="Z54" i="72" s="1"/>
  <c r="AB54" i="72" s="1"/>
  <c r="S39" i="73"/>
  <c r="G116" i="72" s="1"/>
  <c r="F116" i="72"/>
  <c r="N116" i="72" s="1"/>
  <c r="AC67" i="72"/>
  <c r="AA67" i="72"/>
  <c r="AC58" i="72"/>
  <c r="AA58" i="72"/>
  <c r="AR150" i="47" a="1"/>
  <c r="AR150" i="47" s="1"/>
  <c r="AS120" i="72"/>
  <c r="V62" i="72"/>
  <c r="H106" i="73"/>
  <c r="W62" i="72" s="1"/>
  <c r="V53" i="72"/>
  <c r="AD53" i="72" s="1"/>
  <c r="H97" i="73"/>
  <c r="W53" i="72" s="1"/>
  <c r="AO132" i="72"/>
  <c r="S44" i="73"/>
  <c r="G121" i="72" s="1"/>
  <c r="N126" i="72"/>
  <c r="V67" i="72"/>
  <c r="H111" i="73"/>
  <c r="W67" i="72" s="1"/>
  <c r="AC51" i="72"/>
  <c r="AA51" i="72"/>
  <c r="AR142" i="47" a="1"/>
  <c r="AR142" i="47" s="1"/>
  <c r="J120" i="72"/>
  <c r="V58" i="72"/>
  <c r="H102" i="73"/>
  <c r="W58" i="72" s="1"/>
  <c r="W142" i="47" a="1"/>
  <c r="W142" i="47" s="1"/>
  <c r="V46" i="72"/>
  <c r="H90" i="73"/>
  <c r="W46" i="72" s="1"/>
  <c r="AO135" i="72"/>
  <c r="N59" i="72"/>
  <c r="AH142" i="47" a="1"/>
  <c r="AH142" i="47" s="1"/>
  <c r="T55" i="73"/>
  <c r="H132" i="72" s="1"/>
  <c r="D132" i="72"/>
  <c r="AD61" i="72"/>
  <c r="AA23" i="72"/>
  <c r="AC23" i="72"/>
  <c r="AR77" i="47" a="1"/>
  <c r="AR77" i="47" s="1"/>
  <c r="T97" i="72"/>
  <c r="T73" i="73"/>
  <c r="X97" i="72" s="1"/>
  <c r="N107" i="72"/>
  <c r="W77" i="47" a="1"/>
  <c r="W77" i="47" s="1"/>
  <c r="BB77" i="47" a="1"/>
  <c r="BB77" i="47" s="1"/>
  <c r="AA36" i="72"/>
  <c r="AC36" i="72"/>
  <c r="AC39" i="72"/>
  <c r="AA39" i="72"/>
  <c r="AH77" i="47" a="1"/>
  <c r="AH77" i="47" s="1"/>
  <c r="AC96" i="72"/>
  <c r="AA96" i="72"/>
  <c r="V30" i="72"/>
  <c r="H74" i="73"/>
  <c r="W30" i="72" s="1"/>
  <c r="Z100" i="72"/>
  <c r="AS102" i="72"/>
  <c r="BB150" i="47" a="1"/>
  <c r="BB150" i="47" s="1"/>
  <c r="BB142" i="47" a="1"/>
  <c r="BB142" i="47" s="1"/>
  <c r="I74" i="73"/>
  <c r="X30" i="72" s="1"/>
  <c r="T30" i="72"/>
  <c r="T41" i="72"/>
  <c r="I85" i="73"/>
  <c r="X41" i="72" s="1"/>
  <c r="Z39" i="72"/>
  <c r="AD102" i="72"/>
  <c r="Z36" i="72"/>
  <c r="AC32" i="72"/>
  <c r="AA32" i="72"/>
  <c r="Z26" i="72"/>
  <c r="AB26" i="72" s="1"/>
  <c r="Z33" i="72"/>
  <c r="AB33" i="72" s="1"/>
  <c r="AK100" i="72"/>
  <c r="S129" i="73"/>
  <c r="AL100" i="72" s="1"/>
  <c r="Z96" i="72"/>
  <c r="V34" i="72"/>
  <c r="H78" i="73"/>
  <c r="W34" i="72" s="1"/>
  <c r="J99" i="72"/>
  <c r="BD96" i="72"/>
  <c r="BF96" i="72" s="1"/>
  <c r="AD31" i="72"/>
  <c r="N99" i="72"/>
  <c r="AD56" i="72" l="1"/>
  <c r="BH121" i="72"/>
  <c r="N114" i="72"/>
  <c r="L124" i="72"/>
  <c r="AD41" i="72"/>
  <c r="N102" i="72"/>
  <c r="AB38" i="72"/>
  <c r="Z41" i="72"/>
  <c r="AB41" i="72" s="1"/>
  <c r="N103" i="72"/>
  <c r="AO93" i="72"/>
  <c r="AQ93" i="72" s="1"/>
  <c r="BD108" i="72"/>
  <c r="BF108" i="72" s="1"/>
  <c r="AD105" i="72"/>
  <c r="AB40" i="72"/>
  <c r="BH99" i="72"/>
  <c r="AD84" i="47"/>
  <c r="AO129" i="72"/>
  <c r="AQ135" i="72"/>
  <c r="Z57" i="72"/>
  <c r="L125" i="72"/>
  <c r="BD121" i="72"/>
  <c r="BF121" i="72" s="1"/>
  <c r="Z65" i="72"/>
  <c r="BH124" i="72"/>
  <c r="AB116" i="72"/>
  <c r="AD57" i="72"/>
  <c r="BF118" i="72"/>
  <c r="BF90" i="72"/>
  <c r="AT142" i="1"/>
  <c r="AS108" i="72"/>
  <c r="L99" i="72"/>
  <c r="BD103" i="72"/>
  <c r="BF103" i="72" s="1"/>
  <c r="AQ95" i="72"/>
  <c r="N91" i="72"/>
  <c r="AQ99" i="72"/>
  <c r="BD109" i="72"/>
  <c r="BF109" i="72" s="1"/>
  <c r="Z27" i="72"/>
  <c r="BH92" i="72"/>
  <c r="BF124" i="72"/>
  <c r="AQ133" i="72"/>
  <c r="BH131" i="72"/>
  <c r="J128" i="72"/>
  <c r="N134" i="72"/>
  <c r="AB128" i="72"/>
  <c r="L134" i="72"/>
  <c r="BF88" i="72"/>
  <c r="AQ91" i="72"/>
  <c r="N109" i="72"/>
  <c r="BH104" i="72"/>
  <c r="Z91" i="72"/>
  <c r="AB91" i="72" s="1"/>
  <c r="J91" i="72"/>
  <c r="L91" i="72" s="1"/>
  <c r="AQ108" i="72"/>
  <c r="AO105" i="72"/>
  <c r="AQ105" i="72" s="1"/>
  <c r="N106" i="72"/>
  <c r="AH185" i="47"/>
  <c r="AI193" i="47"/>
  <c r="AH187" i="47"/>
  <c r="AH191" i="47"/>
  <c r="AH173" i="47"/>
  <c r="AH162" i="47"/>
  <c r="AH190" i="47"/>
  <c r="AI160" i="47"/>
  <c r="AI165" i="47"/>
  <c r="AI166" i="47"/>
  <c r="AI196" i="47"/>
  <c r="AI189" i="47"/>
  <c r="N49" i="72"/>
  <c r="AI176" i="47"/>
  <c r="AI175" i="47"/>
  <c r="AI164" i="47"/>
  <c r="AI201" i="47"/>
  <c r="AI163" i="47"/>
  <c r="AH202" i="47"/>
  <c r="AI162" i="47"/>
  <c r="AI169" i="47"/>
  <c r="AI178" i="47"/>
  <c r="AI192" i="47"/>
  <c r="AI197" i="47"/>
  <c r="AH189" i="47"/>
  <c r="AI170" i="47"/>
  <c r="AH170" i="47"/>
  <c r="AH165" i="47"/>
  <c r="AI174" i="47"/>
  <c r="AI186" i="47"/>
  <c r="AH164" i="47"/>
  <c r="AI167" i="47"/>
  <c r="C166" i="47"/>
  <c r="AH194" i="47"/>
  <c r="AI203" i="47"/>
  <c r="AH160" i="47"/>
  <c r="AH158" i="47"/>
  <c r="AH168" i="47"/>
  <c r="AI202" i="47"/>
  <c r="AH201" i="47"/>
  <c r="AH198" i="47"/>
  <c r="AI173" i="47"/>
  <c r="AI205" i="47"/>
  <c r="AH175" i="47"/>
  <c r="AH177" i="47"/>
  <c r="AH192" i="47"/>
  <c r="AI194" i="47"/>
  <c r="AI185" i="47"/>
  <c r="AI195" i="47"/>
  <c r="AI184" i="47"/>
  <c r="AI158" i="47"/>
  <c r="AI179" i="47"/>
  <c r="AI190" i="47"/>
  <c r="AH171" i="47"/>
  <c r="AI171" i="47"/>
  <c r="AI200" i="47"/>
  <c r="AH188" i="47"/>
  <c r="AH186" i="47"/>
  <c r="L52" i="72"/>
  <c r="AH179" i="47"/>
  <c r="AH184" i="47"/>
  <c r="AI172" i="47"/>
  <c r="AI188" i="47"/>
  <c r="AH196" i="47"/>
  <c r="AH204" i="47"/>
  <c r="AH169" i="47"/>
  <c r="AH163" i="47"/>
  <c r="AH193" i="47"/>
  <c r="AI159" i="47"/>
  <c r="AH199" i="47"/>
  <c r="AH197" i="47"/>
  <c r="AH174" i="47"/>
  <c r="AI198" i="47"/>
  <c r="AI161" i="47"/>
  <c r="L47" i="72"/>
  <c r="N62" i="72"/>
  <c r="AI168" i="47"/>
  <c r="AH159" i="47"/>
  <c r="AH205" i="47"/>
  <c r="AI199" i="47"/>
  <c r="AH203" i="47"/>
  <c r="AH178" i="47"/>
  <c r="AH195" i="47"/>
  <c r="AH176" i="47"/>
  <c r="AH167" i="47"/>
  <c r="AH161" i="47"/>
  <c r="AI177" i="47"/>
  <c r="AH172" i="47"/>
  <c r="AH200" i="47"/>
  <c r="J40" i="72"/>
  <c r="L40" i="72" s="1"/>
  <c r="N40" i="72"/>
  <c r="L27" i="72"/>
  <c r="J29" i="72"/>
  <c r="L29" i="72" s="1"/>
  <c r="N67" i="72"/>
  <c r="AD29" i="47"/>
  <c r="AD36" i="47" s="1"/>
  <c r="BF134" i="72"/>
  <c r="N131" i="72"/>
  <c r="AB47" i="72"/>
  <c r="Z46" i="72"/>
  <c r="AB46" i="72" s="1"/>
  <c r="AB60" i="72"/>
  <c r="BH118" i="72"/>
  <c r="N127" i="72"/>
  <c r="BD125" i="72"/>
  <c r="BF125" i="72" s="1"/>
  <c r="AD27" i="72"/>
  <c r="AD28" i="72"/>
  <c r="AB25" i="72"/>
  <c r="AQ101" i="72"/>
  <c r="AB27" i="72"/>
  <c r="AB89" i="72"/>
  <c r="AS107" i="72"/>
  <c r="N21" i="72"/>
  <c r="AS95" i="72"/>
  <c r="AO88" i="72"/>
  <c r="AQ88" i="72" s="1"/>
  <c r="AQ89" i="72"/>
  <c r="N97" i="72"/>
  <c r="AD88" i="72"/>
  <c r="BH96" i="72"/>
  <c r="AD26" i="72"/>
  <c r="AQ103" i="72"/>
  <c r="L98" i="72"/>
  <c r="AX29" i="47"/>
  <c r="S29" i="47"/>
  <c r="S66" i="47" s="1"/>
  <c r="AN29" i="47"/>
  <c r="AN66" i="47" s="1"/>
  <c r="BB190" i="47"/>
  <c r="BB199" i="47"/>
  <c r="BB198" i="47"/>
  <c r="BB201" i="47"/>
  <c r="BB168" i="47"/>
  <c r="BC178" i="47"/>
  <c r="BC165" i="47"/>
  <c r="BC167" i="47"/>
  <c r="BB178" i="47"/>
  <c r="BC198" i="47"/>
  <c r="BC162" i="47"/>
  <c r="BC161" i="47"/>
  <c r="BC170" i="47"/>
  <c r="BC185" i="47"/>
  <c r="BB161" i="47"/>
  <c r="BC196" i="47"/>
  <c r="BC176" i="47"/>
  <c r="BC195" i="47"/>
  <c r="BC159" i="47"/>
  <c r="BC160" i="47"/>
  <c r="BC179" i="47"/>
  <c r="BC163" i="47"/>
  <c r="BB203" i="47"/>
  <c r="BB193" i="47"/>
  <c r="BC166" i="47"/>
  <c r="BB162" i="47"/>
  <c r="BB158" i="47"/>
  <c r="BB172" i="47"/>
  <c r="BC190" i="47"/>
  <c r="BC172" i="47"/>
  <c r="BC177" i="47"/>
  <c r="BC187" i="47"/>
  <c r="BB192" i="47"/>
  <c r="BC197" i="47"/>
  <c r="BB184" i="47"/>
  <c r="BB177" i="47"/>
  <c r="BB159" i="47"/>
  <c r="BB173" i="47"/>
  <c r="BC200" i="47"/>
  <c r="BC194" i="47"/>
  <c r="BC184" i="47"/>
  <c r="BC203" i="47"/>
  <c r="BB197" i="47"/>
  <c r="BB179" i="47"/>
  <c r="BB171" i="47"/>
  <c r="BB166" i="47"/>
  <c r="BB185" i="47"/>
  <c r="BB187" i="47"/>
  <c r="BC175" i="47"/>
  <c r="BC188" i="47"/>
  <c r="BB195" i="47"/>
  <c r="BB194" i="47"/>
  <c r="BC191" i="47"/>
  <c r="BB175" i="47"/>
  <c r="BB169" i="47"/>
  <c r="BC168" i="47"/>
  <c r="BC199" i="47"/>
  <c r="BB163" i="47"/>
  <c r="BB176" i="47"/>
  <c r="BB164" i="47"/>
  <c r="BC174" i="47"/>
  <c r="BC202" i="47"/>
  <c r="BC173" i="47"/>
  <c r="BB204" i="47"/>
  <c r="BB189" i="47"/>
  <c r="BC205" i="47"/>
  <c r="BB205" i="47"/>
  <c r="BB174" i="47"/>
  <c r="BC164" i="47"/>
  <c r="BC193" i="47"/>
  <c r="BC189" i="47"/>
  <c r="BB200" i="47"/>
  <c r="BC186" i="47"/>
  <c r="BB165" i="47"/>
  <c r="BC204" i="47"/>
  <c r="BB202" i="47"/>
  <c r="BB191" i="47"/>
  <c r="BC158" i="47"/>
  <c r="BC171" i="47"/>
  <c r="BB160" i="47"/>
  <c r="BB186" i="47"/>
  <c r="BB196" i="47"/>
  <c r="BC201" i="47"/>
  <c r="BC169" i="47"/>
  <c r="BB170" i="47"/>
  <c r="BB167" i="47"/>
  <c r="BB188" i="47"/>
  <c r="BC192" i="47"/>
  <c r="C264" i="47"/>
  <c r="AZ142" i="50"/>
  <c r="AZ150" i="48"/>
  <c r="AM209" i="1"/>
  <c r="AU6" i="1" s="1"/>
  <c r="AB51" i="72"/>
  <c r="J127" i="72"/>
  <c r="L127" i="72" s="1"/>
  <c r="BD142" i="50"/>
  <c r="AD63" i="72"/>
  <c r="BF127" i="72"/>
  <c r="Y142" i="1"/>
  <c r="BF135" i="72"/>
  <c r="AB59" i="72"/>
  <c r="AQ123" i="72"/>
  <c r="BF133" i="72"/>
  <c r="BH120" i="72"/>
  <c r="AS128" i="72"/>
  <c r="L133" i="72"/>
  <c r="L121" i="72"/>
  <c r="U142" i="1"/>
  <c r="Y142" i="48"/>
  <c r="AZ142" i="1"/>
  <c r="BD117" i="72"/>
  <c r="U142" i="48"/>
  <c r="BD142" i="1"/>
  <c r="J123" i="72"/>
  <c r="L123" i="72" s="1"/>
  <c r="AS129" i="72"/>
  <c r="BF130" i="72"/>
  <c r="U125" i="50"/>
  <c r="Y125" i="50"/>
  <c r="AF116" i="50"/>
  <c r="AJ116" i="50"/>
  <c r="AJ77" i="49"/>
  <c r="AF77" i="49"/>
  <c r="AT116" i="48"/>
  <c r="AP116" i="48"/>
  <c r="AT77" i="24"/>
  <c r="AP77" i="24"/>
  <c r="Y150" i="50"/>
  <c r="U150" i="50"/>
  <c r="AZ116" i="48"/>
  <c r="BD116" i="48"/>
  <c r="AP116" i="1"/>
  <c r="AT116" i="1"/>
  <c r="AQ104" i="72"/>
  <c r="AF150" i="49"/>
  <c r="AJ150" i="49"/>
  <c r="AZ77" i="24"/>
  <c r="BD77" i="24"/>
  <c r="AW209" i="24"/>
  <c r="BE6" i="24" s="1"/>
  <c r="BD142" i="24"/>
  <c r="AZ142" i="24"/>
  <c r="AP116" i="50"/>
  <c r="AT116" i="50"/>
  <c r="AZ77" i="1"/>
  <c r="BD77" i="1"/>
  <c r="BD116" i="24"/>
  <c r="AZ116" i="24"/>
  <c r="AJ125" i="1"/>
  <c r="AF125" i="1"/>
  <c r="AP125" i="49"/>
  <c r="AT125" i="49"/>
  <c r="AT150" i="24"/>
  <c r="AP150" i="24"/>
  <c r="AJ116" i="49"/>
  <c r="AF116" i="49"/>
  <c r="AZ125" i="49"/>
  <c r="BD125" i="49"/>
  <c r="AC209" i="48"/>
  <c r="AK6" i="48" s="1"/>
  <c r="AF142" i="48"/>
  <c r="AJ142" i="48"/>
  <c r="BD116" i="1"/>
  <c r="AZ116" i="1"/>
  <c r="BD125" i="50"/>
  <c r="AZ125" i="50"/>
  <c r="BH109" i="72"/>
  <c r="AM209" i="24"/>
  <c r="AU6" i="24" s="1"/>
  <c r="AP142" i="24"/>
  <c r="AT142" i="24"/>
  <c r="AC209" i="49"/>
  <c r="AK6" i="49" s="1"/>
  <c r="AJ142" i="49"/>
  <c r="AF142" i="49"/>
  <c r="AZ150" i="49"/>
  <c r="BD150" i="49"/>
  <c r="AM209" i="50"/>
  <c r="AU6" i="50" s="1"/>
  <c r="AP142" i="50"/>
  <c r="AT142" i="50"/>
  <c r="U77" i="1"/>
  <c r="Y77" i="1"/>
  <c r="AT150" i="49"/>
  <c r="AP150" i="49"/>
  <c r="AS93" i="72"/>
  <c r="BD125" i="24"/>
  <c r="AZ125" i="24"/>
  <c r="AJ77" i="24"/>
  <c r="AF77" i="24"/>
  <c r="BD150" i="1"/>
  <c r="AZ150" i="1"/>
  <c r="AJ77" i="1"/>
  <c r="AF77" i="1"/>
  <c r="AZ150" i="24"/>
  <c r="BD150" i="24"/>
  <c r="AB94" i="72"/>
  <c r="U77" i="49"/>
  <c r="Y77" i="49"/>
  <c r="BD116" i="49"/>
  <c r="AZ116" i="49"/>
  <c r="Y116" i="50"/>
  <c r="U116" i="50"/>
  <c r="AJ77" i="48"/>
  <c r="AF77" i="48"/>
  <c r="J102" i="72"/>
  <c r="L102" i="72" s="1"/>
  <c r="AD107" i="72"/>
  <c r="AT125" i="1"/>
  <c r="AP125" i="1"/>
  <c r="AC209" i="1"/>
  <c r="AK6" i="1" s="1"/>
  <c r="AF142" i="1"/>
  <c r="AJ142" i="1"/>
  <c r="Y150" i="24"/>
  <c r="U150" i="24"/>
  <c r="AJ125" i="48"/>
  <c r="AF125" i="48"/>
  <c r="AJ77" i="50"/>
  <c r="AF77" i="50"/>
  <c r="R209" i="24"/>
  <c r="Z6" i="24" s="1"/>
  <c r="Y142" i="24"/>
  <c r="U142" i="24"/>
  <c r="AJ125" i="50"/>
  <c r="AF125" i="50"/>
  <c r="AZ116" i="50"/>
  <c r="BD116" i="50"/>
  <c r="BD125" i="48"/>
  <c r="AZ125" i="48"/>
  <c r="AT125" i="24"/>
  <c r="AP125" i="24"/>
  <c r="AP77" i="50"/>
  <c r="AT77" i="50"/>
  <c r="AJ150" i="1"/>
  <c r="AF150" i="1"/>
  <c r="U125" i="49"/>
  <c r="Y125" i="49"/>
  <c r="U77" i="24"/>
  <c r="Y77" i="24"/>
  <c r="AJ125" i="24"/>
  <c r="AF125" i="24"/>
  <c r="BD77" i="50"/>
  <c r="AZ77" i="50"/>
  <c r="AP116" i="24"/>
  <c r="AT116" i="24"/>
  <c r="BH108" i="72"/>
  <c r="N29" i="72"/>
  <c r="AB21" i="72"/>
  <c r="Y77" i="48"/>
  <c r="U77" i="48"/>
  <c r="AP150" i="48"/>
  <c r="AT150" i="48"/>
  <c r="Y150" i="1"/>
  <c r="U150" i="1"/>
  <c r="AW209" i="48"/>
  <c r="BE6" i="48" s="1"/>
  <c r="AZ142" i="48"/>
  <c r="BD142" i="48"/>
  <c r="AJ125" i="49"/>
  <c r="AF125" i="49"/>
  <c r="AT125" i="48"/>
  <c r="AP125" i="48"/>
  <c r="U116" i="49"/>
  <c r="Y116" i="49"/>
  <c r="AZ150" i="50"/>
  <c r="BD150" i="50"/>
  <c r="AM209" i="49"/>
  <c r="AU6" i="49" s="1"/>
  <c r="AP142" i="49"/>
  <c r="AT142" i="49"/>
  <c r="Y125" i="24"/>
  <c r="U125" i="24"/>
  <c r="AM209" i="48"/>
  <c r="AU6" i="48" s="1"/>
  <c r="AT142" i="48"/>
  <c r="AP142" i="48"/>
  <c r="AJ150" i="24"/>
  <c r="AF150" i="24"/>
  <c r="AC209" i="50"/>
  <c r="AK6" i="50" s="1"/>
  <c r="AF142" i="50"/>
  <c r="AJ142" i="50"/>
  <c r="Y77" i="50"/>
  <c r="U77" i="50"/>
  <c r="AJ116" i="1"/>
  <c r="AF116" i="1"/>
  <c r="R209" i="49"/>
  <c r="Z6" i="49" s="1"/>
  <c r="Y142" i="49"/>
  <c r="U142" i="49"/>
  <c r="AJ116" i="48"/>
  <c r="AF116" i="48"/>
  <c r="R209" i="50"/>
  <c r="Z6" i="50" s="1"/>
  <c r="Y142" i="50"/>
  <c r="U142" i="50"/>
  <c r="U125" i="48"/>
  <c r="Y125" i="48"/>
  <c r="L93" i="72"/>
  <c r="AJ116" i="24"/>
  <c r="AF116" i="24"/>
  <c r="N25" i="72"/>
  <c r="N90" i="72"/>
  <c r="AP116" i="49"/>
  <c r="AT116" i="49"/>
  <c r="AZ77" i="49"/>
  <c r="BD77" i="49"/>
  <c r="AT77" i="1"/>
  <c r="AP77" i="1"/>
  <c r="AZ125" i="1"/>
  <c r="BD125" i="1"/>
  <c r="U150" i="48"/>
  <c r="Y150" i="48"/>
  <c r="Y116" i="48"/>
  <c r="U116" i="48"/>
  <c r="AP77" i="49"/>
  <c r="AT77" i="49"/>
  <c r="AC209" i="24"/>
  <c r="AK6" i="24" s="1"/>
  <c r="AF142" i="24"/>
  <c r="AJ142" i="24"/>
  <c r="AZ77" i="48"/>
  <c r="BD77" i="48"/>
  <c r="AF150" i="48"/>
  <c r="AJ150" i="48"/>
  <c r="Y125" i="1"/>
  <c r="U125" i="1"/>
  <c r="AF150" i="50"/>
  <c r="AJ150" i="50"/>
  <c r="AT77" i="48"/>
  <c r="AP77" i="48"/>
  <c r="U116" i="1"/>
  <c r="Y116" i="1"/>
  <c r="U150" i="49"/>
  <c r="Y150" i="49"/>
  <c r="Y116" i="24"/>
  <c r="U116" i="24"/>
  <c r="AP125" i="50"/>
  <c r="AT125" i="50"/>
  <c r="J109" i="72"/>
  <c r="L109" i="72" s="1"/>
  <c r="AT150" i="50"/>
  <c r="AP150" i="50"/>
  <c r="AT150" i="1"/>
  <c r="AP150" i="1"/>
  <c r="AW209" i="49"/>
  <c r="BE6" i="49" s="1"/>
  <c r="BD142" i="49"/>
  <c r="AZ142" i="49"/>
  <c r="BF115" i="72"/>
  <c r="BF95" i="72"/>
  <c r="BF116" i="72"/>
  <c r="C225" i="49"/>
  <c r="BD106" i="72"/>
  <c r="BF106" i="72" s="1"/>
  <c r="BH106" i="72"/>
  <c r="BF117" i="72"/>
  <c r="BH134" i="72"/>
  <c r="BH103" i="72"/>
  <c r="BF89" i="72"/>
  <c r="BF94" i="72"/>
  <c r="BF123" i="72"/>
  <c r="BD102" i="72"/>
  <c r="BF102" i="72" s="1"/>
  <c r="Z35" i="72"/>
  <c r="AB35" i="72" s="1"/>
  <c r="AB29" i="72"/>
  <c r="AD60" i="72"/>
  <c r="AD33" i="72"/>
  <c r="AB53" i="72"/>
  <c r="Z66" i="72"/>
  <c r="AB66" i="72" s="1"/>
  <c r="AD40" i="72"/>
  <c r="AB65" i="72"/>
  <c r="AD34" i="72"/>
  <c r="AB28" i="72"/>
  <c r="AD64" i="72"/>
  <c r="AD35" i="72"/>
  <c r="AD46" i="72"/>
  <c r="C186" i="1"/>
  <c r="AB50" i="72"/>
  <c r="C180" i="1"/>
  <c r="I180" i="1" s="1"/>
  <c r="AD51" i="72"/>
  <c r="C178" i="1"/>
  <c r="I178" i="1" s="1"/>
  <c r="AD39" i="72"/>
  <c r="AD23" i="72"/>
  <c r="AB57" i="72"/>
  <c r="AD24" i="72"/>
  <c r="Z24" i="72"/>
  <c r="AB24" i="72" s="1"/>
  <c r="AB48" i="72"/>
  <c r="AD36" i="72"/>
  <c r="AO126" i="72"/>
  <c r="AQ126" i="72" s="1"/>
  <c r="AQ134" i="72"/>
  <c r="AQ131" i="72"/>
  <c r="AS125" i="72"/>
  <c r="AS104" i="72"/>
  <c r="AQ120" i="72"/>
  <c r="AQ129" i="72"/>
  <c r="AO116" i="72"/>
  <c r="AQ116" i="72" s="1"/>
  <c r="AQ121" i="72"/>
  <c r="C186" i="50"/>
  <c r="C235" i="50"/>
  <c r="AQ102" i="72"/>
  <c r="AQ119" i="72"/>
  <c r="AQ125" i="72"/>
  <c r="AS133" i="72"/>
  <c r="Z103" i="72"/>
  <c r="AB103" i="72" s="1"/>
  <c r="AD106" i="72"/>
  <c r="AB120" i="72"/>
  <c r="Z98" i="72"/>
  <c r="AB98" i="72" s="1"/>
  <c r="AD96" i="72"/>
  <c r="C225" i="48"/>
  <c r="I225" i="48" s="1"/>
  <c r="AB93" i="72"/>
  <c r="AB117" i="72"/>
  <c r="Z109" i="72"/>
  <c r="AB109" i="72" s="1"/>
  <c r="AD109" i="72"/>
  <c r="Z88" i="72"/>
  <c r="AB88" i="72" s="1"/>
  <c r="AB124" i="72"/>
  <c r="C235" i="48"/>
  <c r="C132" i="48"/>
  <c r="AB125" i="72"/>
  <c r="AB100" i="72"/>
  <c r="Z106" i="72"/>
  <c r="AB106" i="72" s="1"/>
  <c r="L131" i="72"/>
  <c r="L108" i="72"/>
  <c r="N118" i="72"/>
  <c r="L128" i="72"/>
  <c r="L116" i="72"/>
  <c r="N120" i="72"/>
  <c r="L120" i="72"/>
  <c r="L95" i="72"/>
  <c r="J90" i="72"/>
  <c r="L90" i="72" s="1"/>
  <c r="J130" i="72"/>
  <c r="L130" i="72" s="1"/>
  <c r="N125" i="72"/>
  <c r="C124" i="24"/>
  <c r="I124" i="24" s="1"/>
  <c r="C176" i="24"/>
  <c r="L122" i="72"/>
  <c r="L56" i="72"/>
  <c r="N34" i="72"/>
  <c r="N38" i="72"/>
  <c r="J65" i="72"/>
  <c r="L65" i="72" s="1"/>
  <c r="N32" i="72"/>
  <c r="T11" i="47"/>
  <c r="C100" i="47" s="1"/>
  <c r="T20" i="47"/>
  <c r="Y14" i="47" s="1"/>
  <c r="G103" i="47" s="1"/>
  <c r="L59" i="72"/>
  <c r="L49" i="72"/>
  <c r="Y15" i="47"/>
  <c r="G104" i="47" s="1"/>
  <c r="J23" i="72"/>
  <c r="L23" i="72" s="1"/>
  <c r="N26" i="72"/>
  <c r="S134" i="47"/>
  <c r="L20" i="72"/>
  <c r="L31" i="72"/>
  <c r="AR116" i="47" a="1"/>
  <c r="AR116" i="47" s="1"/>
  <c r="C223" i="47" s="1"/>
  <c r="L51" i="72"/>
  <c r="L48" i="72"/>
  <c r="N54" i="72"/>
  <c r="N22" i="72"/>
  <c r="J36" i="72"/>
  <c r="L36" i="72" s="1"/>
  <c r="J24" i="72"/>
  <c r="L24" i="72" s="1"/>
  <c r="N36" i="72"/>
  <c r="N46" i="72"/>
  <c r="N66" i="72"/>
  <c r="N35" i="72"/>
  <c r="C207" i="47"/>
  <c r="L64" i="72"/>
  <c r="C227" i="47"/>
  <c r="C178" i="47"/>
  <c r="C124" i="47"/>
  <c r="J30" i="72"/>
  <c r="L30" i="72" s="1"/>
  <c r="N39" i="72"/>
  <c r="N41" i="72"/>
  <c r="AT15" i="47"/>
  <c r="G207" i="47" s="1"/>
  <c r="AO20" i="47"/>
  <c r="AT11" i="47" s="1"/>
  <c r="N53" i="72"/>
  <c r="J33" i="72"/>
  <c r="L33" i="72" s="1"/>
  <c r="L37" i="72"/>
  <c r="AO11" i="47"/>
  <c r="C203" i="47" s="1"/>
  <c r="W116" i="47" a="1"/>
  <c r="W116" i="47" s="1"/>
  <c r="C120" i="47" s="1"/>
  <c r="C205" i="47"/>
  <c r="N37" i="72"/>
  <c r="AY11" i="47"/>
  <c r="C252" i="47" s="1"/>
  <c r="N60" i="72"/>
  <c r="L66" i="72"/>
  <c r="L34" i="72"/>
  <c r="L25" i="72"/>
  <c r="L55" i="72"/>
  <c r="J41" i="72"/>
  <c r="L41" i="72" s="1"/>
  <c r="N30" i="72"/>
  <c r="AE11" i="47"/>
  <c r="C154" i="47" s="1"/>
  <c r="C158" i="47"/>
  <c r="C155" i="47"/>
  <c r="AE20" i="47"/>
  <c r="AD134" i="47"/>
  <c r="AJ15" i="47"/>
  <c r="G158" i="47" s="1"/>
  <c r="J67" i="72"/>
  <c r="L67" i="72" s="1"/>
  <c r="L58" i="72"/>
  <c r="N23" i="72"/>
  <c r="N33" i="72"/>
  <c r="AY20" i="47"/>
  <c r="C253" i="47"/>
  <c r="AX134" i="47"/>
  <c r="BD15" i="47"/>
  <c r="G154" i="24"/>
  <c r="G206" i="24"/>
  <c r="C211" i="24"/>
  <c r="G231" i="24"/>
  <c r="I231" i="24" s="1"/>
  <c r="G209" i="24"/>
  <c r="C212" i="24"/>
  <c r="G257" i="50"/>
  <c r="G280" i="50"/>
  <c r="I280" i="50" s="1"/>
  <c r="C259" i="49"/>
  <c r="G274" i="49"/>
  <c r="G280" i="49"/>
  <c r="I280" i="49" s="1"/>
  <c r="G204" i="49"/>
  <c r="C210" i="49"/>
  <c r="G105" i="49"/>
  <c r="G101" i="49"/>
  <c r="G122" i="49"/>
  <c r="G128" i="49"/>
  <c r="I128" i="49" s="1"/>
  <c r="C107" i="49"/>
  <c r="C163" i="48"/>
  <c r="C162" i="48"/>
  <c r="G182" i="48"/>
  <c r="I182" i="48" s="1"/>
  <c r="G158" i="48"/>
  <c r="G160" i="48"/>
  <c r="G274" i="24"/>
  <c r="G255" i="24"/>
  <c r="C259" i="24"/>
  <c r="G280" i="24"/>
  <c r="I280" i="24" s="1"/>
  <c r="BD126" i="72"/>
  <c r="BF126" i="72" s="1"/>
  <c r="N115" i="72"/>
  <c r="AD49" i="72"/>
  <c r="AB135" i="72"/>
  <c r="BD131" i="72"/>
  <c r="BF131" i="72" s="1"/>
  <c r="C276" i="1"/>
  <c r="I276" i="1" s="1"/>
  <c r="J132" i="72"/>
  <c r="L132" i="72" s="1"/>
  <c r="L46" i="72"/>
  <c r="BD97" i="72"/>
  <c r="BF97" i="72" s="1"/>
  <c r="AO96" i="72"/>
  <c r="AQ96" i="72" s="1"/>
  <c r="BH102" i="72"/>
  <c r="Z32" i="72"/>
  <c r="AB32" i="72" s="1"/>
  <c r="C180" i="47"/>
  <c r="BD107" i="72"/>
  <c r="BF107" i="72" s="1"/>
  <c r="L96" i="72"/>
  <c r="C272" i="1"/>
  <c r="I272" i="1" s="1"/>
  <c r="BD105" i="72"/>
  <c r="BF105" i="72" s="1"/>
  <c r="BD98" i="72"/>
  <c r="BF98" i="72" s="1"/>
  <c r="BH97" i="72"/>
  <c r="AD98" i="72"/>
  <c r="AB99" i="72"/>
  <c r="C126" i="1"/>
  <c r="I126" i="1" s="1"/>
  <c r="BH107" i="72"/>
  <c r="BD104" i="72"/>
  <c r="BF104" i="72" s="1"/>
  <c r="Z20" i="72"/>
  <c r="AB20" i="72" s="1"/>
  <c r="BH94" i="72"/>
  <c r="AD32" i="72"/>
  <c r="AS96" i="72"/>
  <c r="AD20" i="72"/>
  <c r="AR125" i="47" a="1"/>
  <c r="AR125" i="47" s="1"/>
  <c r="C178" i="49"/>
  <c r="I178" i="49" s="1"/>
  <c r="C229" i="1"/>
  <c r="I229" i="1" s="1"/>
  <c r="AQ122" i="72"/>
  <c r="AQ132" i="72"/>
  <c r="BF120" i="72"/>
  <c r="Z52" i="72"/>
  <c r="AB52" i="72" s="1"/>
  <c r="AO130" i="72"/>
  <c r="AQ130" i="72" s="1"/>
  <c r="AB121" i="72"/>
  <c r="BH119" i="72"/>
  <c r="BD119" i="72"/>
  <c r="BF119" i="72" s="1"/>
  <c r="BH126" i="72"/>
  <c r="BF122" i="72"/>
  <c r="AD52" i="72"/>
  <c r="N130" i="72"/>
  <c r="L115" i="72"/>
  <c r="AO117" i="72"/>
  <c r="AQ117" i="72" s="1"/>
  <c r="AS117" i="72"/>
  <c r="Z58" i="72"/>
  <c r="AB58" i="72" s="1"/>
  <c r="Z49" i="72"/>
  <c r="AB49" i="72" s="1"/>
  <c r="AS130" i="72"/>
  <c r="AS121" i="72"/>
  <c r="C229" i="47"/>
  <c r="AS126" i="72"/>
  <c r="N132" i="72"/>
  <c r="AO114" i="72"/>
  <c r="AQ114" i="72" s="1"/>
  <c r="AS114" i="72"/>
  <c r="Z62" i="72"/>
  <c r="AB62" i="72" s="1"/>
  <c r="Z67" i="72"/>
  <c r="AB67" i="72" s="1"/>
  <c r="AD67" i="72"/>
  <c r="AD62" i="72"/>
  <c r="AB56" i="72"/>
  <c r="J61" i="72"/>
  <c r="L61" i="72" s="1"/>
  <c r="N61" i="72"/>
  <c r="AD58" i="72"/>
  <c r="C270" i="48"/>
  <c r="I270" i="48" s="1"/>
  <c r="C227" i="49"/>
  <c r="C229" i="24"/>
  <c r="C118" i="49"/>
  <c r="C172" i="48"/>
  <c r="Z97" i="72"/>
  <c r="AB97" i="72" s="1"/>
  <c r="AD97" i="72"/>
  <c r="C223" i="48"/>
  <c r="I223" i="48" s="1"/>
  <c r="C178" i="48"/>
  <c r="C284" i="48"/>
  <c r="C174" i="24"/>
  <c r="C172" i="24"/>
  <c r="C223" i="24"/>
  <c r="C178" i="50"/>
  <c r="I178" i="50" s="1"/>
  <c r="C120" i="24"/>
  <c r="I120" i="24" s="1"/>
  <c r="C227" i="48"/>
  <c r="I227" i="48" s="1"/>
  <c r="C124" i="1"/>
  <c r="I124" i="1" s="1"/>
  <c r="C174" i="49"/>
  <c r="C229" i="50"/>
  <c r="I229" i="50" s="1"/>
  <c r="C118" i="47"/>
  <c r="C284" i="1"/>
  <c r="C270" i="1"/>
  <c r="I270" i="1" s="1"/>
  <c r="C132" i="50"/>
  <c r="C120" i="49"/>
  <c r="C174" i="50"/>
  <c r="I174" i="50" s="1"/>
  <c r="C223" i="1"/>
  <c r="I223" i="1" s="1"/>
  <c r="C221" i="49"/>
  <c r="C229" i="48"/>
  <c r="I229" i="48" s="1"/>
  <c r="C120" i="50"/>
  <c r="I120" i="50" s="1"/>
  <c r="C278" i="48"/>
  <c r="I278" i="48" s="1"/>
  <c r="C180" i="24"/>
  <c r="C172" i="50"/>
  <c r="I172" i="50" s="1"/>
  <c r="C180" i="49"/>
  <c r="I180" i="49" s="1"/>
  <c r="C124" i="50"/>
  <c r="I124" i="50" s="1"/>
  <c r="C221" i="47"/>
  <c r="W125" i="47" a="1"/>
  <c r="W125" i="47" s="1"/>
  <c r="C278" i="49"/>
  <c r="C221" i="48"/>
  <c r="I221" i="48" s="1"/>
  <c r="C278" i="24"/>
  <c r="C172" i="47"/>
  <c r="C221" i="50"/>
  <c r="I221" i="50" s="1"/>
  <c r="C272" i="50"/>
  <c r="C278" i="1"/>
  <c r="I278" i="1" s="1"/>
  <c r="C270" i="24"/>
  <c r="C132" i="1"/>
  <c r="C126" i="48"/>
  <c r="I126" i="48" s="1"/>
  <c r="C118" i="1"/>
  <c r="I118" i="1" s="1"/>
  <c r="C227" i="1"/>
  <c r="I227" i="1" s="1"/>
  <c r="C276" i="48"/>
  <c r="I276" i="48" s="1"/>
  <c r="C172" i="49"/>
  <c r="I172" i="49" s="1"/>
  <c r="C270" i="50"/>
  <c r="C278" i="47"/>
  <c r="C272" i="48"/>
  <c r="I272" i="48" s="1"/>
  <c r="C180" i="50"/>
  <c r="I180" i="50" s="1"/>
  <c r="C221" i="1"/>
  <c r="I221" i="1" s="1"/>
  <c r="C124" i="49"/>
  <c r="C270" i="49"/>
  <c r="C172" i="1"/>
  <c r="I172" i="1" s="1"/>
  <c r="C229" i="49"/>
  <c r="Z30" i="72"/>
  <c r="AB30" i="72" s="1"/>
  <c r="C276" i="47"/>
  <c r="AB96" i="72"/>
  <c r="C235" i="1"/>
  <c r="C272" i="24"/>
  <c r="C227" i="50"/>
  <c r="I227" i="50" s="1"/>
  <c r="C276" i="49"/>
  <c r="C124" i="48"/>
  <c r="I124" i="48" s="1"/>
  <c r="C132" i="24"/>
  <c r="C272" i="49"/>
  <c r="AB23" i="72"/>
  <c r="C278" i="50"/>
  <c r="AB39" i="72"/>
  <c r="C270" i="47"/>
  <c r="C174" i="1"/>
  <c r="I174" i="1" s="1"/>
  <c r="AD30" i="72"/>
  <c r="AO100" i="72"/>
  <c r="AQ100" i="72" s="1"/>
  <c r="AS100" i="72"/>
  <c r="C126" i="24"/>
  <c r="I126" i="24" s="1"/>
  <c r="C221" i="24"/>
  <c r="C174" i="48"/>
  <c r="C118" i="50"/>
  <c r="I118" i="50" s="1"/>
  <c r="C180" i="48"/>
  <c r="C276" i="24"/>
  <c r="C223" i="49"/>
  <c r="C120" i="48"/>
  <c r="I120" i="48" s="1"/>
  <c r="C118" i="48"/>
  <c r="I118" i="48" s="1"/>
  <c r="C126" i="49"/>
  <c r="C223" i="50"/>
  <c r="I223" i="50" s="1"/>
  <c r="C118" i="24"/>
  <c r="I118" i="24" s="1"/>
  <c r="C276" i="50"/>
  <c r="C126" i="50"/>
  <c r="I126" i="50" s="1"/>
  <c r="AB36" i="72"/>
  <c r="AE30" i="47" l="1"/>
  <c r="AH125" i="47" a="1"/>
  <c r="AH125" i="47" s="1"/>
  <c r="C176" i="47" s="1"/>
  <c r="AH116" i="47" a="1"/>
  <c r="AH116" i="47" s="1"/>
  <c r="C174" i="47" s="1"/>
  <c r="T19" i="47"/>
  <c r="C108" i="47" s="1"/>
  <c r="AY30" i="47"/>
  <c r="AX36" i="47"/>
  <c r="AY38" i="47" s="1"/>
  <c r="Y11" i="47"/>
  <c r="G100" i="47" s="1"/>
  <c r="BB116" i="47" a="1"/>
  <c r="BB116" i="47" s="1"/>
  <c r="C272" i="47" s="1"/>
  <c r="BB125" i="47" a="1"/>
  <c r="BB125" i="47" s="1"/>
  <c r="C274" i="47" s="1"/>
  <c r="AN36" i="47"/>
  <c r="AO30" i="47"/>
  <c r="T30" i="47"/>
  <c r="S36" i="47"/>
  <c r="AE37" i="47"/>
  <c r="AE38" i="47"/>
  <c r="C225" i="1"/>
  <c r="I225" i="1" s="1"/>
  <c r="Y18" i="47"/>
  <c r="S32" i="47" s="1"/>
  <c r="Y17" i="47"/>
  <c r="G106" i="47" s="1"/>
  <c r="S120" i="47"/>
  <c r="T16" i="47"/>
  <c r="R209" i="47" s="1"/>
  <c r="Z6" i="47" s="1"/>
  <c r="C109" i="47"/>
  <c r="AT18" i="47"/>
  <c r="AN32" i="47" s="1"/>
  <c r="C212" i="47"/>
  <c r="AO16" i="47"/>
  <c r="AT17" i="47"/>
  <c r="G209" i="47" s="1"/>
  <c r="AO19" i="47"/>
  <c r="C211" i="47" s="1"/>
  <c r="AX66" i="47"/>
  <c r="AT14" i="47"/>
  <c r="AN120" i="47" s="1"/>
  <c r="AJ17" i="47"/>
  <c r="G160" i="47" s="1"/>
  <c r="C163" i="47"/>
  <c r="AJ18" i="47"/>
  <c r="AD32" i="47" s="1"/>
  <c r="AE16" i="47"/>
  <c r="AC209" i="47" s="1"/>
  <c r="AJ11" i="47"/>
  <c r="G256" i="47"/>
  <c r="BD17" i="47"/>
  <c r="G258" i="47" s="1"/>
  <c r="AJ14" i="47"/>
  <c r="BD18" i="47"/>
  <c r="AX32" i="47" s="1"/>
  <c r="AY16" i="47"/>
  <c r="AW209" i="47" s="1"/>
  <c r="C261" i="47"/>
  <c r="AY19" i="47"/>
  <c r="BD14" i="47"/>
  <c r="BD11" i="47"/>
  <c r="AD66" i="47"/>
  <c r="AE19" i="47"/>
  <c r="AT12" i="47"/>
  <c r="G203" i="47"/>
  <c r="G203" i="24"/>
  <c r="G159" i="24"/>
  <c r="G155" i="24"/>
  <c r="G176" i="24"/>
  <c r="I176" i="24" s="1"/>
  <c r="G210" i="24"/>
  <c r="C208" i="24"/>
  <c r="G204" i="24"/>
  <c r="G257" i="49"/>
  <c r="G208" i="49"/>
  <c r="G174" i="49"/>
  <c r="I174" i="49" s="1"/>
  <c r="G161" i="48"/>
  <c r="C159" i="48"/>
  <c r="C160" i="48"/>
  <c r="G157" i="48"/>
  <c r="G154" i="48"/>
  <c r="G253" i="24"/>
  <c r="G257" i="24"/>
  <c r="C176" i="49"/>
  <c r="I176" i="49" s="1"/>
  <c r="C225" i="47"/>
  <c r="C274" i="1"/>
  <c r="I274" i="1" s="1"/>
  <c r="C122" i="48"/>
  <c r="I122" i="48" s="1"/>
  <c r="C225" i="24"/>
  <c r="C274" i="24"/>
  <c r="I274" i="24" s="1"/>
  <c r="C176" i="1"/>
  <c r="I176" i="1" s="1"/>
  <c r="C274" i="50"/>
  <c r="I274" i="50" s="1"/>
  <c r="C176" i="48"/>
  <c r="C274" i="49"/>
  <c r="I274" i="49" s="1"/>
  <c r="C225" i="50"/>
  <c r="I225" i="50" s="1"/>
  <c r="C122" i="47"/>
  <c r="C122" i="24"/>
  <c r="I122" i="24" s="1"/>
  <c r="C122" i="49"/>
  <c r="I122" i="49" s="1"/>
  <c r="C122" i="50"/>
  <c r="I122" i="50" s="1"/>
  <c r="C176" i="50"/>
  <c r="I176" i="50" s="1"/>
  <c r="C122" i="1"/>
  <c r="I122" i="1" s="1"/>
  <c r="C274" i="48"/>
  <c r="I274" i="48" s="1"/>
  <c r="AX119" i="47" l="1"/>
  <c r="S82" i="47"/>
  <c r="G128" i="47" s="1"/>
  <c r="I128" i="47" s="1"/>
  <c r="AY37" i="47"/>
  <c r="G107" i="47"/>
  <c r="AO17" i="47"/>
  <c r="C209" i="47" s="1"/>
  <c r="AM209" i="47"/>
  <c r="AU6" i="47" s="1"/>
  <c r="AD39" i="47"/>
  <c r="AE40" i="47" s="1"/>
  <c r="AE33" i="47"/>
  <c r="AN39" i="47"/>
  <c r="AO40" i="47" s="1"/>
  <c r="AO33" i="47"/>
  <c r="T38" i="47"/>
  <c r="T37" i="47"/>
  <c r="S119" i="47"/>
  <c r="Y12" i="47"/>
  <c r="G101" i="47" s="1"/>
  <c r="AO38" i="47"/>
  <c r="AO37" i="47"/>
  <c r="AY33" i="47"/>
  <c r="AX39" i="47"/>
  <c r="AY40" i="47" s="1"/>
  <c r="T33" i="47"/>
  <c r="S39" i="47"/>
  <c r="T40" i="47" s="1"/>
  <c r="C105" i="47"/>
  <c r="T18" i="47"/>
  <c r="S46" i="47" s="1"/>
  <c r="S50" i="47" s="1"/>
  <c r="S52" i="47" s="1"/>
  <c r="S56" i="47" s="1"/>
  <c r="S58" i="47" s="1"/>
  <c r="T17" i="47"/>
  <c r="C106" i="47" s="1"/>
  <c r="G206" i="47"/>
  <c r="AO18" i="47"/>
  <c r="AN46" i="47" s="1"/>
  <c r="AN50" i="47" s="1"/>
  <c r="AN52" i="47" s="1"/>
  <c r="AN56" i="47" s="1"/>
  <c r="AN63" i="47" s="1"/>
  <c r="AN67" i="47" s="1"/>
  <c r="C208" i="47"/>
  <c r="AN82" i="47"/>
  <c r="G231" i="47" s="1"/>
  <c r="I231" i="47" s="1"/>
  <c r="G210" i="47"/>
  <c r="AN119" i="47"/>
  <c r="S71" i="47"/>
  <c r="S135" i="47"/>
  <c r="G204" i="47"/>
  <c r="AN121" i="47"/>
  <c r="AN122" i="47" s="1"/>
  <c r="C257" i="47"/>
  <c r="AY18" i="47"/>
  <c r="AY17" i="47"/>
  <c r="C258" i="47" s="1"/>
  <c r="BE6" i="47"/>
  <c r="G259" i="47"/>
  <c r="AN135" i="47"/>
  <c r="AN71" i="47"/>
  <c r="AJ12" i="47"/>
  <c r="G154" i="47"/>
  <c r="C159" i="47"/>
  <c r="AE17" i="47"/>
  <c r="C160" i="47" s="1"/>
  <c r="AE18" i="47"/>
  <c r="AK6" i="47"/>
  <c r="AD120" i="47"/>
  <c r="G157" i="47"/>
  <c r="AD82" i="47"/>
  <c r="G182" i="47" s="1"/>
  <c r="I182" i="47" s="1"/>
  <c r="C162" i="47"/>
  <c r="AD119" i="47"/>
  <c r="G161" i="47"/>
  <c r="G255" i="47"/>
  <c r="AX120" i="47"/>
  <c r="AX82" i="47"/>
  <c r="G280" i="47" s="1"/>
  <c r="I280" i="47" s="1"/>
  <c r="C260" i="47"/>
  <c r="BD12" i="47"/>
  <c r="G252" i="47"/>
  <c r="G225" i="24"/>
  <c r="I225" i="24" s="1"/>
  <c r="C209" i="24"/>
  <c r="C210" i="24"/>
  <c r="G270" i="50"/>
  <c r="I270" i="50" s="1"/>
  <c r="G276" i="50"/>
  <c r="I276" i="50" s="1"/>
  <c r="G278" i="50"/>
  <c r="I278" i="50" s="1"/>
  <c r="G276" i="49"/>
  <c r="I276" i="49" s="1"/>
  <c r="G278" i="49"/>
  <c r="I278" i="49" s="1"/>
  <c r="G225" i="49"/>
  <c r="I225" i="49" s="1"/>
  <c r="G227" i="49"/>
  <c r="I227" i="49" s="1"/>
  <c r="G229" i="49"/>
  <c r="I229" i="49" s="1"/>
  <c r="C186" i="49"/>
  <c r="G126" i="49"/>
  <c r="I126" i="49" s="1"/>
  <c r="G124" i="49"/>
  <c r="I124" i="49" s="1"/>
  <c r="G155" i="48"/>
  <c r="C161" i="48"/>
  <c r="G159" i="48"/>
  <c r="G276" i="24"/>
  <c r="I276" i="24" s="1"/>
  <c r="G278" i="24"/>
  <c r="I278" i="24" s="1"/>
  <c r="G178" i="24"/>
  <c r="I178" i="24" s="1"/>
  <c r="G180" i="24"/>
  <c r="I180" i="24" s="1"/>
  <c r="G172" i="24"/>
  <c r="I172" i="24" s="1"/>
  <c r="S97" i="47" l="1"/>
  <c r="C210" i="47"/>
  <c r="AT16" i="47"/>
  <c r="Y16" i="47"/>
  <c r="S87" i="47" s="1"/>
  <c r="S121" i="47"/>
  <c r="S122" i="47" s="1"/>
  <c r="S123" i="47" s="1"/>
  <c r="S125" i="47" s="1"/>
  <c r="C107" i="47"/>
  <c r="AX97" i="47"/>
  <c r="AN97" i="47"/>
  <c r="AN123" i="47"/>
  <c r="AN125" i="47" s="1"/>
  <c r="G225" i="47" s="1"/>
  <c r="I225" i="47" s="1"/>
  <c r="S63" i="47"/>
  <c r="S67" i="47" s="1"/>
  <c r="S70" i="47"/>
  <c r="S72" i="47" s="1"/>
  <c r="S96" i="47"/>
  <c r="S100" i="47"/>
  <c r="S101" i="47" s="1"/>
  <c r="S148" i="47"/>
  <c r="S150" i="47" s="1"/>
  <c r="S138" i="47"/>
  <c r="S140" i="47" s="1"/>
  <c r="S142" i="47" s="1"/>
  <c r="AD97" i="47"/>
  <c r="AN70" i="47"/>
  <c r="AN72" i="47" s="1"/>
  <c r="AN73" i="47" s="1"/>
  <c r="AN75" i="47" s="1"/>
  <c r="BD16" i="47"/>
  <c r="G257" i="47" s="1"/>
  <c r="AX71" i="47"/>
  <c r="AX135" i="47"/>
  <c r="AX46" i="47"/>
  <c r="AX50" i="47" s="1"/>
  <c r="AX52" i="47" s="1"/>
  <c r="AX56" i="47" s="1"/>
  <c r="C259" i="47"/>
  <c r="AD135" i="47"/>
  <c r="AD71" i="47"/>
  <c r="AX121" i="47"/>
  <c r="AX122" i="47" s="1"/>
  <c r="AX123" i="47" s="1"/>
  <c r="AX125" i="47" s="1"/>
  <c r="G253" i="47"/>
  <c r="AJ16" i="47"/>
  <c r="AD121" i="47"/>
  <c r="AD122" i="47" s="1"/>
  <c r="AD123" i="47" s="1"/>
  <c r="AD125" i="47" s="1"/>
  <c r="G155" i="47"/>
  <c r="AN96" i="47"/>
  <c r="AN100" i="47"/>
  <c r="AN101" i="47" s="1"/>
  <c r="C161" i="47"/>
  <c r="AD46" i="47"/>
  <c r="AD50" i="47" s="1"/>
  <c r="AN58" i="47"/>
  <c r="AT77" i="47" s="1"/>
  <c r="AN138" i="47"/>
  <c r="AN140" i="47" s="1"/>
  <c r="AN142" i="47" s="1"/>
  <c r="AN148" i="47"/>
  <c r="AN150" i="47" s="1"/>
  <c r="G208" i="24"/>
  <c r="G272" i="50"/>
  <c r="I272" i="50" s="1"/>
  <c r="G221" i="49"/>
  <c r="I221" i="49" s="1"/>
  <c r="G176" i="48"/>
  <c r="I176" i="48" s="1"/>
  <c r="G174" i="24"/>
  <c r="I174" i="24" s="1"/>
  <c r="Y77" i="47"/>
  <c r="U77" i="47"/>
  <c r="S77" i="47"/>
  <c r="S89" i="47" l="1"/>
  <c r="AN89" i="47"/>
  <c r="AN87" i="47"/>
  <c r="AN91" i="47" s="1"/>
  <c r="G208" i="47"/>
  <c r="Y125" i="47"/>
  <c r="G122" i="47"/>
  <c r="I122" i="47" s="1"/>
  <c r="U125" i="47"/>
  <c r="G105" i="47"/>
  <c r="AT125" i="47"/>
  <c r="AP125" i="47"/>
  <c r="S73" i="47"/>
  <c r="S75" i="47" s="1"/>
  <c r="G124" i="47"/>
  <c r="I124" i="47" s="1"/>
  <c r="Y142" i="47"/>
  <c r="U142" i="47"/>
  <c r="U150" i="47"/>
  <c r="G126" i="47"/>
  <c r="I126" i="47" s="1"/>
  <c r="Y150" i="47"/>
  <c r="S109" i="47"/>
  <c r="S91" i="47"/>
  <c r="S108" i="47"/>
  <c r="S102" i="47"/>
  <c r="S103" i="47" s="1"/>
  <c r="AX89" i="47"/>
  <c r="AX87" i="47"/>
  <c r="AX109" i="47" s="1"/>
  <c r="S113" i="47"/>
  <c r="S114" i="47" s="1"/>
  <c r="S110" i="47"/>
  <c r="S105" i="47"/>
  <c r="G176" i="47"/>
  <c r="I176" i="47" s="1"/>
  <c r="AF125" i="47"/>
  <c r="AJ125" i="47"/>
  <c r="G274" i="47"/>
  <c r="I274" i="47" s="1"/>
  <c r="BD125" i="47"/>
  <c r="AZ125" i="47"/>
  <c r="AP77" i="47"/>
  <c r="G159" i="47"/>
  <c r="AD87" i="47"/>
  <c r="AD89" i="47"/>
  <c r="AT150" i="47"/>
  <c r="G229" i="47"/>
  <c r="I229" i="47" s="1"/>
  <c r="AP150" i="47"/>
  <c r="G227" i="47"/>
  <c r="I227" i="47" s="1"/>
  <c r="AP142" i="47"/>
  <c r="AT142" i="47"/>
  <c r="AN77" i="47"/>
  <c r="AD148" i="47"/>
  <c r="AD150" i="47" s="1"/>
  <c r="AD138" i="47"/>
  <c r="AD140" i="47" s="1"/>
  <c r="AD142" i="47" s="1"/>
  <c r="AN108" i="47"/>
  <c r="AN102" i="47"/>
  <c r="AN103" i="47" s="1"/>
  <c r="AX96" i="47"/>
  <c r="AX100" i="47"/>
  <c r="AX101" i="47" s="1"/>
  <c r="AD52" i="47"/>
  <c r="AD56" i="47" s="1"/>
  <c r="AX148" i="47"/>
  <c r="AX150" i="47" s="1"/>
  <c r="AX138" i="47"/>
  <c r="AX140" i="47" s="1"/>
  <c r="AX142" i="47" s="1"/>
  <c r="AD100" i="47"/>
  <c r="AD101" i="47" s="1"/>
  <c r="AD96" i="47"/>
  <c r="AN110" i="47"/>
  <c r="AN105" i="47"/>
  <c r="AN113" i="47"/>
  <c r="AN114" i="47" s="1"/>
  <c r="AX63" i="47"/>
  <c r="AX67" i="47" s="1"/>
  <c r="AX70" i="47"/>
  <c r="AX72" i="47" s="1"/>
  <c r="AX58" i="47"/>
  <c r="C186" i="24"/>
  <c r="G227" i="24"/>
  <c r="I227" i="24" s="1"/>
  <c r="G229" i="24"/>
  <c r="I229" i="24" s="1"/>
  <c r="C284" i="50"/>
  <c r="G270" i="49"/>
  <c r="I270" i="49" s="1"/>
  <c r="C284" i="49"/>
  <c r="G272" i="49"/>
  <c r="I272" i="49" s="1"/>
  <c r="G223" i="49"/>
  <c r="I223" i="49" s="1"/>
  <c r="G118" i="49"/>
  <c r="I118" i="49" s="1"/>
  <c r="G120" i="49"/>
  <c r="I120" i="49" s="1"/>
  <c r="G178" i="48"/>
  <c r="I178" i="48" s="1"/>
  <c r="G180" i="48"/>
  <c r="I180" i="48" s="1"/>
  <c r="G270" i="24"/>
  <c r="I270" i="24" s="1"/>
  <c r="G272" i="24"/>
  <c r="I272" i="24" s="1"/>
  <c r="G118" i="47"/>
  <c r="I118" i="47" s="1"/>
  <c r="AN109" i="47" l="1"/>
  <c r="G221" i="47"/>
  <c r="I221" i="47" s="1"/>
  <c r="AX91" i="47"/>
  <c r="S116" i="47"/>
  <c r="AX73" i="47"/>
  <c r="AX75" i="47" s="1"/>
  <c r="AD102" i="47"/>
  <c r="AD103" i="47" s="1"/>
  <c r="AD108" i="47"/>
  <c r="AD91" i="47"/>
  <c r="AD109" i="47"/>
  <c r="AZ142" i="47"/>
  <c r="G276" i="47"/>
  <c r="I276" i="47" s="1"/>
  <c r="BD142" i="47"/>
  <c r="BD150" i="47"/>
  <c r="AZ150" i="47"/>
  <c r="G278" i="47"/>
  <c r="I278" i="47" s="1"/>
  <c r="AD105" i="47"/>
  <c r="AD110" i="47"/>
  <c r="AD113" i="47"/>
  <c r="AD114" i="47" s="1"/>
  <c r="AD70" i="47"/>
  <c r="AD72" i="47" s="1"/>
  <c r="AD58" i="47"/>
  <c r="AD63" i="47"/>
  <c r="AD67" i="47" s="1"/>
  <c r="AZ77" i="47"/>
  <c r="BD77" i="47"/>
  <c r="AX77" i="47"/>
  <c r="AX102" i="47"/>
  <c r="AX103" i="47" s="1"/>
  <c r="AX108" i="47"/>
  <c r="AX105" i="47"/>
  <c r="AX110" i="47"/>
  <c r="AX113" i="47"/>
  <c r="AX114" i="47" s="1"/>
  <c r="G178" i="47"/>
  <c r="I178" i="47" s="1"/>
  <c r="AJ142" i="47"/>
  <c r="AF142" i="47"/>
  <c r="G180" i="47"/>
  <c r="I180" i="47" s="1"/>
  <c r="AJ150" i="47"/>
  <c r="AF150" i="47"/>
  <c r="AN116" i="47"/>
  <c r="C235" i="49"/>
  <c r="C132" i="49"/>
  <c r="C284" i="24"/>
  <c r="Y165" i="47" l="1"/>
  <c r="Y193" i="47"/>
  <c r="Y197" i="47"/>
  <c r="Y196" i="47"/>
  <c r="Y173" i="47"/>
  <c r="Y187" i="47"/>
  <c r="Y161" i="47"/>
  <c r="Y162" i="47"/>
  <c r="Y192" i="47"/>
  <c r="Y191" i="47"/>
  <c r="Y159" i="47"/>
  <c r="Y186" i="47"/>
  <c r="Y195" i="47"/>
  <c r="Y171" i="47"/>
  <c r="Y188" i="47"/>
  <c r="Y176" i="47"/>
  <c r="Y164" i="47"/>
  <c r="Y163" i="47"/>
  <c r="Y200" i="47"/>
  <c r="Y189" i="47"/>
  <c r="Y169" i="47"/>
  <c r="Y185" i="47"/>
  <c r="Y158" i="47"/>
  <c r="Y204" i="47"/>
  <c r="Y178" i="47"/>
  <c r="Y179" i="47"/>
  <c r="Y194" i="47"/>
  <c r="Y167" i="47"/>
  <c r="Y170" i="47"/>
  <c r="Y174" i="47"/>
  <c r="Y199" i="47"/>
  <c r="Y203" i="47"/>
  <c r="Y201" i="47"/>
  <c r="Y205" i="47"/>
  <c r="Y190" i="47"/>
  <c r="Y184" i="47"/>
  <c r="Y198" i="47"/>
  <c r="Y175" i="47"/>
  <c r="Y202" i="47"/>
  <c r="Y177" i="47"/>
  <c r="Y166" i="47"/>
  <c r="Y160" i="47"/>
  <c r="Y168" i="47"/>
  <c r="Y172" i="47"/>
  <c r="AT179" i="47"/>
  <c r="AT186" i="47"/>
  <c r="AT202" i="47"/>
  <c r="AT171" i="47"/>
  <c r="AT173" i="47"/>
  <c r="AT159" i="47"/>
  <c r="AT189" i="47"/>
  <c r="AT160" i="47"/>
  <c r="AT201" i="47"/>
  <c r="AT184" i="47"/>
  <c r="AT163" i="47"/>
  <c r="AT158" i="47"/>
  <c r="AT204" i="47"/>
  <c r="AT188" i="47"/>
  <c r="AT203" i="47"/>
  <c r="AT205" i="47"/>
  <c r="AT161" i="47"/>
  <c r="AT174" i="47"/>
  <c r="AT167" i="47"/>
  <c r="AT164" i="47"/>
  <c r="AT194" i="47"/>
  <c r="AT176" i="47"/>
  <c r="AT190" i="47"/>
  <c r="AT177" i="47"/>
  <c r="AT187" i="47"/>
  <c r="AT178" i="47"/>
  <c r="AT175" i="47"/>
  <c r="AT168" i="47"/>
  <c r="AT195" i="47"/>
  <c r="AT169" i="47"/>
  <c r="AT196" i="47"/>
  <c r="AT165" i="47"/>
  <c r="AT192" i="47"/>
  <c r="AT162" i="47"/>
  <c r="AT166" i="47"/>
  <c r="AT191" i="47"/>
  <c r="AT199" i="47"/>
  <c r="AT197" i="47"/>
  <c r="AT170" i="47"/>
  <c r="AT200" i="47"/>
  <c r="AT185" i="47"/>
  <c r="AT172" i="47"/>
  <c r="AT193" i="47"/>
  <c r="AT198" i="47"/>
  <c r="G120" i="47"/>
  <c r="I120" i="47" s="1"/>
  <c r="Y116" i="47"/>
  <c r="U116" i="47"/>
  <c r="AD73" i="47"/>
  <c r="AD75" i="47" s="1"/>
  <c r="AX116" i="47"/>
  <c r="BD169" i="47" s="1"/>
  <c r="AD116" i="47"/>
  <c r="G174" i="47" s="1"/>
  <c r="I174" i="47" s="1"/>
  <c r="G270" i="47"/>
  <c r="I270" i="47" s="1"/>
  <c r="G223" i="47"/>
  <c r="I223" i="47" s="1"/>
  <c r="AP116" i="47"/>
  <c r="AT116" i="47"/>
  <c r="AF77" i="47"/>
  <c r="AJ77" i="47"/>
  <c r="AD77" i="47"/>
  <c r="G221" i="24"/>
  <c r="I221" i="24" s="1"/>
  <c r="C235" i="24"/>
  <c r="G223" i="24"/>
  <c r="I223" i="24" s="1"/>
  <c r="G172" i="48"/>
  <c r="I172" i="48" s="1"/>
  <c r="G174" i="48"/>
  <c r="I174" i="48" s="1"/>
  <c r="BD173" i="47" l="1"/>
  <c r="BD184" i="47"/>
  <c r="BD170" i="47"/>
  <c r="BD194" i="47"/>
  <c r="BD187" i="47"/>
  <c r="BD166" i="47"/>
  <c r="BD162" i="47"/>
  <c r="BD192" i="47"/>
  <c r="BD203" i="47"/>
  <c r="BD160" i="47"/>
  <c r="BD163" i="47"/>
  <c r="AJ202" i="47"/>
  <c r="AJ171" i="47"/>
  <c r="AJ200" i="47"/>
  <c r="AJ167" i="47"/>
  <c r="AJ165" i="47"/>
  <c r="AJ160" i="47"/>
  <c r="AJ191" i="47"/>
  <c r="AJ189" i="47"/>
  <c r="AJ194" i="47"/>
  <c r="AJ201" i="47"/>
  <c r="AJ172" i="47"/>
  <c r="AJ187" i="47"/>
  <c r="AJ195" i="47"/>
  <c r="AJ175" i="47"/>
  <c r="AJ173" i="47"/>
  <c r="AJ170" i="47"/>
  <c r="AJ199" i="47"/>
  <c r="AJ186" i="47"/>
  <c r="AJ164" i="47"/>
  <c r="AJ163" i="47"/>
  <c r="AJ161" i="47"/>
  <c r="AJ169" i="47"/>
  <c r="AJ177" i="47"/>
  <c r="AJ178" i="47"/>
  <c r="AJ203" i="47"/>
  <c r="AJ193" i="47"/>
  <c r="AJ188" i="47"/>
  <c r="AJ174" i="47"/>
  <c r="AJ162" i="47"/>
  <c r="AJ159" i="47"/>
  <c r="AJ204" i="47"/>
  <c r="AJ190" i="47"/>
  <c r="AJ158" i="47"/>
  <c r="AJ185" i="47"/>
  <c r="AJ198" i="47"/>
  <c r="AJ192" i="47"/>
  <c r="AJ168" i="47"/>
  <c r="AJ179" i="47"/>
  <c r="AJ166" i="47"/>
  <c r="AJ176" i="47"/>
  <c r="AJ197" i="47"/>
  <c r="AJ196" i="47"/>
  <c r="AJ205" i="47"/>
  <c r="AJ184" i="47"/>
  <c r="BD204" i="47"/>
  <c r="BD196" i="47"/>
  <c r="BD198" i="47"/>
  <c r="BD189" i="47"/>
  <c r="BD179" i="47"/>
  <c r="BD188" i="47"/>
  <c r="BD197" i="47"/>
  <c r="BD193" i="47"/>
  <c r="BD185" i="47"/>
  <c r="BD191" i="47"/>
  <c r="BD177" i="47"/>
  <c r="BD174" i="47"/>
  <c r="BD200" i="47"/>
  <c r="BD190" i="47"/>
  <c r="BD168" i="47"/>
  <c r="BD199" i="47"/>
  <c r="BD165" i="47"/>
  <c r="BD161" i="47"/>
  <c r="BD171" i="47"/>
  <c r="BD205" i="47"/>
  <c r="BD176" i="47"/>
  <c r="BD172" i="47"/>
  <c r="BD178" i="47"/>
  <c r="BD202" i="47"/>
  <c r="BD158" i="47"/>
  <c r="BD175" i="47"/>
  <c r="BD186" i="47"/>
  <c r="BD159" i="47"/>
  <c r="BD195" i="47"/>
  <c r="BD201" i="47"/>
  <c r="BD167" i="47"/>
  <c r="BD164" i="47"/>
  <c r="BD116" i="47"/>
  <c r="AF116" i="47"/>
  <c r="AZ116" i="47"/>
  <c r="AJ116" i="47"/>
  <c r="C132" i="47"/>
  <c r="G272" i="47"/>
  <c r="I272" i="47" s="1"/>
  <c r="C235" i="47"/>
  <c r="G172" i="47"/>
  <c r="I172" i="47" s="1"/>
  <c r="C186" i="48"/>
  <c r="C284" i="47" l="1"/>
  <c r="C186" i="4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Zachary Coutu</author>
  </authors>
  <commentList>
    <comment ref="B32" authorId="0" shapeId="0" xr:uid="{1CCA4F94-8E57-40DE-A79E-49D936DBFFDB}">
      <text>
        <r>
          <rPr>
            <b/>
            <sz val="9"/>
            <color indexed="81"/>
            <rFont val="Tahoma"/>
            <family val="2"/>
          </rPr>
          <t>Zachary Coutu:</t>
        </r>
        <r>
          <rPr>
            <sz val="9"/>
            <color indexed="81"/>
            <rFont val="Tahoma"/>
            <family val="2"/>
          </rPr>
          <t xml:space="preserve">
Changed from 0.4WL-X to 0.4WL+X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<sst xmlns="http://schemas.openxmlformats.org/spreadsheetml/2006/main" count="19955" uniqueCount="652">
  <si>
    <t>DL</t>
  </si>
  <si>
    <t>LL</t>
  </si>
  <si>
    <t>SL</t>
  </si>
  <si>
    <t>Load Case</t>
  </si>
  <si>
    <t>Y-Axial (lb)</t>
  </si>
  <si>
    <t>EL</t>
  </si>
  <si>
    <t>WL</t>
  </si>
  <si>
    <t xml:space="preserve">BLC </t>
  </si>
  <si>
    <t>= Basic Load Case</t>
  </si>
  <si>
    <t>= Dead Load</t>
  </si>
  <si>
    <t>= Live Load</t>
  </si>
  <si>
    <t>= Snow Load</t>
  </si>
  <si>
    <t>= Seismic Load (ELX about the X- Axis; ELZ about the Z-Axis)</t>
  </si>
  <si>
    <t xml:space="preserve"> Post Location</t>
  </si>
  <si>
    <t>Customer:</t>
  </si>
  <si>
    <t>Date/Engineer:</t>
  </si>
  <si>
    <t>Worst Post</t>
  </si>
  <si>
    <t>Configuration:</t>
  </si>
  <si>
    <t>Zip/Location:</t>
  </si>
  <si>
    <t>Load Combination ASD (ASCE 7-10)</t>
  </si>
  <si>
    <t>DL + SL</t>
  </si>
  <si>
    <t>DL + 0.6 WL+X</t>
  </si>
  <si>
    <t>DL + 0.6 WL-X</t>
  </si>
  <si>
    <t>0.6 DL + 0.6 WL+X</t>
  </si>
  <si>
    <t>0.6 DL + 0.6 WL-X</t>
  </si>
  <si>
    <t>DL + 0.7 ELX</t>
  </si>
  <si>
    <t>DL - 0.7 ELX</t>
  </si>
  <si>
    <t>DL + 0.7 ELZ</t>
  </si>
  <si>
    <t>DL - 0.7 ELZ</t>
  </si>
  <si>
    <t>DL + 0.525 ELX + 0.75 SL + 0.75 LL</t>
  </si>
  <si>
    <t>DL - 0.525 ELX + 0.75 SL + 0.75 LL</t>
  </si>
  <si>
    <t>DL + 0.525 ELZ + 0.75 SL + 0.75 LL</t>
  </si>
  <si>
    <t>DL - 0.525 ELZ + 0.75 SL + 0.75 LL</t>
  </si>
  <si>
    <t>DL + 0.45 WL+X + 0.25 SL + 0.75 LL</t>
  </si>
  <si>
    <t>DL + 0.45 WL-X + 0.25 SL + 0.75 LL</t>
  </si>
  <si>
    <t>DL + 0.45 OL1 + 0.75 SL + 0.75 LL</t>
  </si>
  <si>
    <t>DL + 0.45 OL2 + 0.75 SL + 0.75 LL</t>
  </si>
  <si>
    <t>0.6 DL + 0.7 ELX</t>
  </si>
  <si>
    <t>0.6 DL - 0.7 ELX</t>
  </si>
  <si>
    <t>0.6 DL + 0.7 ELZ</t>
  </si>
  <si>
    <t>0.6 DL - 0.7 ELZ</t>
  </si>
  <si>
    <t>= Static Wind Load (OL1 = Wind in the +X Axis; WL-X = Wind in the -X)</t>
  </si>
  <si>
    <t>= Inertial Wind Load ( WL+X = Wind in the +X Axis; WL-X = Wind in the -X)</t>
  </si>
  <si>
    <t>OL</t>
  </si>
  <si>
    <t>X - Strong Axis Shear (lb)</t>
  </si>
  <si>
    <t>Z - Weak Axis Shear (lb)</t>
  </si>
  <si>
    <t>MZ-Strong Axis Over Turning (lbs-in)</t>
  </si>
  <si>
    <t>MX - Weak Axis Over Turning (lbs-in)</t>
  </si>
  <si>
    <t>TOTAL DEFLECTION:</t>
  </si>
  <si>
    <t>Post Size:</t>
  </si>
  <si>
    <t>Project:</t>
  </si>
  <si>
    <t>DL + WL+X</t>
  </si>
  <si>
    <t>DL + WL-X</t>
  </si>
  <si>
    <t>DL + 0.75 OL1 + 0.75 SL + 0.75 LL</t>
  </si>
  <si>
    <t>DL + 0.75 OL2 + 0.75 SL + 0.75 LL</t>
  </si>
  <si>
    <t>DL + 0.75 WL+X + 0.25 SL + 0.75 LL</t>
  </si>
  <si>
    <t>DL + 0.75 WL-X + 0.25 SL + 0.75 LL</t>
  </si>
  <si>
    <t>0.6 DL + WL+X</t>
  </si>
  <si>
    <t>0.6 DL + WL-X</t>
  </si>
  <si>
    <t>Load Combination ASD (ASCE 7-05)</t>
  </si>
  <si>
    <t>Load Combination ASD (ASCE 7-16)</t>
  </si>
  <si>
    <t>Zone 3</t>
  </si>
  <si>
    <t xml:space="preserve">Tracker Configuration </t>
  </si>
  <si>
    <t xml:space="preserve">Tracker QTY </t>
  </si>
  <si>
    <t xml:space="preserve"># Posts </t>
  </si>
  <si>
    <t>INT/EXT</t>
  </si>
  <si>
    <t xml:space="preserve">EXT </t>
  </si>
  <si>
    <t xml:space="preserve">No </t>
  </si>
  <si>
    <t>INT</t>
  </si>
  <si>
    <t>Drive Post Zone 1</t>
  </si>
  <si>
    <t>Idler Post Zone 1</t>
  </si>
  <si>
    <t>Idler Post Zone 2</t>
  </si>
  <si>
    <t>Idler Post Zone 3</t>
  </si>
  <si>
    <t>Drive Post Zone 4</t>
  </si>
  <si>
    <t>Idler Post Zone 5</t>
  </si>
  <si>
    <t xml:space="preserve">Single </t>
  </si>
  <si>
    <t xml:space="preserve">Double </t>
  </si>
  <si>
    <t xml:space="preserve">Idler Zone 1/Zone 3 Per Tracker </t>
  </si>
  <si>
    <t xml:space="preserve">Idler Zone 2/Zone 5 Per Tracker </t>
  </si>
  <si>
    <t xml:space="preserve">Idler Zone 1/Zone 3 Project </t>
  </si>
  <si>
    <t xml:space="preserve">Idler Zone 2/Zone 5 Project </t>
  </si>
  <si>
    <t xml:space="preserve">Idler Posts Dampeners </t>
  </si>
  <si>
    <t xml:space="preserve">Idler Posts No Dampeners </t>
  </si>
  <si>
    <t xml:space="preserve"># of Drives </t>
  </si>
  <si>
    <t xml:space="preserve"># of Idlers </t>
  </si>
  <si>
    <t>Factored Top of Pile Loads - DRIVE @ 0 DEGREES</t>
  </si>
  <si>
    <t>Factored Top of Pile Loads - DRIVE @ MAX TILT (45 DEGREES ACTUATOR, 55 DEGREES SLEW)</t>
  </si>
  <si>
    <t>Factored Top of Pile Loads - IDLER @ 0 DEGREES</t>
  </si>
  <si>
    <t>Factored Top of Pile Loads - IDLER @ MAX TILT (45 DEGREES ACTUATOR, 55 DEGREES SLEW)</t>
  </si>
  <si>
    <t>Project Information</t>
  </si>
  <si>
    <t>Wind Speed (mph)</t>
  </si>
  <si>
    <t>Ground Snow Load (psf)</t>
  </si>
  <si>
    <t>Ss</t>
  </si>
  <si>
    <t>S1</t>
  </si>
  <si>
    <t>Sds</t>
  </si>
  <si>
    <t>Sd1</t>
  </si>
  <si>
    <t>Notes</t>
  </si>
  <si>
    <t>1. Wind and Snow Loads are based on ASCE design loads. 
2.Seismic Loads based on ASCE design loads</t>
  </si>
  <si>
    <t>ZONE 2 - IDLER</t>
  </si>
  <si>
    <t>ZONE 1 - IDLER</t>
  </si>
  <si>
    <t>ZONE 1 - DRIVE</t>
  </si>
  <si>
    <t>ZONE 3 - IDLER</t>
  </si>
  <si>
    <t>ZONE 4 - DRIVE</t>
  </si>
  <si>
    <t>ZONE 5 - IDLER</t>
  </si>
  <si>
    <t>FSsliding</t>
  </si>
  <si>
    <t>Friction Resistance</t>
  </si>
  <si>
    <t>FSoverturn</t>
  </si>
  <si>
    <t>Mres(lb-ft)</t>
  </si>
  <si>
    <t>Mot(lb-ft)</t>
  </si>
  <si>
    <t>Mz(lb-ft)</t>
  </si>
  <si>
    <t>Mx(lb-ft)</t>
  </si>
  <si>
    <t>Z(lb)</t>
  </si>
  <si>
    <t>Y(lb)</t>
  </si>
  <si>
    <t>X(lb)</t>
  </si>
  <si>
    <t>Allowable Bearing Pressure, psf:</t>
  </si>
  <si>
    <t>Depth to Neglect, ft:</t>
  </si>
  <si>
    <t>Friction Factor:</t>
  </si>
  <si>
    <t>Passive pressure, psf/ft:</t>
  </si>
  <si>
    <t>Seismic - Cs Value:</t>
  </si>
  <si>
    <t>Soil Density, pcf:</t>
  </si>
  <si>
    <t>Depth Below Grade, ft:</t>
  </si>
  <si>
    <t>Coefficient of friction, u:</t>
  </si>
  <si>
    <t>Concrete Density, pcf:</t>
  </si>
  <si>
    <t>Collar Weight, lbs</t>
  </si>
  <si>
    <t>Height, ft:</t>
  </si>
  <si>
    <t>Width (Weak Axis), ft:</t>
  </si>
  <si>
    <t>Length (Strong Axis), ft:</t>
  </si>
  <si>
    <t>Idler Post Collar Specifications</t>
  </si>
  <si>
    <t>Drive Post Collar Specifications</t>
  </si>
  <si>
    <t>Drive Zone 1</t>
  </si>
  <si>
    <t>Drive Zone 4</t>
  </si>
  <si>
    <t>Idler Zone 1</t>
  </si>
  <si>
    <t>Idler Zone 2</t>
  </si>
  <si>
    <t>Idler Zone 3</t>
  </si>
  <si>
    <t>Idler Zone 5</t>
  </si>
  <si>
    <t>Drive Reveal Height (ft)</t>
  </si>
  <si>
    <t>Idler Reveal Height (ft)</t>
  </si>
  <si>
    <t>Soil Neglect (ft)</t>
  </si>
  <si>
    <t>Drive Application Height (in)</t>
  </si>
  <si>
    <t>Idler Application Height (in)</t>
  </si>
  <si>
    <t>Factored Top of Pile Loads - Drive Zone 1 @ 0 DEGREES</t>
  </si>
  <si>
    <t>Factored Top of Pile Loads - Drive Zone 1 @ MAX TILT (45 DEGREES ACTUATOR, 55 DEGREES SLEW)</t>
  </si>
  <si>
    <t>Factored Top of Pile Loads - Drive Zone 4 @ 0 DEGREES</t>
  </si>
  <si>
    <t>Factored Top of Pile Loads - Drive Zone 4 @ MAX TILT (45 DEGREES ACTUATOR, 55 DEGREES SLEW)</t>
  </si>
  <si>
    <t>Factored Top of Pile Loads - Idler Zone 1 @ 0 DEGREES</t>
  </si>
  <si>
    <t>Factored Top of Pile Loads - Idler Zone 1 @ MAX TILT (45 DEGREES ACTUATOR, 55 DEGREES SLEW)</t>
  </si>
  <si>
    <t>Factored Top of Pile Loads - Idler Zone 2 @ 0 DEGREES</t>
  </si>
  <si>
    <t>Factored Top of Pile Loads - Idler Zone 2 @ MAX TILT (45 DEGREES ACTUATOR, 55 DEGREES SLEW)</t>
  </si>
  <si>
    <t>Factored Top of Pile Loads - Idler Zone 3 @ MAX TILT (45 DEGREES ACTUATOR, 55 DEGREES SLEW)</t>
  </si>
  <si>
    <t>Factored Top of Pile Loads - Idler Zone 3 @ 0 DEGREES</t>
  </si>
  <si>
    <t>Factored Top of Pile Loads - Idler Zone 5 @ 0 DEGREES</t>
  </si>
  <si>
    <t>Factored Top of Pile Loads - Idler Zone 5 @ MAX TILT (45 DEGREES ACTUATOR, 55 DEGREES SLEW)</t>
  </si>
  <si>
    <t xml:space="preserve"> DRIVE Zone 1 @ 0°</t>
  </si>
  <si>
    <t xml:space="preserve"> DRIVE Zone 1 @ Max Tilt°</t>
  </si>
  <si>
    <t>IDLER Zone 1 @ Max Tilt°</t>
  </si>
  <si>
    <t>IDLER Zone 1 @ 0°</t>
  </si>
  <si>
    <t>IDLER Zone 2 @ 0°</t>
  </si>
  <si>
    <t>IDLER Zone 2 @ Max Tilt°</t>
  </si>
  <si>
    <t>IDLER Zone 3 @ 0°</t>
  </si>
  <si>
    <t>IDLER Zone 3 @ Max Tilt°</t>
  </si>
  <si>
    <t>IDLER Zone 5 @ 0°</t>
  </si>
  <si>
    <t>IDLER Zone 5 @ Max Tilt°</t>
  </si>
  <si>
    <t>W6X20</t>
  </si>
  <si>
    <t xml:space="preserve">Design Life </t>
  </si>
  <si>
    <t>Corrosivity</t>
  </si>
  <si>
    <t>Moderately</t>
  </si>
  <si>
    <t>Galv Thickness</t>
  </si>
  <si>
    <t>mil</t>
  </si>
  <si>
    <t>Years of Galv</t>
  </si>
  <si>
    <t>Metal Loss</t>
  </si>
  <si>
    <t>in</t>
  </si>
  <si>
    <t>Area (A)</t>
  </si>
  <si>
    <t>Moment of Inertia - y (Iy)</t>
  </si>
  <si>
    <t>in^4</t>
  </si>
  <si>
    <t>Depth (d)</t>
  </si>
  <si>
    <t>in^3</t>
  </si>
  <si>
    <t>Web Thickness (tw)</t>
  </si>
  <si>
    <t>Radius of Gyration - y (ry)</t>
  </si>
  <si>
    <t>Flange Thickness (tf)</t>
  </si>
  <si>
    <t>Flange Width (bf)</t>
  </si>
  <si>
    <t>ho</t>
  </si>
  <si>
    <t>Moment of Inertia x (Ix)</t>
  </si>
  <si>
    <t>Effective Radius of Gyration (rts)</t>
  </si>
  <si>
    <t>Elastic Section Modulus x (Sx)</t>
  </si>
  <si>
    <t>Torsional Constant - (J)</t>
  </si>
  <si>
    <t>Radius of Gyration about X (rx)</t>
  </si>
  <si>
    <t>h/tw</t>
  </si>
  <si>
    <t>Wh</t>
  </si>
  <si>
    <t xml:space="preserve">Reveal Height </t>
  </si>
  <si>
    <t xml:space="preserve">Soil Neglect </t>
  </si>
  <si>
    <t xml:space="preserve">Application Height </t>
  </si>
  <si>
    <t xml:space="preserve">Lx </t>
  </si>
  <si>
    <t>Ly</t>
  </si>
  <si>
    <t xml:space="preserve">Axial Slenderness Check </t>
  </si>
  <si>
    <t xml:space="preserve">Flange </t>
  </si>
  <si>
    <t>b/t</t>
  </si>
  <si>
    <t>0.56*sqrt(E/Fy)</t>
  </si>
  <si>
    <t>Web</t>
  </si>
  <si>
    <t>1.49*sqrt(E/Fy)</t>
  </si>
  <si>
    <t xml:space="preserve">Flexure Compaction Check </t>
  </si>
  <si>
    <t xml:space="preserve">Compact/noncompact </t>
  </si>
  <si>
    <t>0.38*sqrt(E/Fy)</t>
  </si>
  <si>
    <t>Noncompact/Slender</t>
  </si>
  <si>
    <t>1.0*sqrt(E/Fy)</t>
  </si>
  <si>
    <t>3.76*sqrt(E/Fy)</t>
  </si>
  <si>
    <t>5.70*dqrt(E/Fy)</t>
  </si>
  <si>
    <t>Section E</t>
  </si>
  <si>
    <t>Non-Slender</t>
  </si>
  <si>
    <t>K=</t>
  </si>
  <si>
    <t>(K*Lx)/rx</t>
  </si>
  <si>
    <t>(K*Ly)/ry</t>
  </si>
  <si>
    <t>Lc/r</t>
  </si>
  <si>
    <t>Fe</t>
  </si>
  <si>
    <t>4.71*sqrt(E/Fy)</t>
  </si>
  <si>
    <t>FcrA</t>
  </si>
  <si>
    <t>ksi</t>
  </si>
  <si>
    <t>Pn</t>
  </si>
  <si>
    <t>kips</t>
  </si>
  <si>
    <t>Slender Elements</t>
  </si>
  <si>
    <r>
      <rPr>
        <sz val="11"/>
        <color theme="1"/>
        <rFont val="Aptos Narrow"/>
        <family val="2"/>
      </rPr>
      <t>λr</t>
    </r>
    <r>
      <rPr>
        <sz val="11"/>
        <color theme="1"/>
        <rFont val="Calibri"/>
        <family val="2"/>
      </rPr>
      <t>*sqrt(Fy/Fcr)</t>
    </r>
  </si>
  <si>
    <t>c1</t>
  </si>
  <si>
    <t>c2</t>
  </si>
  <si>
    <t>Fel</t>
  </si>
  <si>
    <t>be</t>
  </si>
  <si>
    <t>de</t>
  </si>
  <si>
    <t>in^2</t>
  </si>
  <si>
    <t>Ae</t>
  </si>
  <si>
    <r>
      <t>Pn/</t>
    </r>
    <r>
      <rPr>
        <sz val="11"/>
        <color theme="1"/>
        <rFont val="Aptos Narrow"/>
        <family val="2"/>
      </rPr>
      <t>Ω</t>
    </r>
  </si>
  <si>
    <t>Pa</t>
  </si>
  <si>
    <t>Section F - Flexural</t>
  </si>
  <si>
    <t xml:space="preserve">Major Axis </t>
  </si>
  <si>
    <t>F2.1</t>
  </si>
  <si>
    <t xml:space="preserve">Yielding </t>
  </si>
  <si>
    <t>Mp=Fy*Zx</t>
  </si>
  <si>
    <t>k-in</t>
  </si>
  <si>
    <t>F2.2</t>
  </si>
  <si>
    <t>Lateral-Torsional Buckling</t>
  </si>
  <si>
    <t>Lb</t>
  </si>
  <si>
    <t>Lp</t>
  </si>
  <si>
    <t>Lr</t>
  </si>
  <si>
    <t>Cb</t>
  </si>
  <si>
    <t>FcrM</t>
  </si>
  <si>
    <t>Mn</t>
  </si>
  <si>
    <t>F3.2</t>
  </si>
  <si>
    <t xml:space="preserve">Compression Flange Buckling - Non-Compact Flanges </t>
  </si>
  <si>
    <t>Kc</t>
  </si>
  <si>
    <t>F5.1</t>
  </si>
  <si>
    <t>Compression Flnage Yielding - Non-Compact Webs</t>
  </si>
  <si>
    <t>hc</t>
  </si>
  <si>
    <t>aw</t>
  </si>
  <si>
    <t xml:space="preserve">Rpg - Calculated </t>
  </si>
  <si>
    <t>Rpg</t>
  </si>
  <si>
    <t>F5.2</t>
  </si>
  <si>
    <t>Lateral Torsional Bucking - Non Compact Webs</t>
  </si>
  <si>
    <t>rt</t>
  </si>
  <si>
    <t>Fcr</t>
  </si>
  <si>
    <t>F5.3</t>
  </si>
  <si>
    <t xml:space="preserve">Compression Flange Buckling - Non Compact Webs </t>
  </si>
  <si>
    <t xml:space="preserve">Allowable Moment Capacity </t>
  </si>
  <si>
    <r>
      <t>Mn/</t>
    </r>
    <r>
      <rPr>
        <sz val="11"/>
        <color theme="1"/>
        <rFont val="Aptos Narrow"/>
        <family val="2"/>
      </rPr>
      <t>Ω</t>
    </r>
  </si>
  <si>
    <t>Mr</t>
  </si>
  <si>
    <t>F6.1</t>
  </si>
  <si>
    <t xml:space="preserve">Weak Axis Bending </t>
  </si>
  <si>
    <t>Fy*Zy</t>
  </si>
  <si>
    <t>1.6*Fy*Sy</t>
  </si>
  <si>
    <t>K-in</t>
  </si>
  <si>
    <t>Mp</t>
  </si>
  <si>
    <t xml:space="preserve">Chapter G </t>
  </si>
  <si>
    <t>G2.1</t>
  </si>
  <si>
    <t>Shear Design - Strong Axis</t>
  </si>
  <si>
    <t>Aw</t>
  </si>
  <si>
    <t>kv</t>
  </si>
  <si>
    <t>2.24*sqrt(E/Fy)</t>
  </si>
  <si>
    <t xml:space="preserve">Check </t>
  </si>
  <si>
    <t>1.10*sqrt((kv*E)/Fy)</t>
  </si>
  <si>
    <t>Cv_1</t>
  </si>
  <si>
    <r>
      <t>Vn/</t>
    </r>
    <r>
      <rPr>
        <sz val="11"/>
        <color theme="1"/>
        <rFont val="Aptos Narrow"/>
        <family val="2"/>
      </rPr>
      <t>Ω</t>
    </r>
  </si>
  <si>
    <t>kip</t>
  </si>
  <si>
    <t>Va</t>
  </si>
  <si>
    <t>Shear Design - Weak Axis</t>
  </si>
  <si>
    <t>1.37*sqrt((kv*E)/Fy)</t>
  </si>
  <si>
    <t>Cv_2</t>
  </si>
  <si>
    <t>Post Reactions - 0 Degree</t>
  </si>
  <si>
    <t>X - Strong Axis Shear (kip)</t>
  </si>
  <si>
    <t>Y-Axial (kip)</t>
  </si>
  <si>
    <t>Z - Weak Axis Shear (kip)</t>
  </si>
  <si>
    <t>MX - Weak Axis Over Turning (kip-in)</t>
  </si>
  <si>
    <t>MZ-Strong Axis Over Turning (kip-in)</t>
  </si>
  <si>
    <t>Combined Check (H1-1)</t>
  </si>
  <si>
    <t>Post Reactions - 55 Degrees</t>
  </si>
  <si>
    <t>–</t>
  </si>
  <si>
    <t>W6X8.5</t>
  </si>
  <si>
    <t>W6X9</t>
  </si>
  <si>
    <t>W6x10.4</t>
  </si>
  <si>
    <t>W6X12</t>
  </si>
  <si>
    <t>W6X16</t>
  </si>
  <si>
    <t>W6X15</t>
  </si>
  <si>
    <t>W6X25</t>
  </si>
  <si>
    <t>W8X10</t>
  </si>
  <si>
    <t>W8X13</t>
  </si>
  <si>
    <t>W8X15</t>
  </si>
  <si>
    <t>W8X18</t>
  </si>
  <si>
    <t>W8X21</t>
  </si>
  <si>
    <t>W8X24</t>
  </si>
  <si>
    <t>W8X28</t>
  </si>
  <si>
    <t>W8X31</t>
  </si>
  <si>
    <r>
      <t>WG</t>
    </r>
    <r>
      <rPr>
        <b/>
        <i/>
        <vertAlign val="subscript"/>
        <sz val="10"/>
        <rFont val="Arial"/>
        <family val="2"/>
      </rPr>
      <t>i</t>
    </r>
  </si>
  <si>
    <t>T</t>
  </si>
  <si>
    <r>
      <t>P</t>
    </r>
    <r>
      <rPr>
        <b/>
        <i/>
        <vertAlign val="subscript"/>
        <sz val="10"/>
        <rFont val="Arial"/>
        <family val="2"/>
      </rPr>
      <t>D</t>
    </r>
  </si>
  <si>
    <r>
      <t>P</t>
    </r>
    <r>
      <rPr>
        <b/>
        <i/>
        <vertAlign val="subscript"/>
        <sz val="10"/>
        <rFont val="Arial"/>
        <family val="2"/>
      </rPr>
      <t>C</t>
    </r>
  </si>
  <si>
    <r>
      <t>P</t>
    </r>
    <r>
      <rPr>
        <b/>
        <i/>
        <vertAlign val="subscript"/>
        <sz val="10"/>
        <rFont val="Arial"/>
        <family val="2"/>
      </rPr>
      <t>B</t>
    </r>
  </si>
  <si>
    <r>
      <t>P</t>
    </r>
    <r>
      <rPr>
        <b/>
        <i/>
        <vertAlign val="subscript"/>
        <sz val="10"/>
        <rFont val="Arial"/>
        <family val="2"/>
      </rPr>
      <t>A</t>
    </r>
  </si>
  <si>
    <r>
      <t>h</t>
    </r>
    <r>
      <rPr>
        <b/>
        <i/>
        <vertAlign val="subscript"/>
        <sz val="10"/>
        <rFont val="Arial"/>
        <family val="2"/>
      </rPr>
      <t>o</t>
    </r>
  </si>
  <si>
    <r>
      <t>r</t>
    </r>
    <r>
      <rPr>
        <b/>
        <i/>
        <vertAlign val="subscript"/>
        <sz val="10"/>
        <rFont val="Arial"/>
        <family val="2"/>
      </rPr>
      <t>ts</t>
    </r>
  </si>
  <si>
    <r>
      <t>Q</t>
    </r>
    <r>
      <rPr>
        <b/>
        <i/>
        <vertAlign val="subscript"/>
        <sz val="10"/>
        <rFont val="Arial"/>
        <family val="2"/>
      </rPr>
      <t>w</t>
    </r>
  </si>
  <si>
    <r>
      <t>Q</t>
    </r>
    <r>
      <rPr>
        <b/>
        <i/>
        <vertAlign val="subscript"/>
        <sz val="10"/>
        <rFont val="Arial"/>
        <family val="2"/>
      </rPr>
      <t>f</t>
    </r>
  </si>
  <si>
    <r>
      <t>S</t>
    </r>
    <r>
      <rPr>
        <b/>
        <i/>
        <vertAlign val="subscript"/>
        <sz val="10"/>
        <rFont val="Arial"/>
        <family val="2"/>
      </rPr>
      <t>w</t>
    </r>
    <r>
      <rPr>
        <b/>
        <vertAlign val="subscript"/>
        <sz val="10"/>
        <rFont val="Arial"/>
        <family val="2"/>
      </rPr>
      <t>1</t>
    </r>
  </si>
  <si>
    <r>
      <t>W</t>
    </r>
    <r>
      <rPr>
        <b/>
        <i/>
        <vertAlign val="subscript"/>
        <sz val="10"/>
        <rFont val="Arial"/>
        <family val="2"/>
      </rPr>
      <t>no</t>
    </r>
  </si>
  <si>
    <t>C</t>
  </si>
  <si>
    <r>
      <t>C</t>
    </r>
    <r>
      <rPr>
        <b/>
        <i/>
        <vertAlign val="subscript"/>
        <sz val="10"/>
        <rFont val="Arial"/>
        <family val="2"/>
      </rPr>
      <t>w</t>
    </r>
  </si>
  <si>
    <t>J</t>
  </si>
  <si>
    <r>
      <t>r</t>
    </r>
    <r>
      <rPr>
        <b/>
        <i/>
        <vertAlign val="subscript"/>
        <sz val="10"/>
        <rFont val="Arial"/>
        <family val="2"/>
      </rPr>
      <t>y</t>
    </r>
  </si>
  <si>
    <r>
      <t>S</t>
    </r>
    <r>
      <rPr>
        <b/>
        <i/>
        <vertAlign val="subscript"/>
        <sz val="10"/>
        <rFont val="Arial"/>
        <family val="2"/>
      </rPr>
      <t>y</t>
    </r>
  </si>
  <si>
    <r>
      <t>Z</t>
    </r>
    <r>
      <rPr>
        <b/>
        <i/>
        <vertAlign val="subscript"/>
        <sz val="10"/>
        <rFont val="Arial"/>
        <family val="2"/>
      </rPr>
      <t>y</t>
    </r>
  </si>
  <si>
    <r>
      <t>I</t>
    </r>
    <r>
      <rPr>
        <b/>
        <i/>
        <vertAlign val="subscript"/>
        <sz val="10"/>
        <rFont val="Arial"/>
        <family val="2"/>
      </rPr>
      <t>y</t>
    </r>
  </si>
  <si>
    <r>
      <t>r</t>
    </r>
    <r>
      <rPr>
        <b/>
        <i/>
        <vertAlign val="subscript"/>
        <sz val="10"/>
        <rFont val="Arial"/>
        <family val="2"/>
      </rPr>
      <t>x</t>
    </r>
  </si>
  <si>
    <r>
      <t>S</t>
    </r>
    <r>
      <rPr>
        <b/>
        <i/>
        <vertAlign val="subscript"/>
        <sz val="10"/>
        <rFont val="Arial"/>
        <family val="2"/>
      </rPr>
      <t>x</t>
    </r>
  </si>
  <si>
    <r>
      <t>Z</t>
    </r>
    <r>
      <rPr>
        <b/>
        <i/>
        <vertAlign val="subscript"/>
        <sz val="10"/>
        <rFont val="Arial"/>
        <family val="2"/>
      </rPr>
      <t>x</t>
    </r>
  </si>
  <si>
    <r>
      <t>I</t>
    </r>
    <r>
      <rPr>
        <b/>
        <i/>
        <vertAlign val="subscript"/>
        <sz val="10"/>
        <rFont val="Arial"/>
        <family val="2"/>
      </rPr>
      <t>x</t>
    </r>
  </si>
  <si>
    <r>
      <t>h/t</t>
    </r>
    <r>
      <rPr>
        <b/>
        <i/>
        <vertAlign val="subscript"/>
        <sz val="10"/>
        <rFont val="Arial"/>
        <family val="2"/>
      </rPr>
      <t>w</t>
    </r>
  </si>
  <si>
    <r>
      <t>b</t>
    </r>
    <r>
      <rPr>
        <b/>
        <i/>
        <vertAlign val="subscript"/>
        <sz val="10"/>
        <rFont val="Arial"/>
        <family val="2"/>
      </rPr>
      <t>f</t>
    </r>
    <r>
      <rPr>
        <b/>
        <i/>
        <sz val="10"/>
        <rFont val="Arial"/>
        <family val="2"/>
      </rPr>
      <t>/</t>
    </r>
    <r>
      <rPr>
        <b/>
        <sz val="10"/>
        <rFont val="Arial"/>
        <family val="2"/>
      </rPr>
      <t>2</t>
    </r>
    <r>
      <rPr>
        <b/>
        <i/>
        <sz val="10"/>
        <rFont val="Arial"/>
        <family val="2"/>
      </rPr>
      <t>t</t>
    </r>
    <r>
      <rPr>
        <b/>
        <i/>
        <vertAlign val="subscript"/>
        <sz val="10"/>
        <rFont val="Arial"/>
        <family val="2"/>
      </rPr>
      <t>f</t>
    </r>
  </si>
  <si>
    <r>
      <t>k</t>
    </r>
    <r>
      <rPr>
        <b/>
        <vertAlign val="subscript"/>
        <sz val="10"/>
        <rFont val="Arial"/>
        <family val="2"/>
      </rPr>
      <t>1</t>
    </r>
  </si>
  <si>
    <r>
      <t>k</t>
    </r>
    <r>
      <rPr>
        <b/>
        <i/>
        <vertAlign val="subscript"/>
        <sz val="10"/>
        <rFont val="Arial"/>
        <family val="2"/>
      </rPr>
      <t>det</t>
    </r>
  </si>
  <si>
    <r>
      <t>k</t>
    </r>
    <r>
      <rPr>
        <b/>
        <i/>
        <vertAlign val="subscript"/>
        <sz val="10"/>
        <rFont val="Arial"/>
        <family val="2"/>
      </rPr>
      <t>des</t>
    </r>
  </si>
  <si>
    <r>
      <t>t</t>
    </r>
    <r>
      <rPr>
        <b/>
        <i/>
        <vertAlign val="subscript"/>
        <sz val="10"/>
        <rFont val="Arial"/>
        <family val="2"/>
      </rPr>
      <t>fdet</t>
    </r>
  </si>
  <si>
    <r>
      <t>t</t>
    </r>
    <r>
      <rPr>
        <b/>
        <i/>
        <vertAlign val="subscript"/>
        <sz val="10"/>
        <rFont val="Arial"/>
        <family val="2"/>
      </rPr>
      <t>f</t>
    </r>
  </si>
  <si>
    <r>
      <t>t</t>
    </r>
    <r>
      <rPr>
        <b/>
        <i/>
        <vertAlign val="subscript"/>
        <sz val="10"/>
        <rFont val="Arial"/>
        <family val="2"/>
      </rPr>
      <t>wdet</t>
    </r>
    <r>
      <rPr>
        <b/>
        <i/>
        <sz val="10"/>
        <rFont val="Arial"/>
        <family val="2"/>
      </rPr>
      <t>/</t>
    </r>
    <r>
      <rPr>
        <b/>
        <sz val="10"/>
        <rFont val="Arial"/>
        <family val="2"/>
      </rPr>
      <t>2</t>
    </r>
  </si>
  <si>
    <r>
      <t>t</t>
    </r>
    <r>
      <rPr>
        <b/>
        <i/>
        <vertAlign val="subscript"/>
        <sz val="10"/>
        <rFont val="Arial"/>
        <family val="2"/>
      </rPr>
      <t>wdet</t>
    </r>
  </si>
  <si>
    <r>
      <t>t</t>
    </r>
    <r>
      <rPr>
        <b/>
        <i/>
        <vertAlign val="subscript"/>
        <sz val="10"/>
        <rFont val="Arial"/>
        <family val="2"/>
      </rPr>
      <t>w</t>
    </r>
  </si>
  <si>
    <r>
      <t>b</t>
    </r>
    <r>
      <rPr>
        <b/>
        <i/>
        <vertAlign val="subscript"/>
        <sz val="10"/>
        <rFont val="Arial"/>
        <family val="2"/>
      </rPr>
      <t>fdet</t>
    </r>
  </si>
  <si>
    <r>
      <t>b</t>
    </r>
    <r>
      <rPr>
        <b/>
        <i/>
        <vertAlign val="subscript"/>
        <sz val="10"/>
        <rFont val="Arial"/>
        <family val="2"/>
      </rPr>
      <t>f</t>
    </r>
  </si>
  <si>
    <r>
      <t>d</t>
    </r>
    <r>
      <rPr>
        <b/>
        <i/>
        <vertAlign val="subscript"/>
        <sz val="10"/>
        <rFont val="Arial"/>
        <family val="2"/>
      </rPr>
      <t>det</t>
    </r>
  </si>
  <si>
    <t>d</t>
  </si>
  <si>
    <t>A</t>
  </si>
  <si>
    <t>W</t>
  </si>
  <si>
    <t>EDI_Std_Nomenclature</t>
  </si>
  <si>
    <t>ZONE 1 - IDLER - STD</t>
  </si>
  <si>
    <t>ZONE 1 - IDLER - 1' Adder</t>
  </si>
  <si>
    <t>ZONE 1 - IDLER - 2' Adder</t>
  </si>
  <si>
    <t>ZONE 1 - IDLER - 3' Adder</t>
  </si>
  <si>
    <t xml:space="preserve">Profile </t>
  </si>
  <si>
    <t xml:space="preserve">Required Axial  Strength </t>
  </si>
  <si>
    <t>Required Major Flexural Strength</t>
  </si>
  <si>
    <t xml:space="preserve">Require Minor Flexural Strength </t>
  </si>
  <si>
    <t xml:space="preserve">Required Strong Axis Shear Strength </t>
  </si>
  <si>
    <t xml:space="preserve">Required Weak Axis Shear Strength </t>
  </si>
  <si>
    <t>Allowable Axial Strength</t>
  </si>
  <si>
    <t>Allowable Major Flexural Strength</t>
  </si>
  <si>
    <t>Allowable Minor Flexural Strength</t>
  </si>
  <si>
    <t>Allowable Strong Axis Shear Strength</t>
  </si>
  <si>
    <t>Allowable Weak Axis Shear Strength</t>
  </si>
  <si>
    <t>k</t>
  </si>
  <si>
    <t>kip-in</t>
  </si>
  <si>
    <t>Design Summary</t>
  </si>
  <si>
    <t>Maximum Combined Utilization Ratio</t>
  </si>
  <si>
    <t>Section Properties at Design Life</t>
  </si>
  <si>
    <t xml:space="preserve">Section Properties at Design Life </t>
  </si>
  <si>
    <t xml:space="preserve">STD </t>
  </si>
  <si>
    <t xml:space="preserve">1' Adder </t>
  </si>
  <si>
    <t xml:space="preserve">2' Adder </t>
  </si>
  <si>
    <t xml:space="preserve">3' Adeer </t>
  </si>
  <si>
    <t xml:space="preserve">Max Moment Below Grade (Lpile) </t>
  </si>
  <si>
    <t>Allowable Fully Braced Moment</t>
  </si>
  <si>
    <t>Max LPILE Moment (kip-in)</t>
  </si>
  <si>
    <t>Lpile Deflection (in)</t>
  </si>
  <si>
    <t xml:space="preserve">Maximum Top of Pile Deflection </t>
  </si>
  <si>
    <t xml:space="preserve">Max Calculated Deflection </t>
  </si>
  <si>
    <t>E</t>
  </si>
  <si>
    <t>Fy</t>
  </si>
  <si>
    <t xml:space="preserve">Calculated Deflection = </t>
  </si>
  <si>
    <t>ZONE 1 - DRIVE - 3' Adder</t>
  </si>
  <si>
    <t>ZONE 1 - DRIVE - 1' Adder</t>
  </si>
  <si>
    <t>ZONE 1 - DRIVE - STD</t>
  </si>
  <si>
    <t>Section Profile</t>
  </si>
  <si>
    <t>Mildly</t>
  </si>
  <si>
    <t>Highly</t>
  </si>
  <si>
    <t>ZONE 2 - IDLER - STD</t>
  </si>
  <si>
    <t>ZONE 2 - IDLER - 1' Adder</t>
  </si>
  <si>
    <t>ZONE 2 - IDLER - 2' Adder</t>
  </si>
  <si>
    <t>ZONE 2 - IDLER - 3' Adder</t>
  </si>
  <si>
    <t>ZONE 3 - IDLER - STD</t>
  </si>
  <si>
    <t>ZONE 3 - IDLER - 1' Adder</t>
  </si>
  <si>
    <t>ZONE 3 - IDLER - 2' Adder</t>
  </si>
  <si>
    <t>ZONE 3 - IDLER - 3' Adder</t>
  </si>
  <si>
    <t>ZONE 4 - IDLER - STD</t>
  </si>
  <si>
    <t>ZONE 4 - IDLER - 1' Adder</t>
  </si>
  <si>
    <t>ZONE 4 - IDLER - 2' Adder</t>
  </si>
  <si>
    <t>ZONE 4 - IDLER - 3' Adder</t>
  </si>
  <si>
    <t>ZONE 5 - IDLER - STD</t>
  </si>
  <si>
    <t>ZONE 5 - IDLER - 1' Adder</t>
  </si>
  <si>
    <t>ZONE 5 - IDLER - 2' Adder</t>
  </si>
  <si>
    <t>ZONE 5 - IDLER - 3' Adder</t>
  </si>
  <si>
    <t xml:space="preserve">Galv Thickness </t>
  </si>
  <si>
    <t>Effective Length factor, Kx</t>
  </si>
  <si>
    <t>Effective Length factor, Ky</t>
  </si>
  <si>
    <t>Elastic Section Modulus - y (Sy)</t>
  </si>
  <si>
    <t>Plastic Section Modulus - y (Zy)</t>
  </si>
  <si>
    <t>Plastic Section Modulus - X (Zx)</t>
  </si>
  <si>
    <t>Rev</t>
  </si>
  <si>
    <t>1.2.1</t>
  </si>
  <si>
    <t xml:space="preserve">Reason </t>
  </si>
  <si>
    <t>1. Updated spelling and formating errors</t>
  </si>
  <si>
    <t xml:space="preserve">Date </t>
  </si>
  <si>
    <t xml:space="preserve">ENG </t>
  </si>
  <si>
    <t>JRD</t>
  </si>
  <si>
    <t>1.2.2</t>
  </si>
  <si>
    <t>1. Fixed issue with 2' adder section properties</t>
  </si>
  <si>
    <t>Depth Below TOP (ft)</t>
  </si>
  <si>
    <t>Depth below surface (in)</t>
  </si>
  <si>
    <t>1.2.3</t>
  </si>
  <si>
    <t>1. Updated Geotech inputs to automatically caluclate depth below grade (in)
 from depth below pile in feet</t>
  </si>
  <si>
    <t>1.2.4</t>
  </si>
  <si>
    <t>1. Updated title of M3</t>
  </si>
  <si>
    <t>Zone 1</t>
  </si>
  <si>
    <t>Zone 2</t>
  </si>
  <si>
    <t xml:space="preserve">Zone 3 </t>
  </si>
  <si>
    <t>Zone 4</t>
  </si>
  <si>
    <t>Zone 5</t>
  </si>
  <si>
    <t>2.25x0.044</t>
  </si>
  <si>
    <t>2.25x0.055</t>
  </si>
  <si>
    <t>2.25x0.070</t>
  </si>
  <si>
    <t>2.25x0.074</t>
  </si>
  <si>
    <t>3.5x0.055</t>
  </si>
  <si>
    <t>55 Degree Vertical Rail Design</t>
  </si>
  <si>
    <t>Snow Load (lbs)</t>
  </si>
  <si>
    <t xml:space="preserve">Dead Load (lbs) </t>
  </si>
  <si>
    <t>55 Degree Loading</t>
  </si>
  <si>
    <t xml:space="preserve">Maximum (Down) Shear </t>
  </si>
  <si>
    <t xml:space="preserve">Maximum (Downward) Moment </t>
  </si>
  <si>
    <t xml:space="preserve">Shear </t>
  </si>
  <si>
    <t>Moment</t>
  </si>
  <si>
    <t xml:space="preserve">Minimum (Uplift) Shear </t>
  </si>
  <si>
    <t>Minimum (Uplift) Moment</t>
  </si>
  <si>
    <t xml:space="preserve">DL </t>
  </si>
  <si>
    <t>SL2</t>
  </si>
  <si>
    <t>EL2</t>
  </si>
  <si>
    <t>SL3</t>
  </si>
  <si>
    <t>WL2</t>
  </si>
  <si>
    <t>DL2</t>
  </si>
  <si>
    <t>0 Degree Loading</t>
  </si>
  <si>
    <t>0 Degree Vertical Rail Design</t>
  </si>
  <si>
    <t>Factor</t>
  </si>
  <si>
    <t>Yield Strength (Fy)</t>
  </si>
  <si>
    <t>1.Added Vertical rail Loading tool 
2. Chnaged base deisgn to 65 ksi and added this to the print-outs</t>
  </si>
  <si>
    <t>NBCC</t>
  </si>
  <si>
    <t>1.4DL</t>
  </si>
  <si>
    <t>0.9DL + 0.5SL</t>
  </si>
  <si>
    <t>1.25DL + 0.5SL</t>
  </si>
  <si>
    <t>1.25DL + 1.5SL</t>
  </si>
  <si>
    <t>0.9DL + 1.5SL</t>
  </si>
  <si>
    <t>1.25DL + 0.4WL+X</t>
  </si>
  <si>
    <t>1.25DL + 0.4WL-X</t>
  </si>
  <si>
    <t>0.9DL + 0.4WL-X</t>
  </si>
  <si>
    <t>1.25DL + 1.5SL + 0.4WL+X</t>
  </si>
  <si>
    <t>1.25DL + 1.5SL + 0.4WL-X</t>
  </si>
  <si>
    <t>1.25DL + 1.4WL+X</t>
  </si>
  <si>
    <t>1.25DL + 1.4WL+X + 0.5SL</t>
  </si>
  <si>
    <t>1.25DL + 1.4WL-X + 0.5SL</t>
  </si>
  <si>
    <t>1.25DL + 1.4WL-X</t>
  </si>
  <si>
    <t>0.9DL + 1.4WL+X</t>
  </si>
  <si>
    <t>0.9DL + 1.4WL-X</t>
  </si>
  <si>
    <t>0.9DL + 1.5SL + 0.4WL+X</t>
  </si>
  <si>
    <t>0.9DL + 1.5SL + 0.4WL-X</t>
  </si>
  <si>
    <t>0.9DL + 1.4WL+X + 0.5SL</t>
  </si>
  <si>
    <t>0.9DL + 1.4WL-X + 0.5SL</t>
  </si>
  <si>
    <t xml:space="preserve">Vertical Rail </t>
  </si>
  <si>
    <t>Worst Case</t>
  </si>
  <si>
    <t>DL3</t>
  </si>
  <si>
    <t>1.4.1</t>
  </si>
  <si>
    <t>0.9DL + 0.4WL+X</t>
  </si>
  <si>
    <t>DL + 0.7 SL</t>
  </si>
  <si>
    <t>DL + 0.45 OL1 + 0.525 SL + 0.75 LL</t>
  </si>
  <si>
    <t>DL + 0.45 OL2 + 0.525 SL + 0.75 LL</t>
  </si>
  <si>
    <t>DL + 0.7 ELX + 0.7 ELY</t>
  </si>
  <si>
    <t>DL - 0.7 ELX - 0.7 ELY</t>
  </si>
  <si>
    <t>DL + 0.7 ELZ + 0.7 ELY</t>
  </si>
  <si>
    <t>DL - 0.7 ELZ - 0.7 ELY</t>
  </si>
  <si>
    <t>0.6 DL + 0.7 ELX + 0.7 ELY</t>
  </si>
  <si>
    <t>0.6 DL - 0.7 ELX - 0.7 ELY</t>
  </si>
  <si>
    <t>0.6 DL + 0.7 ELZ + 0.7 ELY</t>
  </si>
  <si>
    <t>0.6 DL - 0.7 ELZ - 0.7 ELY</t>
  </si>
  <si>
    <t>Load Combination ASD (ASCE 7-22)</t>
  </si>
  <si>
    <t>1. Added Canadian Vertical Rail tool
2. Added in ASCE 7-22 load combinations</t>
  </si>
  <si>
    <t>DL + 0.45 WL+X + 0.35 SL + 0.75 LL</t>
  </si>
  <si>
    <t>DL + 0.45 WL-X + 0.35 SL + 0.75 LL</t>
  </si>
  <si>
    <t>DL + LL</t>
  </si>
  <si>
    <t>DL + 0..525 SL</t>
  </si>
  <si>
    <t>DL + 0.45 WL+X + 0.525 SL + 0.75 LL</t>
  </si>
  <si>
    <t>DL + 0.45 WL-X + 0.525 SL + 0.75 LL</t>
  </si>
  <si>
    <t>DL + 0.525 ELX + 0.1 SL + 0.75 LL + 0.525 ELY</t>
  </si>
  <si>
    <t>DL - 0.525 ELX + 0.1 SL + 0.75 LL - 0.525 ELY</t>
  </si>
  <si>
    <t>DL + 0.525 ELZ + 0.1 SL + 0.75 LL + 0.525 ELY</t>
  </si>
  <si>
    <t>DL - 0.525 ELZ + 0.1 SL + 0.75 LL - 0.525 ELY</t>
  </si>
  <si>
    <t>1.4.2</t>
  </si>
  <si>
    <t xml:space="preserve">1.Updated ASCE 7-22 LC </t>
  </si>
  <si>
    <t xml:space="preserve">1. Changing Lx,Ly to be braced within "Depth to neglect" zone 
2. Updated summary sheets </t>
  </si>
  <si>
    <t xml:space="preserve">Depth to Neglect </t>
  </si>
  <si>
    <t>Depth added to Unbraced Length (Scour)</t>
  </si>
  <si>
    <t xml:space="preserve">Load Application Height </t>
  </si>
  <si>
    <t xml:space="preserve">Cab Details </t>
  </si>
  <si>
    <t xml:space="preserve">Cab Present </t>
  </si>
  <si>
    <t>No</t>
  </si>
  <si>
    <t xml:space="preserve">Bracket Length </t>
  </si>
  <si>
    <t xml:space="preserve">Vertical Load </t>
  </si>
  <si>
    <t>lb</t>
  </si>
  <si>
    <t xml:space="preserve">Transverse Load </t>
  </si>
  <si>
    <t>Flange/Web</t>
  </si>
  <si>
    <t>Flange</t>
  </si>
  <si>
    <t>Height of Ground</t>
  </si>
  <si>
    <t xml:space="preserve">Cab Loading </t>
  </si>
  <si>
    <t>Eccentricity</t>
  </si>
  <si>
    <t xml:space="preserve">Cab Height </t>
  </si>
  <si>
    <t xml:space="preserve">Moment Created </t>
  </si>
  <si>
    <t>lb-in</t>
  </si>
  <si>
    <t>Resolved Shear at TOP (From Vertical)</t>
  </si>
  <si>
    <t>Strong Axis Shear For Reactions</t>
  </si>
  <si>
    <t xml:space="preserve">Weak Axis Shear For Reactions </t>
  </si>
  <si>
    <t xml:space="preserve">Weak Axis Moment </t>
  </si>
  <si>
    <t xml:space="preserve">Stron Axis Moment </t>
  </si>
  <si>
    <t>Ix</t>
  </si>
  <si>
    <t>Sxt</t>
  </si>
  <si>
    <t>Sxb</t>
  </si>
  <si>
    <t>Zx</t>
  </si>
  <si>
    <t>rx</t>
  </si>
  <si>
    <t>yt</t>
  </si>
  <si>
    <t>yb</t>
  </si>
  <si>
    <t>D</t>
  </si>
  <si>
    <t>Ixy</t>
  </si>
  <si>
    <t>Iy</t>
  </si>
  <si>
    <t>Syt</t>
  </si>
  <si>
    <t>Syb</t>
  </si>
  <si>
    <t>Zy</t>
  </si>
  <si>
    <t>ry</t>
  </si>
  <si>
    <t>B</t>
  </si>
  <si>
    <t>xo</t>
  </si>
  <si>
    <t>yo</t>
  </si>
  <si>
    <t>jx</t>
  </si>
  <si>
    <t>jy</t>
  </si>
  <si>
    <t>I1</t>
  </si>
  <si>
    <t>I2</t>
  </si>
  <si>
    <t>Ic</t>
  </si>
  <si>
    <t>Io</t>
  </si>
  <si>
    <t>R1</t>
  </si>
  <si>
    <t>R2</t>
  </si>
  <si>
    <t>Rc</t>
  </si>
  <si>
    <t>ro</t>
  </si>
  <si>
    <t>Cw</t>
  </si>
  <si>
    <t>t</t>
  </si>
  <si>
    <t>Input</t>
  </si>
  <si>
    <t>Profile</t>
  </si>
  <si>
    <t>Purlin Length (in)</t>
  </si>
  <si>
    <t>Worse Case Check</t>
  </si>
  <si>
    <t>Required Strength</t>
  </si>
  <si>
    <t>Capacity</t>
  </si>
  <si>
    <t>Unity Check</t>
  </si>
  <si>
    <t>Result</t>
  </si>
  <si>
    <t>Strong Axis</t>
  </si>
  <si>
    <t xml:space="preserve">Shear  </t>
  </si>
  <si>
    <t xml:space="preserve">Bending </t>
  </si>
  <si>
    <t>Lx</t>
  </si>
  <si>
    <t xml:space="preserve">Axial </t>
  </si>
  <si>
    <t>Weak Axis</t>
  </si>
  <si>
    <t>Lt</t>
  </si>
  <si>
    <t>Kx</t>
  </si>
  <si>
    <t>Ky</t>
  </si>
  <si>
    <t>Combined Checks</t>
  </si>
  <si>
    <t>Combined Axial Load and Bending</t>
  </si>
  <si>
    <t>Kt</t>
  </si>
  <si>
    <t>Combined Bending and Shear</t>
  </si>
  <si>
    <t>Cbx</t>
  </si>
  <si>
    <t>Cby</t>
  </si>
  <si>
    <t>ex</t>
  </si>
  <si>
    <t>Cmx</t>
  </si>
  <si>
    <t>Cmy</t>
  </si>
  <si>
    <t>ey</t>
  </si>
  <si>
    <t>Lm</t>
  </si>
  <si>
    <t>Shape</t>
  </si>
  <si>
    <t>Length (in)</t>
  </si>
  <si>
    <t>Af</t>
  </si>
  <si>
    <t>Ixf</t>
  </si>
  <si>
    <t>Iyf</t>
  </si>
  <si>
    <t>Ixyf</t>
  </si>
  <si>
    <t>xof</t>
  </si>
  <si>
    <t>yof</t>
  </si>
  <si>
    <t>Cwf</t>
  </si>
  <si>
    <t>Jf</t>
  </si>
  <si>
    <t>hxf</t>
  </si>
  <si>
    <t>Lcrd</t>
  </si>
  <si>
    <t>My</t>
  </si>
  <si>
    <t>Mnl</t>
  </si>
  <si>
    <t>Mnd</t>
  </si>
  <si>
    <t>Shear Y Axis</t>
  </si>
  <si>
    <t>Ay</t>
  </si>
  <si>
    <t>Vy</t>
  </si>
  <si>
    <t>Vcr</t>
  </si>
  <si>
    <t>λv</t>
  </si>
  <si>
    <t>Vn</t>
  </si>
  <si>
    <t>Shear X Axis</t>
  </si>
  <si>
    <t>Ax</t>
  </si>
  <si>
    <t>Vx</t>
  </si>
  <si>
    <t>Vnx</t>
  </si>
  <si>
    <t>xl</t>
  </si>
  <si>
    <t>xr</t>
  </si>
  <si>
    <t>Afy</t>
  </si>
  <si>
    <t>Ixfy</t>
  </si>
  <si>
    <t>Iyfy</t>
  </si>
  <si>
    <t>Ixyfy</t>
  </si>
  <si>
    <t>xofy</t>
  </si>
  <si>
    <t>yofy</t>
  </si>
  <si>
    <t>Cwfy</t>
  </si>
  <si>
    <t>Jfy</t>
  </si>
  <si>
    <t>hxfy</t>
  </si>
  <si>
    <t>Afx</t>
  </si>
  <si>
    <t>Ixfx</t>
  </si>
  <si>
    <t>Iyfx</t>
  </si>
  <si>
    <t>Ixyfx</t>
  </si>
  <si>
    <t>xofx</t>
  </si>
  <si>
    <t>yofx</t>
  </si>
  <si>
    <t>Cwfx</t>
  </si>
  <si>
    <t>Jfx</t>
  </si>
  <si>
    <t>hxfx</t>
  </si>
  <si>
    <t>MEMBER CHECK INPUTS</t>
  </si>
  <si>
    <t>Braced Flange</t>
  </si>
  <si>
    <t>None</t>
  </si>
  <si>
    <t>R</t>
  </si>
  <si>
    <r>
      <t>k</t>
    </r>
    <r>
      <rPr>
        <sz val="11"/>
        <color theme="1"/>
        <rFont val="Aptos Narrow"/>
        <family val="2"/>
      </rPr>
      <t>φ</t>
    </r>
  </si>
  <si>
    <t>P</t>
  </si>
  <si>
    <t>Mx</t>
  </si>
  <si>
    <t>MEMBER CHECK OUTPUT</t>
  </si>
  <si>
    <t>XX</t>
  </si>
  <si>
    <t xml:space="preserve">Double Flange </t>
  </si>
  <si>
    <t>Double Web</t>
  </si>
  <si>
    <t>Section Properties</t>
  </si>
  <si>
    <t>AMD</t>
  </si>
  <si>
    <t>1. Shifting to 50 ksi steel for piles
2. Initial pile design will take place at Year 0, and a follow up analysis takes place at design life
3. Added functional Vertical Rail Loading tool</t>
  </si>
  <si>
    <t>ZONE 1 - DRIVE - 2' Adder</t>
  </si>
  <si>
    <t>Drive Nominal Reveal (ft.)</t>
  </si>
  <si>
    <t xml:space="preserve">Idler Nominal Reveal (ft.) </t>
  </si>
  <si>
    <t>Serviceability Factor</t>
  </si>
  <si>
    <t>1.6.1</t>
  </si>
  <si>
    <t>1. Changed Yr 40 code check to serviceabiltiy check with an adjustable FOS on the cover sheet</t>
  </si>
  <si>
    <t xml:space="preserve">JRD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</si>
</sst>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"/>
    <numFmt numFmtId="165" formatCode="#,##0.000"/>
    <numFmt numFmtId="166" formatCode="0.00000"/>
    <numFmt numFmtId="167" formatCode="0.000000000"/>
    <numFmt numFmtId="168" formatCode="0.0000"/>
    <numFmt numFmtId="169" formatCode="0.000000"/>
    <numFmt numFmtId="170" formatCode="0.0000000"/>
    <numFmt numFmtId="171" formatCode="0.00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sz val="11"/>
      <color theme="1"/>
      <name val="Aptos Narrow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b/>
      <vertAlign val="subscript"/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7E22CE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Aptos Narrow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FFFF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642D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9">
    <xf numFmtId="0" fontId="0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8" borderId="26" applyNumberFormat="0" applyAlignment="0" applyProtection="0"/>
    <xf numFmtId="0" fontId="11" fillId="9" borderId="26" applyNumberFormat="0" applyAlignment="0" applyProtection="0"/>
  </cellStyleXfs>
  <cellXfs count="506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9" fontId="0" fillId="0" borderId="0" xfId="0" applyNumberForma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0" fontId="5" fillId="0" borderId="0" xfId="1" applyFont="1" applyAlignment="1">
      <alignment horizontal="left"/>
    </xf>
    <xf numFmtId="0" fontId="5" fillId="0" borderId="0" xfId="1" applyFont="1" applyAlignment="1" applyProtection="1">
      <alignment horizontal="left"/>
      <protection locked="0"/>
    </xf>
    <xf numFmtId="0" fontId="0" fillId="0" borderId="19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3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 applyAlignment="1">
      <alignment horizontal="center" vertical="center"/>
    </xf>
    <xf numFmtId="3" fontId="0" fillId="0" borderId="22" xfId="0" applyNumberFormat="1" applyBorder="1" applyAlignment="1">
      <alignment horizontal="center"/>
    </xf>
    <xf numFmtId="3" fontId="0" fillId="0" borderId="23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5" xfId="0" applyNumberFormat="1" applyBorder="1" applyAlignment="1">
      <alignment horizontal="center"/>
    </xf>
    <xf numFmtId="0" fontId="0" fillId="0" borderId="1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22" xfId="0" applyBorder="1" applyAlignment="1">
      <alignment horizontal="left"/>
    </xf>
    <xf numFmtId="0" fontId="0" fillId="0" borderId="21" xfId="0" applyBorder="1" applyAlignment="1">
      <alignment horizontal="center"/>
    </xf>
    <xf numFmtId="3" fontId="0" fillId="0" borderId="4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9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7" fillId="2" borderId="0" xfId="0" applyFont="1" applyFill="1" applyAlignment="1" applyProtection="1">
      <alignment horizontal="center"/>
      <protection hidden="1"/>
    </xf>
    <xf numFmtId="0" fontId="7" fillId="0" borderId="0" xfId="0" applyFont="1" applyAlignment="1">
      <alignment horizontal="center"/>
    </xf>
    <xf numFmtId="3" fontId="0" fillId="0" borderId="21" xfId="0" applyNumberFormat="1" applyBorder="1" applyAlignment="1">
      <alignment horizontal="center"/>
    </xf>
    <xf numFmtId="0" fontId="9" fillId="0" borderId="0" xfId="1" applyFont="1" applyAlignment="1">
      <alignment horizontal="left"/>
    </xf>
    <xf numFmtId="0" fontId="7" fillId="0" borderId="0" xfId="0" applyFont="1"/>
    <xf numFmtId="0" fontId="0" fillId="0" borderId="24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2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2" xfId="0" applyBorder="1" applyAlignment="1">
      <alignment horizontal="center"/>
    </xf>
    <xf numFmtId="0" fontId="14" fillId="0" borderId="0" xfId="1" applyFont="1" applyAlignment="1">
      <alignment horizontal="left"/>
    </xf>
    <xf numFmtId="0" fontId="8" fillId="0" borderId="0" xfId="0" applyFont="1"/>
    <xf numFmtId="0" fontId="14" fillId="0" borderId="0" xfId="1" applyFont="1" applyAlignment="1" applyProtection="1">
      <alignment horizontal="left"/>
      <protection locked="0"/>
    </xf>
    <xf numFmtId="0" fontId="14" fillId="0" borderId="0" xfId="1" applyFont="1" applyProtection="1">
      <protection locked="0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14" fillId="0" borderId="0" xfId="1" applyFont="1"/>
    <xf numFmtId="0" fontId="11" fillId="9" borderId="1" xfId="38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1" fillId="9" borderId="6" xfId="38" applyBorder="1" applyAlignment="1">
      <alignment horizontal="center" vertical="center"/>
    </xf>
    <xf numFmtId="0" fontId="14" fillId="0" borderId="8" xfId="1" applyFont="1" applyBorder="1" applyAlignment="1">
      <alignment horizontal="center" vertical="center"/>
    </xf>
    <xf numFmtId="0" fontId="14" fillId="0" borderId="10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4" fillId="0" borderId="2" xfId="1" applyFont="1" applyBorder="1" applyAlignment="1">
      <alignment horizontal="center" vertical="center"/>
    </xf>
    <xf numFmtId="0" fontId="14" fillId="0" borderId="11" xfId="1" applyFont="1" applyBorder="1" applyAlignment="1">
      <alignment horizontal="center" vertical="center"/>
    </xf>
    <xf numFmtId="0" fontId="11" fillId="9" borderId="1" xfId="38" applyBorder="1"/>
    <xf numFmtId="0" fontId="12" fillId="0" borderId="23" xfId="0" applyFont="1" applyBorder="1" applyAlignment="1">
      <alignment horizontal="center" vertical="center"/>
    </xf>
    <xf numFmtId="0" fontId="11" fillId="9" borderId="5" xfId="38" applyBorder="1"/>
    <xf numFmtId="0" fontId="14" fillId="10" borderId="21" xfId="1" applyFont="1" applyFill="1" applyBorder="1" applyAlignment="1">
      <alignment horizontal="center" vertical="center"/>
    </xf>
    <xf numFmtId="0" fontId="14" fillId="10" borderId="22" xfId="1" applyFont="1" applyFill="1" applyBorder="1" applyAlignment="1">
      <alignment horizontal="center" vertical="center"/>
    </xf>
    <xf numFmtId="0" fontId="12" fillId="10" borderId="22" xfId="0" applyFont="1" applyFill="1" applyBorder="1" applyAlignment="1">
      <alignment horizontal="center" vertical="center"/>
    </xf>
    <xf numFmtId="0" fontId="15" fillId="0" borderId="1" xfId="37" applyFont="1" applyFill="1" applyBorder="1" applyAlignment="1">
      <alignment horizontal="center" vertical="center"/>
    </xf>
    <xf numFmtId="0" fontId="15" fillId="0" borderId="6" xfId="37" applyFont="1" applyFill="1" applyBorder="1" applyAlignment="1">
      <alignment horizontal="center" vertical="center"/>
    </xf>
    <xf numFmtId="0" fontId="1" fillId="11" borderId="21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7" borderId="19" xfId="0" applyFont="1" applyFill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1" fillId="9" borderId="27" xfId="38" applyBorder="1" applyAlignment="1">
      <alignment horizontal="center" vertical="center"/>
    </xf>
    <xf numFmtId="0" fontId="11" fillId="9" borderId="29" xfId="38" applyBorder="1" applyAlignment="1">
      <alignment horizontal="center" vertical="center"/>
    </xf>
    <xf numFmtId="0" fontId="12" fillId="10" borderId="23" xfId="0" applyFont="1" applyFill="1" applyBorder="1" applyAlignment="1">
      <alignment horizontal="center" vertical="center"/>
    </xf>
    <xf numFmtId="0" fontId="15" fillId="0" borderId="5" xfId="37" applyFont="1" applyFill="1" applyBorder="1" applyAlignment="1">
      <alignment horizontal="center" vertical="center"/>
    </xf>
    <xf numFmtId="0" fontId="15" fillId="0" borderId="7" xfId="37" applyFont="1" applyFill="1" applyBorder="1" applyAlignment="1">
      <alignment horizontal="center" vertical="center"/>
    </xf>
    <xf numFmtId="0" fontId="8" fillId="10" borderId="21" xfId="0" applyFont="1" applyFill="1" applyBorder="1" applyAlignment="1">
      <alignment horizontal="center" vertical="center"/>
    </xf>
    <xf numFmtId="0" fontId="8" fillId="10" borderId="19" xfId="0" applyFont="1" applyFill="1" applyBorder="1" applyAlignment="1">
      <alignment horizontal="center" vertical="center"/>
    </xf>
    <xf numFmtId="0" fontId="15" fillId="0" borderId="0" xfId="37" applyFont="1" applyFill="1" applyBorder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/>
    <xf numFmtId="0" fontId="5" fillId="0" borderId="0" xfId="1" applyFont="1" applyAlignment="1">
      <alignment horizontal="right"/>
    </xf>
    <xf numFmtId="0" fontId="5" fillId="0" borderId="0" xfId="1" applyFont="1" applyProtection="1">
      <protection locked="0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15" xfId="0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0" fontId="1" fillId="0" borderId="19" xfId="0" applyFont="1" applyBorder="1"/>
    <xf numFmtId="0" fontId="16" fillId="0" borderId="0" xfId="0" applyFont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1" fillId="0" borderId="4" xfId="0" applyFont="1" applyBorder="1"/>
    <xf numFmtId="0" fontId="0" fillId="2" borderId="0" xfId="0" applyFill="1" applyAlignment="1">
      <alignment horizontal="center"/>
    </xf>
    <xf numFmtId="2" fontId="0" fillId="0" borderId="23" xfId="0" applyNumberFormat="1" applyBorder="1" applyAlignment="1">
      <alignment horizontal="center"/>
    </xf>
    <xf numFmtId="4" fontId="0" fillId="0" borderId="31" xfId="0" applyNumberFormat="1" applyBorder="1" applyAlignment="1">
      <alignment horizontal="center"/>
    </xf>
    <xf numFmtId="3" fontId="0" fillId="0" borderId="31" xfId="0" applyNumberFormat="1" applyBorder="1" applyAlignment="1">
      <alignment horizontal="center"/>
    </xf>
    <xf numFmtId="3" fontId="0" fillId="0" borderId="32" xfId="0" applyNumberFormat="1" applyBorder="1" applyAlignment="1">
      <alignment horizontal="center"/>
    </xf>
    <xf numFmtId="0" fontId="1" fillId="0" borderId="21" xfId="0" applyFont="1" applyBorder="1"/>
    <xf numFmtId="0" fontId="1" fillId="0" borderId="33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2" fontId="0" fillId="0" borderId="22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19" xfId="0" applyBorder="1" applyAlignment="1">
      <alignment horizontal="right"/>
    </xf>
    <xf numFmtId="4" fontId="0" fillId="0" borderId="5" xfId="0" applyNumberFormat="1" applyBorder="1" applyAlignment="1">
      <alignment horizontal="center"/>
    </xf>
    <xf numFmtId="0" fontId="0" fillId="0" borderId="4" xfId="0" applyBorder="1" applyAlignment="1">
      <alignment horizontal="right"/>
    </xf>
    <xf numFmtId="165" fontId="0" fillId="0" borderId="5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0" fontId="0" fillId="0" borderId="21" xfId="0" applyBorder="1" applyAlignment="1">
      <alignment horizontal="right"/>
    </xf>
    <xf numFmtId="2" fontId="0" fillId="0" borderId="6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4" fontId="0" fillId="0" borderId="41" xfId="0" applyNumberFormat="1" applyBorder="1" applyAlignment="1">
      <alignment horizontal="center"/>
    </xf>
    <xf numFmtId="0" fontId="0" fillId="0" borderId="32" xfId="0" applyBorder="1" applyAlignment="1">
      <alignment horizontal="right"/>
    </xf>
    <xf numFmtId="0" fontId="0" fillId="0" borderId="2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15" borderId="0" xfId="0" applyFill="1"/>
    <xf numFmtId="4" fontId="0" fillId="0" borderId="43" xfId="0" applyNumberFormat="1" applyBorder="1" applyAlignment="1">
      <alignment horizontal="center"/>
    </xf>
    <xf numFmtId="4" fontId="0" fillId="0" borderId="7" xfId="0" applyNumberFormat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0" borderId="45" xfId="0" applyFont="1" applyBorder="1"/>
    <xf numFmtId="0" fontId="1" fillId="0" borderId="42" xfId="0" applyFont="1" applyBorder="1"/>
    <xf numFmtId="0" fontId="1" fillId="0" borderId="46" xfId="0" applyFont="1" applyBorder="1"/>
    <xf numFmtId="0" fontId="18" fillId="0" borderId="8" xfId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0" fillId="0" borderId="10" xfId="0" applyBorder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18" fillId="0" borderId="20" xfId="1" applyFont="1" applyBorder="1" applyAlignment="1">
      <alignment horizontal="center" vertical="center"/>
    </xf>
    <xf numFmtId="0" fontId="0" fillId="0" borderId="15" xfId="0" applyBorder="1"/>
    <xf numFmtId="0" fontId="18" fillId="0" borderId="2" xfId="1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11" xfId="0" applyBorder="1"/>
    <xf numFmtId="0" fontId="0" fillId="0" borderId="9" xfId="0" applyBorder="1" applyAlignment="1">
      <alignment horizontal="center"/>
    </xf>
    <xf numFmtId="0" fontId="0" fillId="17" borderId="9" xfId="0" applyFill="1" applyBorder="1"/>
    <xf numFmtId="0" fontId="0" fillId="0" borderId="10" xfId="0" applyBorder="1"/>
    <xf numFmtId="166" fontId="0" fillId="0" borderId="0" xfId="0" applyNumberFormat="1" applyAlignment="1">
      <alignment horizontal="center"/>
    </xf>
    <xf numFmtId="0" fontId="0" fillId="17" borderId="0" xfId="0" applyFill="1"/>
    <xf numFmtId="0" fontId="0" fillId="16" borderId="0" xfId="0" applyFill="1"/>
    <xf numFmtId="0" fontId="0" fillId="16" borderId="3" xfId="0" applyFill="1" applyBorder="1" applyAlignment="1">
      <alignment horizontal="center"/>
    </xf>
    <xf numFmtId="0" fontId="0" fillId="17" borderId="3" xfId="0" applyFill="1" applyBorder="1"/>
    <xf numFmtId="0" fontId="0" fillId="18" borderId="0" xfId="0" applyFill="1"/>
    <xf numFmtId="2" fontId="0" fillId="0" borderId="0" xfId="0" applyNumberFormat="1"/>
    <xf numFmtId="0" fontId="17" fillId="0" borderId="0" xfId="0" applyFont="1"/>
    <xf numFmtId="4" fontId="0" fillId="0" borderId="0" xfId="0" applyNumberFormat="1"/>
    <xf numFmtId="0" fontId="0" fillId="5" borderId="0" xfId="0" applyFill="1"/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8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10" fontId="0" fillId="0" borderId="23" xfId="0" applyNumberFormat="1" applyBorder="1"/>
    <xf numFmtId="10" fontId="0" fillId="0" borderId="5" xfId="0" applyNumberFormat="1" applyBorder="1"/>
    <xf numFmtId="10" fontId="0" fillId="0" borderId="7" xfId="0" applyNumberFormat="1" applyBorder="1"/>
    <xf numFmtId="13" fontId="4" fillId="0" borderId="0" xfId="0" applyNumberFormat="1" applyFont="1"/>
    <xf numFmtId="0" fontId="4" fillId="0" borderId="0" xfId="0" applyFont="1"/>
    <xf numFmtId="13" fontId="15" fillId="0" borderId="0" xfId="0" applyNumberFormat="1" applyFont="1"/>
    <xf numFmtId="0" fontId="15" fillId="0" borderId="0" xfId="0" applyFont="1"/>
    <xf numFmtId="13" fontId="15" fillId="0" borderId="0" xfId="0" applyNumberFormat="1" applyFont="1" applyAlignment="1">
      <alignment horizontal="center" vertical="center"/>
    </xf>
    <xf numFmtId="13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4" fillId="0" borderId="0" xfId="0" applyNumberFormat="1" applyFont="1" applyAlignment="1" applyProtection="1">
      <alignment horizontal="center" vertical="center"/>
      <protection locked="0"/>
    </xf>
    <xf numFmtId="2" fontId="4" fillId="0" borderId="0" xfId="0" applyNumberFormat="1" applyFont="1" applyAlignment="1" applyProtection="1">
      <alignment horizontal="center"/>
      <protection locked="0"/>
    </xf>
    <xf numFmtId="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3" fontId="20" fillId="0" borderId="50" xfId="0" applyNumberFormat="1" applyFont="1" applyBorder="1" applyAlignment="1">
      <alignment horizontal="center"/>
    </xf>
    <xf numFmtId="0" fontId="20" fillId="0" borderId="50" xfId="0" applyFont="1" applyBorder="1" applyAlignment="1">
      <alignment horizontal="center"/>
    </xf>
    <xf numFmtId="13" fontId="20" fillId="0" borderId="50" xfId="0" applyNumberFormat="1" applyFont="1" applyBorder="1" applyAlignment="1">
      <alignment horizontal="center" vertical="center"/>
    </xf>
    <xf numFmtId="0" fontId="23" fillId="0" borderId="50" xfId="0" applyFont="1" applyBorder="1" applyAlignment="1">
      <alignment horizontal="center"/>
    </xf>
    <xf numFmtId="0" fontId="0" fillId="0" borderId="8" xfId="0" applyBorder="1"/>
    <xf numFmtId="0" fontId="0" fillId="0" borderId="20" xfId="0" applyBorder="1"/>
    <xf numFmtId="0" fontId="0" fillId="0" borderId="2" xfId="0" applyBorder="1"/>
    <xf numFmtId="0" fontId="0" fillId="0" borderId="10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8" xfId="0" applyBorder="1" applyAlignment="1">
      <alignment horizontal="center"/>
    </xf>
    <xf numFmtId="2" fontId="0" fillId="0" borderId="9" xfId="0" applyNumberFormat="1" applyBorder="1"/>
    <xf numFmtId="0" fontId="0" fillId="0" borderId="8" xfId="0" applyBorder="1" applyAlignment="1">
      <alignment horizontal="left"/>
    </xf>
    <xf numFmtId="0" fontId="0" fillId="0" borderId="20" xfId="0" applyBorder="1" applyAlignment="1">
      <alignment horizontal="left"/>
    </xf>
    <xf numFmtId="2" fontId="0" fillId="0" borderId="9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3" xfId="0" applyBorder="1" applyAlignment="1">
      <alignment horizontal="left"/>
    </xf>
    <xf numFmtId="10" fontId="0" fillId="0" borderId="3" xfId="0" applyNumberFormat="1" applyBorder="1" applyAlignment="1">
      <alignment horizontal="center"/>
    </xf>
    <xf numFmtId="0" fontId="0" fillId="0" borderId="21" xfId="0" applyBorder="1"/>
    <xf numFmtId="0" fontId="8" fillId="0" borderId="23" xfId="0" applyFont="1" applyBorder="1"/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4" xfId="0" applyBorder="1"/>
    <xf numFmtId="0" fontId="8" fillId="0" borderId="5" xfId="0" applyFont="1" applyBorder="1"/>
    <xf numFmtId="0" fontId="0" fillId="0" borderId="19" xfId="0" applyBorder="1"/>
    <xf numFmtId="0" fontId="1" fillId="0" borderId="0" xfId="0" applyFont="1" applyAlignment="1">
      <alignment horizontal="center"/>
    </xf>
    <xf numFmtId="0" fontId="0" fillId="0" borderId="1" xfId="0" applyBorder="1"/>
    <xf numFmtId="0" fontId="24" fillId="0" borderId="1" xfId="0" applyFont="1" applyBorder="1"/>
    <xf numFmtId="0" fontId="0" fillId="0" borderId="23" xfId="0" applyBorder="1"/>
    <xf numFmtId="0" fontId="0" fillId="0" borderId="7" xfId="0" applyBorder="1"/>
    <xf numFmtId="0" fontId="0" fillId="0" borderId="6" xfId="0" applyBorder="1"/>
    <xf numFmtId="0" fontId="0" fillId="0" borderId="37" xfId="0" applyBorder="1" applyAlignment="1">
      <alignment horizontal="center"/>
    </xf>
    <xf numFmtId="0" fontId="0" fillId="0" borderId="37" xfId="0" applyBorder="1"/>
    <xf numFmtId="0" fontId="0" fillId="0" borderId="36" xfId="0" applyBorder="1"/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51" xfId="0" applyBorder="1" applyAlignment="1">
      <alignment horizontal="center" vertical="center"/>
    </xf>
    <xf numFmtId="0" fontId="0" fillId="0" borderId="51" xfId="0" applyBorder="1" applyAlignment="1">
      <alignment horizontal="center" vertical="center" wrapText="1"/>
    </xf>
    <xf numFmtId="0" fontId="0" fillId="0" borderId="2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2" xfId="0" applyBorder="1" applyAlignment="1">
      <alignment horizontal="left"/>
    </xf>
    <xf numFmtId="3" fontId="0" fillId="0" borderId="28" xfId="0" applyNumberFormat="1" applyBorder="1" applyAlignment="1">
      <alignment horizontal="center"/>
    </xf>
    <xf numFmtId="3" fontId="0" fillId="0" borderId="27" xfId="0" applyNumberFormat="1" applyBorder="1" applyAlignment="1">
      <alignment horizontal="center"/>
    </xf>
    <xf numFmtId="3" fontId="0" fillId="0" borderId="29" xfId="0" applyNumberFormat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28" xfId="0" applyBorder="1" applyAlignment="1">
      <alignment horizontal="center"/>
    </xf>
    <xf numFmtId="2" fontId="27" fillId="0" borderId="0" xfId="0" applyNumberFormat="1" applyFont="1"/>
    <xf numFmtId="11" fontId="0" fillId="0" borderId="0" xfId="0" applyNumberFormat="1"/>
    <xf numFmtId="167" fontId="0" fillId="0" borderId="0" xfId="0" applyNumberFormat="1"/>
    <xf numFmtId="0" fontId="19" fillId="0" borderId="0" xfId="0" applyFont="1"/>
    <xf numFmtId="164" fontId="0" fillId="0" borderId="0" xfId="0" applyNumberFormat="1"/>
    <xf numFmtId="168" fontId="0" fillId="0" borderId="0" xfId="0" applyNumberFormat="1"/>
    <xf numFmtId="169" fontId="0" fillId="0" borderId="0" xfId="0" applyNumberFormat="1"/>
    <xf numFmtId="166" fontId="0" fillId="0" borderId="0" xfId="0" applyNumberFormat="1"/>
    <xf numFmtId="170" fontId="0" fillId="0" borderId="0" xfId="0" applyNumberFormat="1"/>
    <xf numFmtId="0" fontId="0" fillId="6" borderId="2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0" fillId="8" borderId="23" xfId="37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0" fillId="8" borderId="7" xfId="37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1" xfId="0" applyBorder="1"/>
    <xf numFmtId="0" fontId="0" fillId="13" borderId="38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3" borderId="38" xfId="0" applyFill="1" applyBorder="1"/>
    <xf numFmtId="0" fontId="0" fillId="13" borderId="33" xfId="0" applyFill="1" applyBorder="1"/>
    <xf numFmtId="0" fontId="0" fillId="0" borderId="51" xfId="0" applyBorder="1" applyAlignment="1">
      <alignment horizontal="center"/>
    </xf>
    <xf numFmtId="0" fontId="0" fillId="0" borderId="51" xfId="0" applyBorder="1"/>
    <xf numFmtId="171" fontId="0" fillId="0" borderId="34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8" xfId="0" applyBorder="1"/>
    <xf numFmtId="0" fontId="0" fillId="0" borderId="43" xfId="0" applyBorder="1" applyAlignment="1">
      <alignment horizontal="center"/>
    </xf>
    <xf numFmtId="0" fontId="0" fillId="0" borderId="51" xfId="0" applyBorder="1" applyAlignment="1">
      <alignment horizontal="left"/>
    </xf>
    <xf numFmtId="171" fontId="0" fillId="0" borderId="22" xfId="0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0" fontId="17" fillId="0" borderId="4" xfId="0" applyFont="1" applyBorder="1"/>
    <xf numFmtId="167" fontId="0" fillId="0" borderId="5" xfId="0" applyNumberFormat="1" applyBorder="1"/>
    <xf numFmtId="0" fontId="0" fillId="0" borderId="57" xfId="0" applyBorder="1"/>
    <xf numFmtId="0" fontId="0" fillId="0" borderId="16" xfId="0" applyBorder="1"/>
    <xf numFmtId="0" fontId="19" fillId="0" borderId="4" xfId="0" applyFont="1" applyBorder="1"/>
    <xf numFmtId="0" fontId="0" fillId="0" borderId="12" xfId="0" applyBorder="1"/>
    <xf numFmtId="170" fontId="0" fillId="0" borderId="5" xfId="0" applyNumberFormat="1" applyBorder="1"/>
    <xf numFmtId="0" fontId="19" fillId="0" borderId="40" xfId="0" applyFont="1" applyBorder="1"/>
    <xf numFmtId="0" fontId="19" fillId="0" borderId="19" xfId="0" applyFont="1" applyBorder="1"/>
    <xf numFmtId="0" fontId="17" fillId="0" borderId="19" xfId="0" applyFont="1" applyBorder="1"/>
    <xf numFmtId="0" fontId="17" fillId="0" borderId="21" xfId="0" applyFont="1" applyBorder="1"/>
    <xf numFmtId="11" fontId="0" fillId="0" borderId="5" xfId="0" applyNumberFormat="1" applyBorder="1"/>
    <xf numFmtId="0" fontId="0" fillId="0" borderId="32" xfId="0" applyBorder="1"/>
    <xf numFmtId="0" fontId="0" fillId="0" borderId="41" xfId="0" applyBorder="1" applyAlignment="1">
      <alignment horizontal="center"/>
    </xf>
    <xf numFmtId="171" fontId="0" fillId="0" borderId="5" xfId="0" applyNumberFormat="1" applyBorder="1" applyAlignment="1">
      <alignment horizontal="center"/>
    </xf>
    <xf numFmtId="171" fontId="0" fillId="0" borderId="0" xfId="0" applyNumberFormat="1"/>
    <xf numFmtId="171" fontId="0" fillId="0" borderId="38" xfId="0" applyNumberFormat="1" applyBorder="1" applyAlignment="1">
      <alignment horizontal="center"/>
    </xf>
    <xf numFmtId="171" fontId="0" fillId="0" borderId="44" xfId="0" applyNumberFormat="1" applyBorder="1" applyAlignment="1">
      <alignment horizontal="center"/>
    </xf>
    <xf numFmtId="171" fontId="0" fillId="0" borderId="51" xfId="0" applyNumberFormat="1" applyBorder="1" applyAlignment="1">
      <alignment horizontal="center" vertical="center"/>
    </xf>
    <xf numFmtId="171" fontId="0" fillId="0" borderId="2" xfId="0" applyNumberFormat="1" applyBorder="1" applyAlignment="1">
      <alignment horizontal="center"/>
    </xf>
    <xf numFmtId="171" fontId="0" fillId="0" borderId="59" xfId="0" applyNumberFormat="1" applyBorder="1" applyAlignment="1">
      <alignment horizontal="center"/>
    </xf>
    <xf numFmtId="171" fontId="10" fillId="8" borderId="5" xfId="37" applyNumberFormat="1" applyBorder="1" applyAlignment="1">
      <alignment horizontal="center"/>
    </xf>
    <xf numFmtId="0" fontId="10" fillId="8" borderId="5" xfId="37" applyBorder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2" fillId="13" borderId="17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23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5" fillId="0" borderId="3" xfId="1" applyFont="1" applyBorder="1" applyAlignment="1">
      <alignment horizontal="left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7" fillId="2" borderId="0" xfId="0" applyFont="1" applyFill="1" applyAlignment="1" applyProtection="1">
      <alignment horizontal="right"/>
      <protection hidden="1"/>
    </xf>
    <xf numFmtId="0" fontId="0" fillId="16" borderId="9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20" xfId="0" applyFill="1" applyBorder="1" applyAlignment="1">
      <alignment horizontal="center"/>
    </xf>
    <xf numFmtId="0" fontId="0" fillId="16" borderId="2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42" xfId="0" applyFill="1" applyBorder="1" applyAlignment="1">
      <alignment horizontal="center" vertical="center"/>
    </xf>
    <xf numFmtId="0" fontId="0" fillId="16" borderId="53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2" fillId="16" borderId="45" xfId="0" applyFont="1" applyFill="1" applyBorder="1" applyAlignment="1">
      <alignment horizontal="center" vertical="center"/>
    </xf>
    <xf numFmtId="0" fontId="2" fillId="16" borderId="55" xfId="0" applyFont="1" applyFill="1" applyBorder="1" applyAlignment="1">
      <alignment horizontal="center" vertical="center"/>
    </xf>
    <xf numFmtId="0" fontId="2" fillId="16" borderId="52" xfId="0" applyFon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1" fillId="0" borderId="38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5" fillId="0" borderId="0" xfId="1" applyFont="1" applyAlignment="1">
      <alignment horizontal="left"/>
    </xf>
    <xf numFmtId="0" fontId="5" fillId="0" borderId="0" xfId="1" applyFont="1" applyAlignment="1" applyProtection="1">
      <alignment horizontal="left"/>
      <protection locked="0"/>
    </xf>
    <xf numFmtId="0" fontId="0" fillId="0" borderId="15" xfId="0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6" fillId="19" borderId="8" xfId="0" applyFont="1" applyFill="1" applyBorder="1" applyAlignment="1">
      <alignment horizontal="center" vertical="center"/>
    </xf>
    <xf numFmtId="0" fontId="6" fillId="19" borderId="10" xfId="0" applyFont="1" applyFill="1" applyBorder="1" applyAlignment="1">
      <alignment horizontal="center" vertical="center"/>
    </xf>
    <xf numFmtId="0" fontId="6" fillId="19" borderId="2" xfId="0" applyFont="1" applyFill="1" applyBorder="1" applyAlignment="1">
      <alignment horizontal="center" vertical="center"/>
    </xf>
    <xf numFmtId="0" fontId="6" fillId="19" borderId="11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29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6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4" borderId="38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3" borderId="38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29" fillId="0" borderId="38" xfId="0" applyFont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28" fillId="0" borderId="38" xfId="0" applyFont="1" applyBorder="1" applyAlignment="1">
      <alignment horizontal="center"/>
    </xf>
    <xf numFmtId="0" fontId="17" fillId="0" borderId="36" xfId="0" applyFont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44" xfId="0" applyBorder="1" applyAlignment="1">
      <alignment horizontal="center"/>
    </xf>
    <xf numFmtId="0" fontId="0" fillId="0" borderId="13" xfId="0" applyBorder="1" applyAlignment="1">
      <alignment horizontal="left" vertical="center"/>
    </xf>
    <xf numFmtId="0" fontId="0" fillId="0" borderId="56" xfId="0" applyBorder="1" applyAlignment="1">
      <alignment horizontal="left" vertical="center"/>
    </xf>
    <xf numFmtId="0" fontId="0" fillId="0" borderId="45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13" borderId="38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24" fillId="0" borderId="38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27" xfId="0" applyBorder="1" applyAlignment="1">
      <alignment horizont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3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14" borderId="8" xfId="0" applyFont="1" applyFill="1" applyBorder="1" applyAlignment="1">
      <alignment horizontal="center" vertical="center"/>
    </xf>
    <xf numFmtId="0" fontId="2" fillId="14" borderId="9" xfId="0" applyFont="1" applyFill="1" applyBorder="1" applyAlignment="1">
      <alignment horizontal="center" vertical="center"/>
    </xf>
    <xf numFmtId="0" fontId="2" fillId="14" borderId="10" xfId="0" applyFont="1" applyFill="1" applyBorder="1" applyAlignment="1">
      <alignment horizontal="center" vertical="center"/>
    </xf>
    <xf numFmtId="0" fontId="0" fillId="14" borderId="11" xfId="0" applyFill="1" applyBorder="1" applyAlignment="1">
      <alignment horizontal="center" vertic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5" borderId="38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5" borderId="36" xfId="0" applyFont="1" applyFill="1" applyBorder="1" applyAlignment="1">
      <alignment horizontal="center"/>
    </xf>
    <xf numFmtId="0" fontId="1" fillId="7" borderId="38" xfId="0" applyFont="1" applyFill="1" applyBorder="1" applyAlignment="1">
      <alignment horizontal="center"/>
    </xf>
    <xf numFmtId="0" fontId="1" fillId="7" borderId="37" xfId="0" applyFont="1" applyFill="1" applyBorder="1" applyAlignment="1">
      <alignment horizontal="center"/>
    </xf>
    <xf numFmtId="0" fontId="1" fillId="7" borderId="36" xfId="0" applyFont="1" applyFill="1" applyBorder="1" applyAlignment="1">
      <alignment horizontal="center"/>
    </xf>
    <xf numFmtId="0" fontId="1" fillId="3" borderId="38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36" xfId="0" applyFont="1" applyFill="1" applyBorder="1" applyAlignment="1">
      <alignment horizontal="center"/>
    </xf>
    <xf numFmtId="0" fontId="1" fillId="14" borderId="38" xfId="0" applyFont="1" applyFill="1" applyBorder="1" applyAlignment="1">
      <alignment horizontal="center"/>
    </xf>
    <xf numFmtId="0" fontId="1" fillId="14" borderId="37" xfId="0" applyFont="1" applyFill="1" applyBorder="1" applyAlignment="1">
      <alignment horizontal="center"/>
    </xf>
    <xf numFmtId="0" fontId="1" fillId="14" borderId="9" xfId="0" applyFont="1" applyFill="1" applyBorder="1" applyAlignment="1">
      <alignment horizontal="center"/>
    </xf>
    <xf numFmtId="0" fontId="1" fillId="14" borderId="10" xfId="0" applyFont="1" applyFill="1" applyBorder="1" applyAlignment="1">
      <alignment horizontal="center"/>
    </xf>
    <xf numFmtId="0" fontId="1" fillId="14" borderId="36" xfId="0" applyFont="1" applyFill="1" applyBorder="1" applyAlignment="1">
      <alignment horizontal="center"/>
    </xf>
    <xf numFmtId="0" fontId="1" fillId="4" borderId="3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36" xfId="0" applyFont="1" applyFill="1" applyBorder="1" applyAlignment="1">
      <alignment horizontal="center"/>
    </xf>
  </cellXfs>
  <cellStyles count="39">
    <cellStyle name="Calculation" xfId="38" builtinId="22"/>
    <cellStyle name="Comma 2" xfId="2" xr:uid="{00000000-0005-0000-0000-000000000000}"/>
    <cellStyle name="Input" xfId="37" builtinId="20"/>
    <cellStyle name="Normal" xfId="0" builtinId="0"/>
    <cellStyle name="Normal 2" xfId="1" xr:uid="{00000000-0005-0000-0000-000002000000}"/>
    <cellStyle name="Normal 3" xfId="3" xr:uid="{00000000-0005-0000-0000-000003000000}"/>
    <cellStyle name="Normal 3 10" xfId="4" xr:uid="{00000000-0005-0000-0000-000004000000}"/>
    <cellStyle name="Normal 3 11" xfId="5" xr:uid="{00000000-0005-0000-0000-000005000000}"/>
    <cellStyle name="Normal 3 12" xfId="6" xr:uid="{00000000-0005-0000-0000-000006000000}"/>
    <cellStyle name="Normal 3 13" xfId="7" xr:uid="{00000000-0005-0000-0000-000007000000}"/>
    <cellStyle name="Normal 3 14" xfId="8" xr:uid="{00000000-0005-0000-0000-000008000000}"/>
    <cellStyle name="Normal 3 15" xfId="9" xr:uid="{00000000-0005-0000-0000-000009000000}"/>
    <cellStyle name="Normal 3 16" xfId="10" xr:uid="{00000000-0005-0000-0000-00000A000000}"/>
    <cellStyle name="Normal 3 17" xfId="11" xr:uid="{00000000-0005-0000-0000-00000B000000}"/>
    <cellStyle name="Normal 3 2" xfId="12" xr:uid="{00000000-0005-0000-0000-00000C000000}"/>
    <cellStyle name="Normal 3 3" xfId="13" xr:uid="{00000000-0005-0000-0000-00000D000000}"/>
    <cellStyle name="Normal 3 4" xfId="14" xr:uid="{00000000-0005-0000-0000-00000E000000}"/>
    <cellStyle name="Normal 3 5" xfId="15" xr:uid="{00000000-0005-0000-0000-00000F000000}"/>
    <cellStyle name="Normal 3 6" xfId="16" xr:uid="{00000000-0005-0000-0000-000010000000}"/>
    <cellStyle name="Normal 3 7" xfId="17" xr:uid="{00000000-0005-0000-0000-000011000000}"/>
    <cellStyle name="Normal 3 8" xfId="18" xr:uid="{00000000-0005-0000-0000-000012000000}"/>
    <cellStyle name="Normal 3 9" xfId="19" xr:uid="{00000000-0005-0000-0000-000013000000}"/>
    <cellStyle name="Normal 4" xfId="20" xr:uid="{00000000-0005-0000-0000-000014000000}"/>
    <cellStyle name="Normal 4 10" xfId="21" xr:uid="{00000000-0005-0000-0000-000015000000}"/>
    <cellStyle name="Normal 4 11" xfId="22" xr:uid="{00000000-0005-0000-0000-000016000000}"/>
    <cellStyle name="Normal 4 12" xfId="23" xr:uid="{00000000-0005-0000-0000-000017000000}"/>
    <cellStyle name="Normal 4 13" xfId="24" xr:uid="{00000000-0005-0000-0000-000018000000}"/>
    <cellStyle name="Normal 4 14" xfId="25" xr:uid="{00000000-0005-0000-0000-000019000000}"/>
    <cellStyle name="Normal 4 15" xfId="26" xr:uid="{00000000-0005-0000-0000-00001A000000}"/>
    <cellStyle name="Normal 4 16" xfId="27" xr:uid="{00000000-0005-0000-0000-00001B000000}"/>
    <cellStyle name="Normal 4 17" xfId="28" xr:uid="{00000000-0005-0000-0000-00001C000000}"/>
    <cellStyle name="Normal 4 2" xfId="29" xr:uid="{00000000-0005-0000-0000-00001D000000}"/>
    <cellStyle name="Normal 4 3" xfId="30" xr:uid="{00000000-0005-0000-0000-00001E000000}"/>
    <cellStyle name="Normal 4 4" xfId="31" xr:uid="{00000000-0005-0000-0000-00001F000000}"/>
    <cellStyle name="Normal 4 5" xfId="32" xr:uid="{00000000-0005-0000-0000-000020000000}"/>
    <cellStyle name="Normal 4 6" xfId="33" xr:uid="{00000000-0005-0000-0000-000021000000}"/>
    <cellStyle name="Normal 4 7" xfId="34" xr:uid="{00000000-0005-0000-0000-000022000000}"/>
    <cellStyle name="Normal 4 8" xfId="35" xr:uid="{00000000-0005-0000-0000-000023000000}"/>
    <cellStyle name="Normal 4 9" xfId="36" xr:uid="{00000000-0005-0000-0000-000024000000}"/>
  </cellStyles>
  <dxfs count="53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strike val="0"/>
        <color rgb="FF00B050"/>
      </font>
    </dxf>
    <dxf>
      <font>
        <color rgb="FFFF0000"/>
      </font>
    </dxf>
    <dxf>
      <font>
        <strike val="0"/>
        <color rgb="FF00B05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642D"/>
      <color rgb="FF00FFFF"/>
      <color rgb="FFFFFF66"/>
      <color rgb="FF990000"/>
      <color rgb="FF000099"/>
      <color rgb="FF3366CC"/>
      <color rgb="FFA6C1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787584</xdr:colOff>
      <xdr:row>25</xdr:row>
      <xdr:rowOff>65479</xdr:rowOff>
    </xdr:from>
    <xdr:to>
      <xdr:col>12</xdr:col>
      <xdr:colOff>493059</xdr:colOff>
      <xdr:row>41</xdr:row>
      <xdr:rowOff>12458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205DC1-F02C-FA8E-8806-DF7C5F4A0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62025" y="5018479"/>
          <a:ext cx="5689416" cy="2977423"/>
        </a:xfrm>
        <a:prstGeom prst="rect">
          <a:avLst/>
        </a:prstGeom>
      </xdr:spPr>
    </xdr:pic>
    <xdr:clientData/>
  </xdr:twoCellAnchor>
  <xdr:twoCellAnchor editAs="oneCell">
    <xdr:from>
      <xdr:col>6</xdr:col>
      <xdr:colOff>1001247</xdr:colOff>
      <xdr:row>1</xdr:row>
      <xdr:rowOff>32496</xdr:rowOff>
    </xdr:from>
    <xdr:to>
      <xdr:col>7</xdr:col>
      <xdr:colOff>1668155</xdr:colOff>
      <xdr:row>4</xdr:row>
      <xdr:rowOff>178215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6FC3B9-2C3D-4CEF-88EF-DAE1E1A6D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4512" y="234202"/>
          <a:ext cx="2874467" cy="768392"/>
        </a:xfrm>
        <a:prstGeom prst="rect">
          <a:avLst/>
        </a:prstGeom>
      </xdr:spPr>
    </xdr:pic>
    <xdr:clientData/>
  </xdr:twoCellAnchor>
  <xdr:twoCellAnchor editAs="oneCell">
    <xdr:from>
      <xdr:col>5</xdr:col>
      <xdr:colOff>235324</xdr:colOff>
      <xdr:row>4</xdr:row>
      <xdr:rowOff>198295</xdr:rowOff>
    </xdr:from>
    <xdr:to>
      <xdr:col>7</xdr:col>
      <xdr:colOff>27268</xdr:colOff>
      <xdr:row>21</xdr:row>
      <xdr:rowOff>126918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B1ACC92-C1CD-4E01-B03A-F4473032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6236" y="1005119"/>
          <a:ext cx="2678206" cy="329524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485775</xdr:colOff>
      <xdr:row>1</xdr:row>
      <xdr:rowOff>133350</xdr:rowOff>
    </xdr:from>
    <xdr:to>
      <xdr:col>7</xdr:col>
      <xdr:colOff>480331</xdr:colOff>
      <xdr:row>5</xdr:row>
      <xdr:rowOff>94919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2141496-D5EF-45BC-9CBA-31D4EEB81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333375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425824</xdr:colOff>
      <xdr:row>26</xdr:row>
      <xdr:rowOff>134470</xdr:rowOff>
    </xdr:from>
    <xdr:to>
      <xdr:col>7</xdr:col>
      <xdr:colOff>2105008</xdr:colOff>
      <xdr:row>51</xdr:row>
      <xdr:rowOff>120569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45590E9-D0C9-F658-A15B-FF87FDE44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795" y="5233146"/>
          <a:ext cx="3886742" cy="478221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56030</xdr:colOff>
      <xdr:row>42</xdr:row>
      <xdr:rowOff>139124</xdr:rowOff>
    </xdr:from>
    <xdr:to>
      <xdr:col>4</xdr:col>
      <xdr:colOff>493061</xdr:colOff>
      <xdr:row>58</xdr:row>
      <xdr:rowOff>140579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DBA5EDB-C957-4602-B59C-2C44FCE9F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1148" y="8319418"/>
          <a:ext cx="5827060" cy="30494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176893</xdr:colOff>
      <xdr:row>1</xdr:row>
      <xdr:rowOff>108857</xdr:rowOff>
    </xdr:from>
    <xdr:to>
      <xdr:col>9</xdr:col>
      <xdr:colOff>340178</xdr:colOff>
      <xdr:row>4</xdr:row>
      <xdr:rowOff>177197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D20BCF7-905C-4CCB-97BF-54282848D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0036" y="299357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206555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BB198-FF9C-4440-871F-668A560CC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8721" y="17769568"/>
          <a:ext cx="2867024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52EAA-1BD0-489A-B5B4-58EE4250E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888817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F9BD17A-4C93-40F8-A048-D509D48042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745760</xdr:colOff>
      <xdr:row>245</xdr:row>
      <xdr:rowOff>127304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44E5124-1AE8-4457-A5E8-31D4EC2C7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176893</xdr:colOff>
      <xdr:row>1</xdr:row>
      <xdr:rowOff>108857</xdr:rowOff>
    </xdr:from>
    <xdr:to>
      <xdr:col>9</xdr:col>
      <xdr:colOff>340178</xdr:colOff>
      <xdr:row>4</xdr:row>
      <xdr:rowOff>177197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9A06CFB-4901-4236-B55C-5AE882B00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68793" y="299357"/>
          <a:ext cx="2868385" cy="754140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206555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D79EAB-B2AB-405C-AE19-0B39D1AC7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2721" y="17569543"/>
          <a:ext cx="2870834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669E47C-D936-4784-930B-C7EB29D0D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3557" y="27957236"/>
          <a:ext cx="2861581" cy="76874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888817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655D533-E4B7-4DBD-9F8F-FB72E55B8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44200" y="38338126"/>
          <a:ext cx="2870017" cy="78298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745760</xdr:colOff>
      <xdr:row>245</xdr:row>
      <xdr:rowOff>127304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07D92A0-19FF-49FA-BCEC-86D829CAF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8128" y="47224950"/>
          <a:ext cx="2863032" cy="821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734786</xdr:colOff>
      <xdr:row>1</xdr:row>
      <xdr:rowOff>81643</xdr:rowOff>
    </xdr:from>
    <xdr:to>
      <xdr:col>9</xdr:col>
      <xdr:colOff>361042</xdr:colOff>
      <xdr:row>4</xdr:row>
      <xdr:rowOff>149348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727CA8A-D46B-4FE8-8CBD-8F5192B1A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9036" y="272143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612320</xdr:colOff>
      <xdr:row>92</xdr:row>
      <xdr:rowOff>57908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FBB41CB-350A-4058-84DF-340CE1CD1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964" y="17594036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9</xdr:col>
      <xdr:colOff>216443</xdr:colOff>
      <xdr:row>146</xdr:row>
      <xdr:rowOff>40490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282518-A489-4359-B95F-3DFAC827C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8607" y="27500036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1292677</xdr:colOff>
      <xdr:row>195</xdr:row>
      <xdr:rowOff>173116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7EEB-EBAD-4AC4-9664-AFE1D9FB6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50" y="37269965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1162955</xdr:colOff>
      <xdr:row>245</xdr:row>
      <xdr:rowOff>63896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5371561-CD1F-4EE8-9C7D-E91A08A1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3178" y="46876607"/>
          <a:ext cx="2871106" cy="76166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734786</xdr:colOff>
      <xdr:row>1</xdr:row>
      <xdr:rowOff>81643</xdr:rowOff>
    </xdr:from>
    <xdr:to>
      <xdr:col>9</xdr:col>
      <xdr:colOff>361042</xdr:colOff>
      <xdr:row>4</xdr:row>
      <xdr:rowOff>149348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44A3B0-E5B6-46C7-94B8-2C8DFF23CE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69336" y="272143"/>
          <a:ext cx="2845706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612320</xdr:colOff>
      <xdr:row>92</xdr:row>
      <xdr:rowOff>57908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77539DC-C9D4-43AA-8B6D-B07F71C08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08821" y="18245818"/>
          <a:ext cx="2857499" cy="757315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9</xdr:col>
      <xdr:colOff>216443</xdr:colOff>
      <xdr:row>146</xdr:row>
      <xdr:rowOff>40490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C5252C-59C6-4FF0-9EEE-0D6C97628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9657" y="28633511"/>
          <a:ext cx="2850786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1292677</xdr:colOff>
      <xdr:row>195</xdr:row>
      <xdr:rowOff>173116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82FD962-EF5D-4F0A-9EE0-F6FE30271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20300" y="38338126"/>
          <a:ext cx="2854777" cy="76366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1162955</xdr:colOff>
      <xdr:row>245</xdr:row>
      <xdr:rowOff>63896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732F17C-D166-47A4-A29C-4348FBE4E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4228" y="47891700"/>
          <a:ext cx="2861127" cy="74969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353785</xdr:colOff>
      <xdr:row>1</xdr:row>
      <xdr:rowOff>136072</xdr:rowOff>
    </xdr:from>
    <xdr:to>
      <xdr:col>9</xdr:col>
      <xdr:colOff>513261</xdr:colOff>
      <xdr:row>4</xdr:row>
      <xdr:rowOff>199332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C7F3B3-B367-4747-9AAB-3B82877F0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6928" y="326572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198301</xdr:colOff>
      <xdr:row>92</xdr:row>
      <xdr:rowOff>73147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C16132-B0B7-4B0E-93A0-161183ABD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8721" y="17769568"/>
          <a:ext cx="2867024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2387C2D-E905-4FA1-BB9D-1E9F482DD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885007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8FA9148-B0C8-484A-B945-128423EFD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749570</xdr:colOff>
      <xdr:row>245</xdr:row>
      <xdr:rowOff>88660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B001810-6E1F-46DD-815A-AB9FB2F98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353785</xdr:colOff>
      <xdr:row>1</xdr:row>
      <xdr:rowOff>136072</xdr:rowOff>
    </xdr:from>
    <xdr:to>
      <xdr:col>9</xdr:col>
      <xdr:colOff>513260</xdr:colOff>
      <xdr:row>4</xdr:row>
      <xdr:rowOff>199332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972A941-AD62-4303-AC81-18EF27CF8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07535" y="326572"/>
          <a:ext cx="2864575" cy="749060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198300</xdr:colOff>
      <xdr:row>92</xdr:row>
      <xdr:rowOff>73147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C43CCB-D979-4AA2-A586-FEA687A1B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4571" y="17560018"/>
          <a:ext cx="2862579" cy="772554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24B70F2-0B1B-440D-9B1E-EF89AF260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5407" y="27947711"/>
          <a:ext cx="2861581" cy="76874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885007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D380897-7DC8-4334-8BB6-CA434650F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38328601"/>
          <a:ext cx="2866207" cy="78298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749570</xdr:colOff>
      <xdr:row>245</xdr:row>
      <xdr:rowOff>88660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2B7A940-C4D5-438C-A0DF-8359ED2E4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9978" y="47882175"/>
          <a:ext cx="2866842" cy="77446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272142</xdr:colOff>
      <xdr:row>1</xdr:row>
      <xdr:rowOff>81642</xdr:rowOff>
    </xdr:from>
    <xdr:to>
      <xdr:col>9</xdr:col>
      <xdr:colOff>439237</xdr:colOff>
      <xdr:row>4</xdr:row>
      <xdr:rowOff>149347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07A5DF-3BE4-437E-BA1B-5686D9788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5285" y="272142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206555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349476C-6626-4123-8BD3-55D398A11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8721" y="17769568"/>
          <a:ext cx="2867024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3ED79C-313A-4625-B7B1-41738266F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888182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B46FD62-252E-4F0F-BE1E-684BF4BCB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743220</xdr:colOff>
      <xdr:row>245</xdr:row>
      <xdr:rowOff>85484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E90230D-5F07-4FDB-86D1-6B94A46A4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272142</xdr:colOff>
      <xdr:row>1</xdr:row>
      <xdr:rowOff>81642</xdr:rowOff>
    </xdr:from>
    <xdr:to>
      <xdr:col>9</xdr:col>
      <xdr:colOff>439237</xdr:colOff>
      <xdr:row>4</xdr:row>
      <xdr:rowOff>149347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A06D8F-7697-4B90-83E3-DBE2E03EE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5892" y="272142"/>
          <a:ext cx="2872195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206555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C36D3E5-C9FA-42DD-A38D-EBF782819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4571" y="17569543"/>
          <a:ext cx="2870834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CC8080A-B2FB-4EED-986F-B590241B6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5407" y="27957236"/>
          <a:ext cx="2861581" cy="76874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888182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CD6526D-2C80-41BC-B614-FBD67962C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38338126"/>
          <a:ext cx="2869382" cy="787430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743220</xdr:colOff>
      <xdr:row>245</xdr:row>
      <xdr:rowOff>85484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B73FA07-BDB0-43FE-A139-A79E3648C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9978" y="47891700"/>
          <a:ext cx="2860492" cy="77128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231322</xdr:colOff>
      <xdr:row>1</xdr:row>
      <xdr:rowOff>163286</xdr:rowOff>
    </xdr:from>
    <xdr:to>
      <xdr:col>9</xdr:col>
      <xdr:colOff>391432</xdr:colOff>
      <xdr:row>4</xdr:row>
      <xdr:rowOff>230991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628885D-318B-4AE1-BA58-E5AEDF21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4465" y="353786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199570</xdr:colOff>
      <xdr:row>92</xdr:row>
      <xdr:rowOff>73146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155A3A3-F1FE-4399-B771-D7E0969C3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8721" y="17769568"/>
          <a:ext cx="2867024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951C33-E0CF-4C7F-9243-CD787AA6B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886277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FAB85BC-9BC7-4C06-85EB-B510FB3D5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750205</xdr:colOff>
      <xdr:row>245</xdr:row>
      <xdr:rowOff>83579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053D361-5804-45BF-ADE7-7A6DE0624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231322</xdr:colOff>
      <xdr:row>1</xdr:row>
      <xdr:rowOff>163286</xdr:rowOff>
    </xdr:from>
    <xdr:to>
      <xdr:col>9</xdr:col>
      <xdr:colOff>391432</xdr:colOff>
      <xdr:row>5</xdr:row>
      <xdr:rowOff>2391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987BFB-9762-4314-8CA2-09B70A476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85072" y="353786"/>
          <a:ext cx="2865210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199570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822485-B5D7-46BA-AA69-7804D3B9D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4571" y="17569543"/>
          <a:ext cx="2863849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22FCBC-759B-4496-BA1C-B62400484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5407" y="27957236"/>
          <a:ext cx="2861581" cy="77255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886277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AB81C1-1710-45B2-8ADE-D9AAD8DBD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37957126"/>
          <a:ext cx="2867477" cy="78298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750205</xdr:colOff>
      <xdr:row>245</xdr:row>
      <xdr:rowOff>83579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74026B8-E0ED-41C6-93A4-2388EE979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9978" y="47510700"/>
          <a:ext cx="2867477" cy="7693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244928</xdr:colOff>
      <xdr:row>1</xdr:row>
      <xdr:rowOff>163285</xdr:rowOff>
    </xdr:from>
    <xdr:to>
      <xdr:col>9</xdr:col>
      <xdr:colOff>402496</xdr:colOff>
      <xdr:row>4</xdr:row>
      <xdr:rowOff>230990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90F0220-4523-4A0A-97EC-D05AC7DB3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18071" y="353785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210363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8B6E019-7CCC-432D-A9EE-3A2047293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8721" y="17769568"/>
          <a:ext cx="2867024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734B4DF-474D-46F5-A98C-C25C6B9EE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892627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319CF8D-E763-4F93-B583-5D07409A5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736235</xdr:colOff>
      <xdr:row>245</xdr:row>
      <xdr:rowOff>92469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D782296-3C47-43DE-88FA-5BE9AC9D0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309563</xdr:colOff>
      <xdr:row>4</xdr:row>
      <xdr:rowOff>119062</xdr:rowOff>
    </xdr:from>
    <xdr:ext cx="2871106" cy="761669"/>
    <xdr:pic>
      <xdr:nvPicPr>
        <xdr:cNvPr id="2" name="Picture 1">
          <a:extLst>
            <a:ext uri="{FF2B5EF4-FFF2-40B4-BE49-F238E27FC236}">
              <a16:creationId xmlns:a16="http://schemas.microsoft.com/office/drawing/2014/main" id="{FE3C104E-25AE-4BB2-851E-3BC8BFDDB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1344" y="904875"/>
          <a:ext cx="2871106" cy="761669"/>
        </a:xfrm>
        <a:prstGeom prst="rect">
          <a:avLst/>
        </a:prstGeom>
      </xdr:spPr>
    </xdr:pic>
    <xdr:clientData/>
  </xdr:oneCellAnchor>
  <xdr:oneCellAnchor>
    <xdr:from>
      <xdr:col>7</xdr:col>
      <xdr:colOff>547687</xdr:colOff>
      <xdr:row>72</xdr:row>
      <xdr:rowOff>59532</xdr:rowOff>
    </xdr:from>
    <xdr:ext cx="2871106" cy="761669"/>
    <xdr:pic>
      <xdr:nvPicPr>
        <xdr:cNvPr id="3" name="Picture 2">
          <a:extLst>
            <a:ext uri="{FF2B5EF4-FFF2-40B4-BE49-F238E27FC236}">
              <a16:creationId xmlns:a16="http://schemas.microsoft.com/office/drawing/2014/main" id="{B996D90E-D3B5-49B2-B79B-7C6A911D9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4887" y="13775532"/>
          <a:ext cx="2871106" cy="761669"/>
        </a:xfrm>
        <a:prstGeom prst="rect">
          <a:avLst/>
        </a:prstGeom>
      </xdr:spPr>
    </xdr:pic>
    <xdr:clientData/>
  </xdr:oneCellAnchor>
  <xdr:oneCellAnchor>
    <xdr:from>
      <xdr:col>22</xdr:col>
      <xdr:colOff>547687</xdr:colOff>
      <xdr:row>72</xdr:row>
      <xdr:rowOff>59532</xdr:rowOff>
    </xdr:from>
    <xdr:ext cx="2871106" cy="761669"/>
    <xdr:pic>
      <xdr:nvPicPr>
        <xdr:cNvPr id="5" name="Picture 4">
          <a:extLst>
            <a:ext uri="{FF2B5EF4-FFF2-40B4-BE49-F238E27FC236}">
              <a16:creationId xmlns:a16="http://schemas.microsoft.com/office/drawing/2014/main" id="{7907B058-6A4E-4E0F-91E9-234D308A9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8968" y="13930313"/>
          <a:ext cx="2871106" cy="761669"/>
        </a:xfrm>
        <a:prstGeom prst="rect">
          <a:avLst/>
        </a:prstGeom>
      </xdr:spPr>
    </xdr:pic>
    <xdr:clientData/>
  </xdr:oneCellAnchor>
  <xdr:oneCellAnchor>
    <xdr:from>
      <xdr:col>22</xdr:col>
      <xdr:colOff>309563</xdr:colOff>
      <xdr:row>3</xdr:row>
      <xdr:rowOff>178594</xdr:rowOff>
    </xdr:from>
    <xdr:ext cx="2871106" cy="761669"/>
    <xdr:pic>
      <xdr:nvPicPr>
        <xdr:cNvPr id="6" name="Picture 5">
          <a:extLst>
            <a:ext uri="{FF2B5EF4-FFF2-40B4-BE49-F238E27FC236}">
              <a16:creationId xmlns:a16="http://schemas.microsoft.com/office/drawing/2014/main" id="{E6B04F35-677E-4ACC-96D8-BC03C4F31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80844" y="773907"/>
          <a:ext cx="2871106" cy="761669"/>
        </a:xfrm>
        <a:prstGeom prst="rect">
          <a:avLst/>
        </a:prstGeom>
      </xdr:spPr>
    </xdr:pic>
    <xdr:clientData/>
  </xdr:oneCellAnchor>
  <xdr:oneCellAnchor>
    <xdr:from>
      <xdr:col>37</xdr:col>
      <xdr:colOff>547687</xdr:colOff>
      <xdr:row>72</xdr:row>
      <xdr:rowOff>59532</xdr:rowOff>
    </xdr:from>
    <xdr:ext cx="2871106" cy="761669"/>
    <xdr:pic>
      <xdr:nvPicPr>
        <xdr:cNvPr id="8" name="Picture 7">
          <a:extLst>
            <a:ext uri="{FF2B5EF4-FFF2-40B4-BE49-F238E27FC236}">
              <a16:creationId xmlns:a16="http://schemas.microsoft.com/office/drawing/2014/main" id="{4E5199C9-F47C-4610-A7D8-DDE62BB94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8968" y="13930313"/>
          <a:ext cx="2871106" cy="761669"/>
        </a:xfrm>
        <a:prstGeom prst="rect">
          <a:avLst/>
        </a:prstGeom>
      </xdr:spPr>
    </xdr:pic>
    <xdr:clientData/>
  </xdr:oneCellAnchor>
  <xdr:oneCellAnchor>
    <xdr:from>
      <xdr:col>52</xdr:col>
      <xdr:colOff>547687</xdr:colOff>
      <xdr:row>72</xdr:row>
      <xdr:rowOff>59532</xdr:rowOff>
    </xdr:from>
    <xdr:ext cx="2871106" cy="761669"/>
    <xdr:pic>
      <xdr:nvPicPr>
        <xdr:cNvPr id="10" name="Picture 9">
          <a:extLst>
            <a:ext uri="{FF2B5EF4-FFF2-40B4-BE49-F238E27FC236}">
              <a16:creationId xmlns:a16="http://schemas.microsoft.com/office/drawing/2014/main" id="{EEE73417-64A3-4A8F-9DF0-7230A79E2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25218" y="13930313"/>
          <a:ext cx="2871106" cy="761669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244928</xdr:colOff>
      <xdr:row>1</xdr:row>
      <xdr:rowOff>163285</xdr:rowOff>
    </xdr:from>
    <xdr:to>
      <xdr:col>9</xdr:col>
      <xdr:colOff>402497</xdr:colOff>
      <xdr:row>5</xdr:row>
      <xdr:rowOff>2390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A33B43-FB0C-48A6-961A-2BCA493F9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2003" y="353785"/>
          <a:ext cx="2862669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210364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8C4A7E3-3054-4F69-B714-A7170CA6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7896" y="17569543"/>
          <a:ext cx="2874643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84D3662-89C7-45E7-8F70-903E0E65F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38732" y="27957236"/>
          <a:ext cx="2861581" cy="77255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892627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2CF4917-6D15-4FCC-8B32-F5DBFD6E8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9375" y="38338126"/>
          <a:ext cx="2873827" cy="787430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736235</xdr:colOff>
      <xdr:row>245</xdr:row>
      <xdr:rowOff>92469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FB4FBC7-64CF-4A8B-9A55-6555ED6C9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03303" y="47891700"/>
          <a:ext cx="2853507" cy="7782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FBE61-5825-4747-BE16-5DD7CA5039CC}">
  <sheetPr codeName="Sheet50">
    <pageSetUpPr fitToPage="1"/>
  </sheetPr>
  <dimension ref="B1:AA41"/>
  <sheetViews>
    <sheetView showGridLines="0" view="pageBreakPreview" zoomScale="85" zoomScaleNormal="100" zoomScaleSheetLayoutView="85" workbookViewId="0">
      <selection activeCell="R13" sqref="R13"/>
    </sheetView>
  </sheetViews>
  <sheetFormatPr defaultRowHeight="15" x14ac:dyDescent="0.25"/>
  <cols>
    <col min="2" max="2" width="24.7109375" bestFit="1" customWidth="1"/>
    <col min="3" max="3" width="30.7109375" customWidth="1"/>
    <col min="4" max="4" width="27.7109375" bestFit="1" customWidth="1"/>
    <col min="5" max="5" width="13.42578125" bestFit="1" customWidth="1"/>
    <col min="6" max="6" width="10" bestFit="1" customWidth="1"/>
    <col min="7" max="8" width="33.28515625" bestFit="1" customWidth="1"/>
    <col min="9" max="10" width="28.7109375" hidden="1" customWidth="1"/>
    <col min="11" max="11" width="11.7109375" hidden="1" customWidth="1"/>
    <col min="12" max="12" width="11.28515625" hidden="1" customWidth="1"/>
    <col min="17" max="17" width="39.28515625" bestFit="1" customWidth="1"/>
  </cols>
  <sheetData>
    <row r="1" spans="2:27" ht="15.75" thickBot="1" x14ac:dyDescent="0.3"/>
    <row r="2" spans="2:27" ht="16.5" thickBot="1" x14ac:dyDescent="0.3">
      <c r="B2" s="66" t="s">
        <v>14</v>
      </c>
      <c r="C2" s="67">
        <f>'0 Degree Loads'!C2</f>
        <v>0</v>
      </c>
      <c r="D2" s="62"/>
      <c r="E2" s="62"/>
      <c r="F2" s="50"/>
      <c r="G2" s="50"/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</row>
    <row r="3" spans="2:27" ht="15.75" x14ac:dyDescent="0.25">
      <c r="B3" s="68" t="s">
        <v>50</v>
      </c>
      <c r="C3" s="69">
        <f>'0 Degree Loads'!C3</f>
        <v>0</v>
      </c>
      <c r="D3" s="62"/>
      <c r="E3" s="62"/>
      <c r="F3" s="50"/>
      <c r="G3" s="50"/>
      <c r="H3" s="50"/>
      <c r="I3" s="50"/>
      <c r="J3" s="50"/>
      <c r="K3" s="51"/>
      <c r="L3" s="51"/>
      <c r="M3" s="51"/>
      <c r="N3" s="51"/>
      <c r="O3" s="51"/>
      <c r="P3" s="51"/>
      <c r="Q3" s="217" t="s">
        <v>377</v>
      </c>
      <c r="R3" s="218">
        <v>29000</v>
      </c>
      <c r="AA3" t="s">
        <v>67</v>
      </c>
    </row>
    <row r="4" spans="2:27" ht="15.75" x14ac:dyDescent="0.25">
      <c r="B4" s="68" t="s">
        <v>18</v>
      </c>
      <c r="C4" s="69">
        <f>'0 Degree Loads'!C4</f>
        <v>0</v>
      </c>
      <c r="D4" s="62"/>
      <c r="E4" s="62"/>
      <c r="F4" s="50"/>
      <c r="G4" s="50"/>
      <c r="H4" s="50"/>
      <c r="I4" s="50"/>
      <c r="J4" s="50"/>
      <c r="K4" s="51"/>
      <c r="L4" s="51"/>
      <c r="M4" s="51"/>
      <c r="N4" s="51"/>
      <c r="O4" s="51"/>
      <c r="P4" s="51"/>
      <c r="Q4" s="221" t="s">
        <v>378</v>
      </c>
      <c r="R4" s="222">
        <v>50</v>
      </c>
      <c r="AA4" t="s">
        <v>75</v>
      </c>
    </row>
    <row r="5" spans="2:27" ht="15.75" x14ac:dyDescent="0.25">
      <c r="B5" s="68" t="s">
        <v>17</v>
      </c>
      <c r="C5" s="69">
        <f>'0 Degree Loads'!C5</f>
        <v>0</v>
      </c>
      <c r="D5" s="50"/>
      <c r="E5" s="50"/>
      <c r="F5" s="50"/>
      <c r="G5" s="50"/>
      <c r="H5" s="50"/>
      <c r="I5" s="50"/>
      <c r="J5" s="50"/>
      <c r="K5" s="51"/>
      <c r="L5" s="51"/>
      <c r="M5" s="51"/>
      <c r="N5" s="51"/>
      <c r="O5" s="51"/>
      <c r="P5" s="51"/>
      <c r="Q5" s="221" t="s">
        <v>402</v>
      </c>
      <c r="R5" s="222">
        <v>3.9</v>
      </c>
      <c r="AA5" t="s">
        <v>76</v>
      </c>
    </row>
    <row r="6" spans="2:27" ht="15.75" x14ac:dyDescent="0.25">
      <c r="B6" s="68" t="s">
        <v>15</v>
      </c>
      <c r="C6" s="69">
        <f>'0 Degree Loads'!C6</f>
        <v>0</v>
      </c>
      <c r="D6" s="53"/>
      <c r="E6" s="53"/>
      <c r="F6" s="52"/>
      <c r="G6" s="52"/>
      <c r="H6" s="52"/>
      <c r="I6" s="52"/>
      <c r="J6" s="52"/>
      <c r="K6" s="51"/>
      <c r="L6" s="51"/>
      <c r="M6" s="51"/>
      <c r="N6" s="51"/>
      <c r="O6" s="51"/>
      <c r="P6" s="51"/>
      <c r="Q6" s="221" t="s">
        <v>506</v>
      </c>
      <c r="R6" s="222">
        <v>12</v>
      </c>
    </row>
    <row r="7" spans="2:27" ht="16.5" thickBot="1" x14ac:dyDescent="0.3">
      <c r="B7" s="70" t="s">
        <v>49</v>
      </c>
      <c r="C7" s="71">
        <f>'0 Degree Loads'!C7</f>
        <v>0</v>
      </c>
      <c r="D7" s="52"/>
      <c r="E7" s="52"/>
      <c r="F7" s="52"/>
      <c r="G7" s="52"/>
      <c r="H7" s="52"/>
      <c r="I7" s="52"/>
      <c r="J7" s="52"/>
      <c r="K7" s="51"/>
      <c r="L7" s="51"/>
      <c r="M7" s="51"/>
      <c r="N7" s="51"/>
      <c r="O7" s="51"/>
      <c r="P7" s="51"/>
      <c r="Q7" s="221" t="s">
        <v>507</v>
      </c>
      <c r="R7" s="222">
        <v>0</v>
      </c>
      <c r="AA7" t="s">
        <v>68</v>
      </c>
    </row>
    <row r="8" spans="2:27" ht="16.5" thickBot="1" x14ac:dyDescent="0.3">
      <c r="D8" s="53"/>
      <c r="E8" s="53"/>
      <c r="F8" s="53"/>
      <c r="G8" s="53"/>
      <c r="H8" s="53"/>
      <c r="I8" s="53"/>
      <c r="J8" s="53"/>
      <c r="K8" s="51"/>
      <c r="L8" s="51"/>
      <c r="M8" s="51"/>
      <c r="N8" s="51"/>
      <c r="O8" s="51"/>
      <c r="P8" s="51"/>
      <c r="Q8" s="223" t="s">
        <v>648</v>
      </c>
      <c r="R8" s="228">
        <v>1.5</v>
      </c>
      <c r="AA8" t="s">
        <v>66</v>
      </c>
    </row>
    <row r="9" spans="2:27" ht="16.5" thickBot="1" x14ac:dyDescent="0.3">
      <c r="B9" s="95"/>
      <c r="C9" s="95"/>
      <c r="D9" s="96"/>
      <c r="E9" s="96"/>
      <c r="F9" s="96"/>
      <c r="G9" s="96"/>
      <c r="H9" s="96"/>
      <c r="I9" s="86"/>
      <c r="J9" s="64"/>
      <c r="K9" s="64"/>
      <c r="L9" s="73"/>
      <c r="M9" s="51"/>
      <c r="N9" s="51"/>
      <c r="O9" s="51"/>
      <c r="P9" s="51"/>
      <c r="Q9" s="51"/>
      <c r="R9" s="51"/>
    </row>
    <row r="10" spans="2:27" ht="16.5" thickBot="1" x14ac:dyDescent="0.3">
      <c r="B10" s="314" t="s">
        <v>89</v>
      </c>
      <c r="C10" s="315"/>
      <c r="D10" s="54"/>
      <c r="E10" s="94"/>
      <c r="F10" s="94"/>
      <c r="G10" s="94"/>
      <c r="H10" s="94"/>
      <c r="I10" s="87"/>
      <c r="J10" s="63"/>
      <c r="K10" s="72"/>
      <c r="L10" s="74"/>
      <c r="M10" s="51"/>
      <c r="N10" s="51"/>
      <c r="O10" s="51"/>
      <c r="P10" s="51"/>
      <c r="Q10" s="51"/>
      <c r="R10" s="51"/>
    </row>
    <row r="11" spans="2:27" x14ac:dyDescent="0.25">
      <c r="B11" s="219" t="s">
        <v>90</v>
      </c>
      <c r="C11" s="56"/>
      <c r="D11" s="54"/>
      <c r="E11" s="94"/>
      <c r="F11" s="94"/>
      <c r="G11" s="94"/>
      <c r="H11" s="94"/>
      <c r="I11" s="87"/>
      <c r="J11" s="63"/>
      <c r="K11" s="72"/>
      <c r="L11" s="74"/>
      <c r="M11" s="51"/>
      <c r="N11" s="51"/>
      <c r="O11" s="51"/>
      <c r="P11" s="51"/>
      <c r="Q11" s="51"/>
      <c r="R11" s="51"/>
    </row>
    <row r="12" spans="2:27" x14ac:dyDescent="0.25">
      <c r="B12" s="97" t="s">
        <v>91</v>
      </c>
      <c r="C12" s="58"/>
      <c r="D12" s="54"/>
      <c r="E12" s="94"/>
      <c r="F12" s="94"/>
      <c r="G12" s="94"/>
      <c r="H12" s="94"/>
      <c r="I12" s="87"/>
      <c r="J12" s="63"/>
      <c r="K12" s="72"/>
      <c r="L12" s="74"/>
      <c r="M12" s="51"/>
      <c r="N12" s="51"/>
      <c r="O12" s="51"/>
      <c r="P12" s="51"/>
      <c r="Q12" s="51"/>
      <c r="R12" s="51"/>
    </row>
    <row r="13" spans="2:27" x14ac:dyDescent="0.25">
      <c r="B13" s="97" t="s">
        <v>92</v>
      </c>
      <c r="C13" s="58"/>
      <c r="D13" s="54"/>
      <c r="E13" s="94"/>
      <c r="F13" s="94"/>
      <c r="G13" s="94"/>
      <c r="H13" s="94"/>
      <c r="I13" s="87"/>
      <c r="J13" s="63"/>
      <c r="K13" s="72"/>
      <c r="L13" s="74"/>
      <c r="M13" s="51"/>
      <c r="N13" s="51"/>
      <c r="O13" s="51"/>
      <c r="P13" s="51"/>
      <c r="Q13" s="51"/>
      <c r="R13" s="51"/>
    </row>
    <row r="14" spans="2:27" x14ac:dyDescent="0.25">
      <c r="B14" s="97" t="s">
        <v>93</v>
      </c>
      <c r="C14" s="58"/>
      <c r="D14" s="54"/>
      <c r="E14" s="94"/>
      <c r="F14" s="94"/>
      <c r="G14" s="94"/>
      <c r="H14" s="94"/>
      <c r="I14" s="87"/>
      <c r="J14" s="63"/>
      <c r="K14" s="72"/>
      <c r="L14" s="74"/>
      <c r="M14" s="51"/>
      <c r="N14" s="51"/>
      <c r="O14" s="51"/>
      <c r="P14" s="51"/>
      <c r="Q14" s="51"/>
      <c r="R14" s="51"/>
    </row>
    <row r="15" spans="2:27" x14ac:dyDescent="0.25">
      <c r="B15" s="97" t="s">
        <v>94</v>
      </c>
      <c r="C15" s="58"/>
      <c r="D15" s="54"/>
      <c r="E15" s="94"/>
      <c r="F15" s="94"/>
      <c r="G15" s="94"/>
      <c r="H15" s="94"/>
      <c r="I15" s="87"/>
      <c r="J15" s="63"/>
      <c r="K15" s="72"/>
      <c r="L15" s="74"/>
      <c r="M15" s="51"/>
      <c r="N15" s="51"/>
      <c r="O15" s="51"/>
      <c r="P15" s="51"/>
      <c r="Q15" s="51"/>
      <c r="R15" s="51"/>
    </row>
    <row r="16" spans="2:27" x14ac:dyDescent="0.25">
      <c r="B16" s="97" t="s">
        <v>95</v>
      </c>
      <c r="C16" s="144"/>
      <c r="D16" s="54"/>
      <c r="E16" s="94"/>
      <c r="F16" s="94"/>
      <c r="G16" s="94"/>
      <c r="H16" s="94"/>
      <c r="I16" s="87"/>
      <c r="J16" s="63"/>
      <c r="K16" s="72"/>
      <c r="L16" s="74"/>
      <c r="M16" s="51"/>
      <c r="N16" s="51"/>
      <c r="O16" s="51"/>
      <c r="P16" s="51"/>
      <c r="Q16" s="51"/>
      <c r="R16" s="51"/>
    </row>
    <row r="17" spans="2:18" x14ac:dyDescent="0.25">
      <c r="B17" s="97" t="s">
        <v>646</v>
      </c>
      <c r="C17" s="58"/>
      <c r="D17" s="54"/>
      <c r="E17" s="94"/>
      <c r="F17" s="94"/>
      <c r="G17" s="94"/>
      <c r="H17" s="94"/>
      <c r="I17" s="87"/>
      <c r="J17" s="63"/>
      <c r="K17" s="72"/>
      <c r="L17" s="74"/>
      <c r="M17" s="51"/>
      <c r="N17" s="51"/>
      <c r="O17" s="51"/>
      <c r="P17" s="51"/>
      <c r="Q17" s="51"/>
      <c r="R17" s="51"/>
    </row>
    <row r="18" spans="2:18" x14ac:dyDescent="0.25">
      <c r="B18" s="97" t="s">
        <v>647</v>
      </c>
      <c r="C18" s="58"/>
      <c r="D18" s="54"/>
      <c r="E18" s="94"/>
      <c r="F18" s="94"/>
      <c r="G18" s="94"/>
      <c r="H18" s="94"/>
      <c r="I18" s="87"/>
      <c r="J18" s="63"/>
      <c r="K18" s="72"/>
      <c r="L18" s="74"/>
      <c r="M18" s="51"/>
      <c r="N18" s="51"/>
      <c r="O18" s="51"/>
      <c r="P18" s="51"/>
      <c r="Q18" s="51"/>
      <c r="R18" s="51"/>
    </row>
    <row r="19" spans="2:18" x14ac:dyDescent="0.25">
      <c r="B19" s="97" t="s">
        <v>163</v>
      </c>
      <c r="C19" s="58">
        <v>35</v>
      </c>
      <c r="D19" s="54"/>
      <c r="E19" s="94"/>
      <c r="F19" s="94"/>
      <c r="G19" s="94"/>
      <c r="H19" s="94"/>
      <c r="I19" s="87"/>
      <c r="J19" s="63"/>
      <c r="K19" s="72"/>
      <c r="L19" s="74"/>
      <c r="M19" s="51"/>
      <c r="N19" s="51"/>
      <c r="O19" s="51"/>
      <c r="P19" s="51"/>
      <c r="Q19" s="51"/>
      <c r="R19" s="51"/>
    </row>
    <row r="20" spans="2:18" ht="15.75" thickBot="1" x14ac:dyDescent="0.3">
      <c r="B20" s="220" t="s">
        <v>164</v>
      </c>
      <c r="C20" s="61" t="s">
        <v>165</v>
      </c>
      <c r="D20" s="54"/>
      <c r="E20" s="94"/>
      <c r="F20" s="94"/>
      <c r="G20" s="94"/>
      <c r="H20" s="94"/>
      <c r="I20" s="87"/>
      <c r="J20" s="63"/>
      <c r="K20" s="72"/>
      <c r="L20" s="74"/>
      <c r="M20" s="51"/>
      <c r="N20" s="51"/>
      <c r="O20" s="51"/>
      <c r="P20" s="51"/>
      <c r="Q20" s="51"/>
      <c r="R20" s="51"/>
    </row>
    <row r="21" spans="2:18" ht="15.75" thickBot="1" x14ac:dyDescent="0.3">
      <c r="B21" s="54"/>
      <c r="C21" s="54"/>
      <c r="D21" s="54"/>
      <c r="E21" s="94"/>
      <c r="F21" s="94"/>
      <c r="G21" s="94"/>
      <c r="H21" s="94"/>
      <c r="I21" s="87"/>
      <c r="J21" s="63"/>
      <c r="K21" s="72"/>
      <c r="L21" s="74"/>
      <c r="M21" s="51"/>
      <c r="N21" s="51"/>
      <c r="O21" s="51"/>
      <c r="P21" s="51"/>
      <c r="Q21" s="51"/>
      <c r="R21" s="51"/>
    </row>
    <row r="22" spans="2:18" ht="15.75" x14ac:dyDescent="0.25">
      <c r="B22" s="316" t="s">
        <v>96</v>
      </c>
      <c r="C22" s="317"/>
      <c r="D22" s="54"/>
      <c r="E22" s="94"/>
      <c r="F22" s="94"/>
      <c r="G22" s="94"/>
      <c r="H22" s="94"/>
      <c r="I22" s="87"/>
      <c r="J22" s="63"/>
      <c r="K22" s="72"/>
      <c r="L22" s="74"/>
      <c r="M22" s="51"/>
      <c r="N22" s="51"/>
      <c r="O22" s="51"/>
      <c r="P22" s="51"/>
      <c r="Q22" s="51"/>
      <c r="R22" s="51"/>
    </row>
    <row r="23" spans="2:18" x14ac:dyDescent="0.25">
      <c r="B23" s="318" t="s">
        <v>97</v>
      </c>
      <c r="C23" s="319"/>
      <c r="D23" s="54"/>
      <c r="E23" s="94"/>
      <c r="F23" s="94"/>
      <c r="G23" s="94"/>
      <c r="H23" s="94"/>
      <c r="I23" s="87"/>
      <c r="J23" s="63"/>
      <c r="K23" s="72"/>
      <c r="L23" s="74"/>
      <c r="M23" s="51"/>
      <c r="N23" s="51"/>
      <c r="O23" s="51"/>
      <c r="P23" s="51"/>
      <c r="Q23" s="51"/>
      <c r="R23" s="51"/>
    </row>
    <row r="24" spans="2:18" x14ac:dyDescent="0.25">
      <c r="B24" s="320"/>
      <c r="C24" s="319"/>
      <c r="D24" s="54"/>
      <c r="E24" s="94"/>
      <c r="F24" s="94"/>
      <c r="G24" s="94"/>
      <c r="H24" s="94"/>
      <c r="I24" s="87"/>
      <c r="J24" s="63"/>
      <c r="K24" s="72"/>
      <c r="L24" s="74"/>
      <c r="M24" s="51"/>
      <c r="N24" s="51"/>
      <c r="O24" s="51"/>
      <c r="P24" s="51"/>
      <c r="Q24" s="51"/>
      <c r="R24" s="51"/>
    </row>
    <row r="25" spans="2:18" ht="15.75" thickBot="1" x14ac:dyDescent="0.3">
      <c r="B25" s="321"/>
      <c r="C25" s="322"/>
      <c r="D25" s="54"/>
      <c r="E25" s="94"/>
      <c r="F25" s="94"/>
      <c r="G25" s="94"/>
      <c r="H25" s="94"/>
      <c r="I25" s="88"/>
      <c r="J25" s="65"/>
      <c r="K25" s="72"/>
      <c r="L25" s="74"/>
      <c r="M25" s="51"/>
      <c r="N25" s="51"/>
      <c r="O25" s="51"/>
      <c r="P25" s="51"/>
      <c r="Q25" s="51"/>
      <c r="R25" s="51"/>
    </row>
    <row r="26" spans="2:18" x14ac:dyDescent="0.25">
      <c r="B26" s="54"/>
      <c r="C26" s="54"/>
      <c r="D26" s="54"/>
      <c r="E26" s="54"/>
      <c r="F26" s="54"/>
      <c r="G26" s="54"/>
      <c r="H26" s="54"/>
      <c r="I26" s="54"/>
      <c r="J26" s="54"/>
      <c r="K26" s="51"/>
      <c r="L26" s="51"/>
      <c r="M26" s="51"/>
      <c r="N26" s="51"/>
      <c r="O26" s="51"/>
      <c r="P26" s="51"/>
      <c r="Q26" s="51"/>
      <c r="R26" s="51"/>
    </row>
    <row r="27" spans="2:18" x14ac:dyDescent="0.25">
      <c r="B27" s="1" t="s">
        <v>7</v>
      </c>
      <c r="C27" s="2" t="s">
        <v>8</v>
      </c>
      <c r="E27" s="54"/>
      <c r="F27" s="54"/>
      <c r="G27" s="54"/>
      <c r="H27" s="54"/>
      <c r="I27" s="54"/>
      <c r="J27" s="54"/>
      <c r="K27" s="51"/>
      <c r="L27" s="51"/>
      <c r="M27" s="51"/>
      <c r="N27" s="51"/>
      <c r="O27" s="51"/>
      <c r="P27" s="51"/>
      <c r="Q27" s="51"/>
      <c r="R27" s="51"/>
    </row>
    <row r="28" spans="2:18" x14ac:dyDescent="0.25">
      <c r="B28" s="1" t="s">
        <v>0</v>
      </c>
      <c r="C28" s="2" t="s">
        <v>9</v>
      </c>
      <c r="E28" s="54"/>
      <c r="F28" s="54"/>
      <c r="G28" s="54"/>
      <c r="H28" s="54"/>
      <c r="I28" s="54"/>
      <c r="J28" s="54"/>
      <c r="K28" s="51"/>
      <c r="L28" s="51"/>
      <c r="M28" s="51"/>
      <c r="N28" s="51"/>
      <c r="O28" s="51"/>
      <c r="P28" s="51"/>
      <c r="Q28" s="51"/>
      <c r="R28" s="51"/>
    </row>
    <row r="29" spans="2:18" x14ac:dyDescent="0.25">
      <c r="B29" s="1" t="s">
        <v>1</v>
      </c>
      <c r="C29" s="2" t="s">
        <v>10</v>
      </c>
      <c r="E29" s="54"/>
      <c r="F29" s="54"/>
      <c r="G29" s="54"/>
      <c r="H29" s="54"/>
      <c r="I29" s="54"/>
      <c r="J29" s="54"/>
      <c r="K29" s="51"/>
      <c r="L29" s="51"/>
      <c r="M29" s="51"/>
      <c r="N29" s="51"/>
      <c r="O29" s="51"/>
      <c r="P29" s="51"/>
      <c r="Q29" s="51"/>
      <c r="R29" s="51"/>
    </row>
    <row r="30" spans="2:18" x14ac:dyDescent="0.25">
      <c r="B30" s="1" t="s">
        <v>2</v>
      </c>
      <c r="C30" s="2" t="s">
        <v>11</v>
      </c>
      <c r="E30" s="54"/>
      <c r="F30" s="54"/>
      <c r="G30" s="54"/>
      <c r="H30" s="54"/>
      <c r="I30" s="54"/>
      <c r="J30" s="54"/>
      <c r="K30" s="51"/>
      <c r="L30" s="51"/>
      <c r="M30" s="51"/>
      <c r="N30" s="51"/>
      <c r="O30" s="51"/>
      <c r="P30" s="51"/>
      <c r="Q30" s="51"/>
      <c r="R30" s="51"/>
    </row>
    <row r="31" spans="2:18" x14ac:dyDescent="0.25">
      <c r="B31" s="1" t="s">
        <v>5</v>
      </c>
      <c r="C31" s="2" t="s">
        <v>12</v>
      </c>
      <c r="E31" s="54"/>
      <c r="F31" s="54"/>
      <c r="G31" s="54"/>
      <c r="H31" s="54"/>
      <c r="I31" s="54"/>
      <c r="J31" s="54"/>
      <c r="K31" s="51"/>
      <c r="L31" s="51"/>
      <c r="M31" s="51"/>
      <c r="N31" s="51"/>
      <c r="O31" s="51"/>
      <c r="P31" s="51"/>
      <c r="Q31" s="51"/>
      <c r="R31" s="51"/>
    </row>
    <row r="32" spans="2:18" x14ac:dyDescent="0.25">
      <c r="B32" s="1" t="s">
        <v>6</v>
      </c>
      <c r="C32" s="2" t="s">
        <v>42</v>
      </c>
      <c r="E32" s="54"/>
      <c r="F32" s="54"/>
      <c r="G32" s="54"/>
      <c r="H32" s="54"/>
      <c r="I32" s="54"/>
      <c r="J32" s="54"/>
      <c r="K32" s="51"/>
      <c r="L32" s="51"/>
      <c r="M32" s="51"/>
      <c r="N32" s="51"/>
      <c r="O32" s="51"/>
      <c r="P32" s="51"/>
      <c r="Q32" s="51"/>
      <c r="R32" s="51"/>
    </row>
    <row r="33" spans="2:18" x14ac:dyDescent="0.25">
      <c r="B33" s="1" t="s">
        <v>43</v>
      </c>
      <c r="C33" s="2" t="s">
        <v>41</v>
      </c>
      <c r="E33" s="54"/>
      <c r="F33" s="54"/>
      <c r="G33" s="54"/>
      <c r="H33" s="54"/>
      <c r="I33" s="54"/>
      <c r="J33" s="54"/>
      <c r="K33" s="51"/>
      <c r="L33" s="51"/>
      <c r="M33" s="51"/>
      <c r="N33" s="51"/>
      <c r="O33" s="51"/>
      <c r="P33" s="51"/>
      <c r="Q33" s="51"/>
      <c r="R33" s="51"/>
    </row>
    <row r="34" spans="2:18" x14ac:dyDescent="0.25">
      <c r="B34" s="20"/>
      <c r="C34" s="54"/>
      <c r="D34" s="54"/>
      <c r="E34" s="54"/>
      <c r="F34" s="54"/>
      <c r="G34" s="54"/>
      <c r="H34" s="54"/>
      <c r="I34" s="54"/>
      <c r="J34" s="54"/>
      <c r="K34" s="51"/>
      <c r="L34" s="51"/>
      <c r="M34" s="51"/>
      <c r="N34" s="51"/>
      <c r="O34" s="51"/>
      <c r="P34" s="51"/>
      <c r="Q34" s="51"/>
      <c r="R34" s="51"/>
    </row>
    <row r="35" spans="2:18" x14ac:dyDescent="0.25">
      <c r="B35" s="20"/>
      <c r="C35" s="54"/>
      <c r="D35" s="54"/>
      <c r="E35" s="54"/>
      <c r="F35" s="54"/>
      <c r="G35" s="54"/>
      <c r="H35" s="54"/>
      <c r="I35" s="54"/>
      <c r="J35" s="54"/>
      <c r="K35" s="51"/>
      <c r="L35" s="51"/>
      <c r="M35" s="51"/>
      <c r="N35" s="51"/>
      <c r="O35" s="51"/>
      <c r="P35" s="51"/>
      <c r="Q35" s="51"/>
      <c r="R35" s="51"/>
    </row>
    <row r="36" spans="2:18" x14ac:dyDescent="0.25">
      <c r="B36" s="54"/>
      <c r="C36" s="54"/>
      <c r="D36" s="54"/>
      <c r="E36" s="54"/>
      <c r="F36" s="54"/>
      <c r="G36" s="54"/>
      <c r="H36" s="54"/>
      <c r="I36" s="54"/>
      <c r="J36" s="54"/>
      <c r="K36" s="51"/>
      <c r="L36" s="51"/>
      <c r="M36" s="51"/>
      <c r="N36" s="51"/>
      <c r="O36" s="51"/>
      <c r="P36" s="51"/>
      <c r="Q36" s="51"/>
      <c r="R36" s="51"/>
    </row>
    <row r="37" spans="2:18" x14ac:dyDescent="0.25">
      <c r="B37" s="54"/>
      <c r="C37" s="54"/>
      <c r="D37" s="54"/>
      <c r="E37" s="54"/>
      <c r="F37" s="54"/>
      <c r="G37" s="54"/>
      <c r="H37" s="54"/>
      <c r="I37" s="54"/>
      <c r="J37" s="54"/>
      <c r="K37" s="51"/>
      <c r="L37" s="51"/>
      <c r="M37" s="51"/>
      <c r="N37" s="51"/>
      <c r="O37" s="51"/>
      <c r="P37" s="51"/>
      <c r="Q37" s="51"/>
      <c r="R37" s="51"/>
    </row>
    <row r="38" spans="2:18" x14ac:dyDescent="0.25">
      <c r="B38" s="54"/>
      <c r="C38" s="54"/>
      <c r="D38" s="54"/>
      <c r="E38" s="54"/>
      <c r="F38" s="54"/>
      <c r="G38" s="54"/>
      <c r="H38" s="54"/>
      <c r="I38" s="54"/>
      <c r="J38" s="54"/>
      <c r="K38" s="51"/>
      <c r="L38" s="51"/>
      <c r="M38" s="51"/>
      <c r="N38" s="51"/>
      <c r="O38" s="51"/>
      <c r="P38" s="51"/>
      <c r="Q38" s="51"/>
      <c r="R38" s="51"/>
    </row>
    <row r="39" spans="2:18" x14ac:dyDescent="0.25"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2:18" x14ac:dyDescent="0.25"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2:18" x14ac:dyDescent="0.25"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</sheetData>
  <mergeCells count="3">
    <mergeCell ref="B10:C10"/>
    <mergeCell ref="B22:C22"/>
    <mergeCell ref="B23:C25"/>
  </mergeCells>
  <conditionalFormatting sqref="C17:C18">
    <cfRule type="cellIs" dxfId="529" priority="1" operator="equal">
      <formula>0</formula>
    </cfRule>
  </conditionalFormatting>
  <pageMargins left="0.7" right="0.7" top="0.75" bottom="0.75" header="0.3" footer="0.3"/>
  <pageSetup scale="61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FF2078-ABF6-4BAF-898E-5110703DD81E}">
          <x14:formula1>
            <xm:f>List!$A$10:$A$12</xm:f>
          </x14:formula1>
          <xm:sqref>C20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AAFAD-49F2-4554-85F7-6270D4D4EADB}">
  <dimension ref="A1:D16"/>
  <sheetViews>
    <sheetView workbookViewId="0">
      <selection activeCell="O23" sqref="O23"/>
    </sheetView>
  </sheetViews>
  <sheetFormatPr defaultRowHeight="15" x14ac:dyDescent="0.25"/>
  <cols>
    <col min="2" max="2" width="85.42578125" bestFit="1" customWidth="1"/>
    <col min="3" max="3" width="9.7109375" bestFit="1" customWidth="1"/>
  </cols>
  <sheetData>
    <row r="1" spans="1:4" x14ac:dyDescent="0.25">
      <c r="A1" s="102" t="s">
        <v>408</v>
      </c>
      <c r="B1" s="102" t="s">
        <v>410</v>
      </c>
      <c r="C1" s="102" t="s">
        <v>412</v>
      </c>
      <c r="D1" s="102" t="s">
        <v>413</v>
      </c>
    </row>
    <row r="2" spans="1:4" x14ac:dyDescent="0.25">
      <c r="A2" s="102" t="s">
        <v>409</v>
      </c>
      <c r="B2" s="313" t="s">
        <v>411</v>
      </c>
      <c r="C2" s="239">
        <v>45756</v>
      </c>
      <c r="D2" s="102" t="s">
        <v>414</v>
      </c>
    </row>
    <row r="3" spans="1:4" x14ac:dyDescent="0.25">
      <c r="A3" s="102" t="s">
        <v>415</v>
      </c>
      <c r="B3" s="313" t="s">
        <v>416</v>
      </c>
      <c r="C3" s="239">
        <v>45798</v>
      </c>
      <c r="D3" s="102" t="s">
        <v>414</v>
      </c>
    </row>
    <row r="4" spans="1:4" ht="30" x14ac:dyDescent="0.25">
      <c r="A4" s="102" t="s">
        <v>419</v>
      </c>
      <c r="B4" s="312" t="s">
        <v>420</v>
      </c>
      <c r="C4" s="102"/>
      <c r="D4" s="102"/>
    </row>
    <row r="5" spans="1:4" x14ac:dyDescent="0.25">
      <c r="A5" s="102" t="s">
        <v>421</v>
      </c>
      <c r="B5" s="313" t="s">
        <v>422</v>
      </c>
      <c r="C5" s="239">
        <v>45806</v>
      </c>
      <c r="D5" s="102" t="s">
        <v>414</v>
      </c>
    </row>
    <row r="6" spans="1:4" ht="30" x14ac:dyDescent="0.25">
      <c r="A6" s="102">
        <v>1.4</v>
      </c>
      <c r="B6" s="312" t="s">
        <v>453</v>
      </c>
      <c r="C6" s="239">
        <v>45896</v>
      </c>
      <c r="D6" s="102" t="s">
        <v>414</v>
      </c>
    </row>
    <row r="7" spans="1:4" ht="30" x14ac:dyDescent="0.25">
      <c r="A7" s="102" t="s">
        <v>478</v>
      </c>
      <c r="B7" s="312" t="s">
        <v>492</v>
      </c>
      <c r="C7" s="239">
        <v>45902</v>
      </c>
      <c r="D7" s="102" t="s">
        <v>414</v>
      </c>
    </row>
    <row r="8" spans="1:4" x14ac:dyDescent="0.25">
      <c r="A8" s="102" t="s">
        <v>503</v>
      </c>
      <c r="B8" s="313" t="s">
        <v>504</v>
      </c>
      <c r="C8" s="239">
        <v>46119</v>
      </c>
      <c r="D8" s="102" t="s">
        <v>414</v>
      </c>
    </row>
    <row r="9" spans="1:4" ht="30" x14ac:dyDescent="0.25">
      <c r="A9" s="102">
        <v>1.5</v>
      </c>
      <c r="B9" s="312" t="s">
        <v>505</v>
      </c>
      <c r="C9" s="239">
        <v>46132</v>
      </c>
      <c r="D9" s="102" t="s">
        <v>414</v>
      </c>
    </row>
    <row r="10" spans="1:4" ht="60" x14ac:dyDescent="0.25">
      <c r="A10" s="102">
        <v>1.6</v>
      </c>
      <c r="B10" s="312" t="s">
        <v>644</v>
      </c>
      <c r="C10" s="239">
        <v>46255</v>
      </c>
      <c r="D10" s="102" t="s">
        <v>643</v>
      </c>
    </row>
    <row r="11" spans="1:4" x14ac:dyDescent="0.25">
      <c r="A11" s="102" t="s">
        <v>649</v>
      </c>
      <c r="B11" s="102" t="s">
        <v>650</v>
      </c>
      <c r="C11" s="239">
        <v>46259</v>
      </c>
      <c r="D11" s="102" t="s">
        <v>651</v>
      </c>
    </row>
    <row r="12" spans="1:4" x14ac:dyDescent="0.25">
      <c r="A12" s="102"/>
      <c r="B12" s="102"/>
      <c r="C12" s="102"/>
      <c r="D12" s="102"/>
    </row>
    <row r="13" spans="1:4" x14ac:dyDescent="0.25">
      <c r="A13" s="102"/>
      <c r="B13" s="102"/>
      <c r="C13" s="102"/>
      <c r="D13" s="102"/>
    </row>
    <row r="14" spans="1:4" x14ac:dyDescent="0.25">
      <c r="A14" s="102"/>
      <c r="B14" s="102"/>
      <c r="C14" s="102"/>
      <c r="D14" s="102"/>
    </row>
    <row r="15" spans="1:4" x14ac:dyDescent="0.25">
      <c r="A15" s="102"/>
      <c r="B15" s="102"/>
      <c r="C15" s="102"/>
      <c r="D15" s="102"/>
    </row>
    <row r="16" spans="1:4" x14ac:dyDescent="0.25">
      <c r="A16" s="102"/>
      <c r="B16" s="102"/>
      <c r="C16" s="102"/>
      <c r="D16" s="10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0E08A-ACAA-434C-BE01-F0EC5A76E851}">
  <sheetPr codeName="Sheet49">
    <pageSetUpPr fitToPage="1"/>
  </sheetPr>
  <dimension ref="B1:AA42"/>
  <sheetViews>
    <sheetView showGridLines="0" view="pageBreakPreview" topLeftCell="A24" zoomScale="85" zoomScaleNormal="100" zoomScaleSheetLayoutView="85" workbookViewId="0">
      <selection activeCell="D6" sqref="D6"/>
    </sheetView>
  </sheetViews>
  <sheetFormatPr defaultRowHeight="15" x14ac:dyDescent="0.25"/>
  <cols>
    <col min="2" max="2" width="24.7109375" bestFit="1" customWidth="1"/>
    <col min="3" max="3" width="28.28515625" customWidth="1"/>
    <col min="4" max="4" width="27.7109375" bestFit="1" customWidth="1"/>
    <col min="5" max="5" width="13.42578125" bestFit="1" customWidth="1"/>
    <col min="6" max="6" width="10" bestFit="1" customWidth="1"/>
    <col min="7" max="8" width="33.28515625" bestFit="1" customWidth="1"/>
    <col min="9" max="10" width="28.7109375" hidden="1" customWidth="1"/>
    <col min="11" max="11" width="11.7109375" hidden="1" customWidth="1"/>
    <col min="12" max="12" width="11.28515625" hidden="1" customWidth="1"/>
  </cols>
  <sheetData>
    <row r="1" spans="2:27" ht="15.75" thickBot="1" x14ac:dyDescent="0.3"/>
    <row r="2" spans="2:27" ht="15.75" x14ac:dyDescent="0.25">
      <c r="B2" s="66" t="s">
        <v>14</v>
      </c>
      <c r="C2" s="67">
        <f>'Cover Sheet'!C2</f>
        <v>0</v>
      </c>
      <c r="D2" s="62"/>
      <c r="E2" s="62"/>
      <c r="F2" s="50"/>
      <c r="G2" s="50"/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</row>
    <row r="3" spans="2:27" ht="15.75" x14ac:dyDescent="0.25">
      <c r="B3" s="68" t="s">
        <v>50</v>
      </c>
      <c r="C3" s="69">
        <f>'Cover Sheet'!C3</f>
        <v>0</v>
      </c>
      <c r="D3" s="62"/>
      <c r="E3" s="62"/>
      <c r="F3" s="50"/>
      <c r="G3" s="50"/>
      <c r="H3" s="50"/>
      <c r="I3" s="50"/>
      <c r="J3" s="50"/>
      <c r="K3" s="51"/>
      <c r="L3" s="51"/>
      <c r="M3" s="51"/>
      <c r="N3" s="51"/>
      <c r="O3" s="51"/>
      <c r="P3" s="51"/>
      <c r="Q3" s="51"/>
      <c r="R3" s="51"/>
      <c r="AA3" t="s">
        <v>67</v>
      </c>
    </row>
    <row r="4" spans="2:27" ht="15.75" x14ac:dyDescent="0.25">
      <c r="B4" s="68" t="s">
        <v>18</v>
      </c>
      <c r="C4" s="69">
        <f>'Cover Sheet'!C4</f>
        <v>0</v>
      </c>
      <c r="D4" s="62"/>
      <c r="E4" s="62"/>
      <c r="F4" s="50"/>
      <c r="G4" s="50"/>
      <c r="H4" s="50"/>
      <c r="I4" s="50"/>
      <c r="J4" s="50"/>
      <c r="K4" s="51"/>
      <c r="L4" s="51"/>
      <c r="M4" s="51"/>
      <c r="N4" s="51"/>
      <c r="O4" s="51"/>
      <c r="P4" s="51"/>
      <c r="Q4" s="51"/>
      <c r="R4" s="51"/>
      <c r="AA4" t="s">
        <v>75</v>
      </c>
    </row>
    <row r="5" spans="2:27" ht="15.75" x14ac:dyDescent="0.25">
      <c r="B5" s="68" t="s">
        <v>17</v>
      </c>
      <c r="C5" s="69">
        <f>'Cover Sheet'!C5</f>
        <v>0</v>
      </c>
      <c r="D5" s="50"/>
      <c r="E5" s="50"/>
      <c r="F5" s="50"/>
      <c r="G5" s="50"/>
      <c r="H5" s="50"/>
      <c r="I5" s="50"/>
      <c r="J5" s="50"/>
      <c r="K5" s="51"/>
      <c r="L5" s="51"/>
      <c r="M5" s="51"/>
      <c r="N5" s="51"/>
      <c r="O5" s="51"/>
      <c r="P5" s="51"/>
      <c r="Q5" s="51"/>
      <c r="R5" s="51"/>
      <c r="AA5" t="s">
        <v>76</v>
      </c>
    </row>
    <row r="6" spans="2:27" ht="15.75" x14ac:dyDescent="0.25">
      <c r="B6" s="68" t="s">
        <v>15</v>
      </c>
      <c r="C6" s="69">
        <f>'Cover Sheet'!C6</f>
        <v>0</v>
      </c>
      <c r="D6" s="53"/>
      <c r="E6" s="53"/>
      <c r="F6" s="52"/>
      <c r="G6" s="52"/>
      <c r="H6" s="52"/>
      <c r="I6" s="52"/>
      <c r="J6" s="52"/>
      <c r="K6" s="51"/>
      <c r="L6" s="51"/>
      <c r="M6" s="51"/>
      <c r="N6" s="51"/>
      <c r="O6" s="51"/>
      <c r="P6" s="51"/>
      <c r="Q6" s="51"/>
      <c r="R6" s="51"/>
    </row>
    <row r="7" spans="2:27" ht="16.5" thickBot="1" x14ac:dyDescent="0.3">
      <c r="B7" s="70" t="s">
        <v>49</v>
      </c>
      <c r="C7" s="71">
        <f>'Cover Sheet'!C7</f>
        <v>0</v>
      </c>
      <c r="D7" s="52"/>
      <c r="E7" s="52"/>
      <c r="F7" s="52"/>
      <c r="G7" s="52"/>
      <c r="H7" s="52"/>
      <c r="I7" s="52"/>
      <c r="J7" s="52"/>
      <c r="K7" s="51"/>
      <c r="L7" s="51"/>
      <c r="M7" s="51"/>
      <c r="N7" s="51"/>
      <c r="O7" s="51"/>
      <c r="P7" s="51"/>
      <c r="Q7" s="51"/>
      <c r="R7" s="51"/>
      <c r="AA7" t="s">
        <v>68</v>
      </c>
    </row>
    <row r="8" spans="2:27" ht="15.75" x14ac:dyDescent="0.25">
      <c r="D8" s="53"/>
      <c r="E8" s="53"/>
      <c r="F8" s="53"/>
      <c r="G8" s="53"/>
      <c r="H8" s="53"/>
      <c r="I8" s="53"/>
      <c r="J8" s="53"/>
      <c r="K8" s="51"/>
      <c r="L8" s="51"/>
      <c r="M8" s="51"/>
      <c r="N8" s="51"/>
      <c r="O8" s="51"/>
      <c r="P8" s="51"/>
      <c r="Q8" s="51"/>
      <c r="R8" s="51"/>
      <c r="AA8" t="s">
        <v>66</v>
      </c>
    </row>
    <row r="9" spans="2:27" x14ac:dyDescent="0.25"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</row>
    <row r="10" spans="2:27" ht="15.75" thickBot="1" x14ac:dyDescent="0.3"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</row>
    <row r="11" spans="2:27" ht="15.75" x14ac:dyDescent="0.25">
      <c r="B11" s="75" t="s">
        <v>65</v>
      </c>
      <c r="C11" s="76" t="s">
        <v>61</v>
      </c>
      <c r="D11" s="77" t="s">
        <v>62</v>
      </c>
      <c r="E11" s="77" t="s">
        <v>63</v>
      </c>
      <c r="F11" s="77" t="s">
        <v>64</v>
      </c>
      <c r="G11" s="77" t="s">
        <v>77</v>
      </c>
      <c r="H11" s="89" t="s">
        <v>78</v>
      </c>
      <c r="I11" s="86" t="s">
        <v>79</v>
      </c>
      <c r="J11" s="64" t="s">
        <v>80</v>
      </c>
      <c r="K11" s="64" t="s">
        <v>83</v>
      </c>
      <c r="L11" s="73" t="s">
        <v>84</v>
      </c>
      <c r="M11" s="51"/>
      <c r="N11" s="51"/>
      <c r="O11" s="51"/>
      <c r="P11" s="51"/>
      <c r="Q11" s="51"/>
      <c r="R11" s="51"/>
    </row>
    <row r="12" spans="2:27" x14ac:dyDescent="0.25">
      <c r="B12" s="57"/>
      <c r="C12" s="55"/>
      <c r="D12" s="55"/>
      <c r="E12" s="78"/>
      <c r="F12" s="78"/>
      <c r="G12" s="78"/>
      <c r="H12" s="90"/>
      <c r="I12" s="87">
        <f>G12*E12</f>
        <v>0</v>
      </c>
      <c r="J12" s="63">
        <f>H12*E12</f>
        <v>0</v>
      </c>
      <c r="K12" s="72">
        <f>E12</f>
        <v>0</v>
      </c>
      <c r="L12" s="74">
        <f>(F12-1)*E12</f>
        <v>0</v>
      </c>
      <c r="M12" s="51"/>
      <c r="N12" s="51"/>
      <c r="O12" s="51"/>
      <c r="P12" s="51"/>
      <c r="Q12" s="51"/>
      <c r="R12" s="51"/>
    </row>
    <row r="13" spans="2:27" x14ac:dyDescent="0.25">
      <c r="B13" s="57"/>
      <c r="C13" s="55"/>
      <c r="D13" s="55"/>
      <c r="E13" s="78"/>
      <c r="F13" s="78"/>
      <c r="G13" s="78"/>
      <c r="H13" s="90"/>
      <c r="I13" s="87">
        <f t="shared" ref="I13:I25" si="0">G13*E13</f>
        <v>0</v>
      </c>
      <c r="J13" s="63">
        <f t="shared" ref="J13:J25" si="1">H13*E13</f>
        <v>0</v>
      </c>
      <c r="K13" s="72">
        <f t="shared" ref="K13:K25" si="2">E13</f>
        <v>0</v>
      </c>
      <c r="L13" s="74">
        <f t="shared" ref="L13:L25" si="3">(F13-1)*E13</f>
        <v>0</v>
      </c>
      <c r="M13" s="51"/>
      <c r="N13" s="51"/>
      <c r="O13" s="51"/>
      <c r="P13" s="51"/>
      <c r="Q13" s="51"/>
      <c r="R13" s="51"/>
    </row>
    <row r="14" spans="2:27" x14ac:dyDescent="0.25">
      <c r="B14" s="57"/>
      <c r="C14" s="55"/>
      <c r="D14" s="55"/>
      <c r="E14" s="78"/>
      <c r="F14" s="78"/>
      <c r="G14" s="78"/>
      <c r="H14" s="90"/>
      <c r="I14" s="87">
        <f t="shared" si="0"/>
        <v>0</v>
      </c>
      <c r="J14" s="63">
        <f t="shared" si="1"/>
        <v>0</v>
      </c>
      <c r="K14" s="72">
        <f t="shared" si="2"/>
        <v>0</v>
      </c>
      <c r="L14" s="74">
        <f t="shared" si="3"/>
        <v>0</v>
      </c>
      <c r="M14" s="51"/>
      <c r="N14" s="51"/>
      <c r="O14" s="51"/>
      <c r="P14" s="51"/>
      <c r="Q14" s="51"/>
      <c r="R14" s="51"/>
    </row>
    <row r="15" spans="2:27" x14ac:dyDescent="0.25">
      <c r="B15" s="57"/>
      <c r="C15" s="55"/>
      <c r="D15" s="55"/>
      <c r="E15" s="78"/>
      <c r="F15" s="78"/>
      <c r="G15" s="78"/>
      <c r="H15" s="90"/>
      <c r="I15" s="87">
        <f t="shared" si="0"/>
        <v>0</v>
      </c>
      <c r="J15" s="63">
        <f t="shared" si="1"/>
        <v>0</v>
      </c>
      <c r="K15" s="72">
        <f t="shared" si="2"/>
        <v>0</v>
      </c>
      <c r="L15" s="74">
        <f t="shared" si="3"/>
        <v>0</v>
      </c>
      <c r="M15" s="51"/>
      <c r="N15" s="51"/>
      <c r="O15" s="51"/>
      <c r="P15" s="51"/>
      <c r="Q15" s="51"/>
      <c r="R15" s="51"/>
    </row>
    <row r="16" spans="2:27" x14ac:dyDescent="0.25">
      <c r="B16" s="57"/>
      <c r="C16" s="55"/>
      <c r="D16" s="55"/>
      <c r="E16" s="78"/>
      <c r="F16" s="78"/>
      <c r="G16" s="78"/>
      <c r="H16" s="90"/>
      <c r="I16" s="87">
        <f t="shared" si="0"/>
        <v>0</v>
      </c>
      <c r="J16" s="63">
        <f t="shared" si="1"/>
        <v>0</v>
      </c>
      <c r="K16" s="72">
        <f t="shared" si="2"/>
        <v>0</v>
      </c>
      <c r="L16" s="74">
        <f t="shared" si="3"/>
        <v>0</v>
      </c>
      <c r="M16" s="51"/>
      <c r="N16" s="51"/>
      <c r="O16" s="51"/>
      <c r="P16" s="51"/>
      <c r="Q16" s="51"/>
      <c r="R16" s="51"/>
    </row>
    <row r="17" spans="2:18" x14ac:dyDescent="0.25">
      <c r="B17" s="57"/>
      <c r="C17" s="55"/>
      <c r="D17" s="55"/>
      <c r="E17" s="78"/>
      <c r="F17" s="78"/>
      <c r="G17" s="78"/>
      <c r="H17" s="90"/>
      <c r="I17" s="87">
        <f t="shared" si="0"/>
        <v>0</v>
      </c>
      <c r="J17" s="63">
        <f t="shared" si="1"/>
        <v>0</v>
      </c>
      <c r="K17" s="72">
        <f t="shared" si="2"/>
        <v>0</v>
      </c>
      <c r="L17" s="74">
        <f t="shared" si="3"/>
        <v>0</v>
      </c>
      <c r="M17" s="51"/>
      <c r="N17" s="51"/>
      <c r="O17" s="51"/>
      <c r="P17" s="51"/>
      <c r="Q17" s="51"/>
      <c r="R17" s="51"/>
    </row>
    <row r="18" spans="2:18" x14ac:dyDescent="0.25">
      <c r="B18" s="57"/>
      <c r="C18" s="55"/>
      <c r="D18" s="55"/>
      <c r="E18" s="78"/>
      <c r="F18" s="78"/>
      <c r="G18" s="78"/>
      <c r="H18" s="90"/>
      <c r="I18" s="87">
        <f t="shared" si="0"/>
        <v>0</v>
      </c>
      <c r="J18" s="63">
        <f t="shared" si="1"/>
        <v>0</v>
      </c>
      <c r="K18" s="72">
        <f t="shared" si="2"/>
        <v>0</v>
      </c>
      <c r="L18" s="74">
        <f t="shared" si="3"/>
        <v>0</v>
      </c>
      <c r="M18" s="51"/>
      <c r="N18" s="51"/>
      <c r="O18" s="51"/>
      <c r="P18" s="51"/>
      <c r="Q18" s="51"/>
      <c r="R18" s="51"/>
    </row>
    <row r="19" spans="2:18" x14ac:dyDescent="0.25">
      <c r="B19" s="57"/>
      <c r="C19" s="55"/>
      <c r="D19" s="55"/>
      <c r="E19" s="78"/>
      <c r="F19" s="78"/>
      <c r="G19" s="78"/>
      <c r="H19" s="90"/>
      <c r="I19" s="87">
        <f t="shared" si="0"/>
        <v>0</v>
      </c>
      <c r="J19" s="63">
        <f t="shared" si="1"/>
        <v>0</v>
      </c>
      <c r="K19" s="72">
        <f t="shared" si="2"/>
        <v>0</v>
      </c>
      <c r="L19" s="74">
        <f t="shared" si="3"/>
        <v>0</v>
      </c>
      <c r="M19" s="51"/>
      <c r="N19" s="51"/>
      <c r="O19" s="51"/>
      <c r="P19" s="51"/>
      <c r="Q19" s="51"/>
      <c r="R19" s="51"/>
    </row>
    <row r="20" spans="2:18" x14ac:dyDescent="0.25">
      <c r="B20" s="57"/>
      <c r="C20" s="55"/>
      <c r="D20" s="55"/>
      <c r="E20" s="78"/>
      <c r="F20" s="78"/>
      <c r="G20" s="78"/>
      <c r="H20" s="90"/>
      <c r="I20" s="87">
        <f t="shared" si="0"/>
        <v>0</v>
      </c>
      <c r="J20" s="63">
        <f t="shared" si="1"/>
        <v>0</v>
      </c>
      <c r="K20" s="72">
        <f t="shared" si="2"/>
        <v>0</v>
      </c>
      <c r="L20" s="74">
        <f t="shared" si="3"/>
        <v>0</v>
      </c>
      <c r="M20" s="51"/>
      <c r="N20" s="51"/>
      <c r="O20" s="51"/>
      <c r="P20" s="51"/>
      <c r="Q20" s="51"/>
      <c r="R20" s="51"/>
    </row>
    <row r="21" spans="2:18" x14ac:dyDescent="0.25">
      <c r="B21" s="57"/>
      <c r="C21" s="55"/>
      <c r="D21" s="55"/>
      <c r="E21" s="78"/>
      <c r="F21" s="78"/>
      <c r="G21" s="78"/>
      <c r="H21" s="90"/>
      <c r="I21" s="87">
        <f t="shared" si="0"/>
        <v>0</v>
      </c>
      <c r="J21" s="63">
        <f t="shared" si="1"/>
        <v>0</v>
      </c>
      <c r="K21" s="72">
        <f t="shared" si="2"/>
        <v>0</v>
      </c>
      <c r="L21" s="74">
        <f t="shared" si="3"/>
        <v>0</v>
      </c>
      <c r="M21" s="51"/>
      <c r="N21" s="51"/>
      <c r="O21" s="51"/>
      <c r="P21" s="51"/>
      <c r="Q21" s="51"/>
      <c r="R21" s="51"/>
    </row>
    <row r="22" spans="2:18" x14ac:dyDescent="0.25">
      <c r="B22" s="57"/>
      <c r="C22" s="55"/>
      <c r="D22" s="55"/>
      <c r="E22" s="78"/>
      <c r="F22" s="78"/>
      <c r="G22" s="78"/>
      <c r="H22" s="90"/>
      <c r="I22" s="87">
        <f t="shared" si="0"/>
        <v>0</v>
      </c>
      <c r="J22" s="63">
        <f t="shared" si="1"/>
        <v>0</v>
      </c>
      <c r="K22" s="72">
        <f t="shared" si="2"/>
        <v>0</v>
      </c>
      <c r="L22" s="74">
        <f t="shared" si="3"/>
        <v>0</v>
      </c>
      <c r="M22" s="51"/>
      <c r="N22" s="51"/>
      <c r="O22" s="51"/>
      <c r="P22" s="51"/>
      <c r="Q22" s="51"/>
      <c r="R22" s="51"/>
    </row>
    <row r="23" spans="2:18" x14ac:dyDescent="0.25">
      <c r="B23" s="57"/>
      <c r="C23" s="55"/>
      <c r="D23" s="55"/>
      <c r="E23" s="78"/>
      <c r="F23" s="78"/>
      <c r="G23" s="78"/>
      <c r="H23" s="90"/>
      <c r="I23" s="87">
        <f t="shared" si="0"/>
        <v>0</v>
      </c>
      <c r="J23" s="63">
        <f t="shared" si="1"/>
        <v>0</v>
      </c>
      <c r="K23" s="72">
        <f t="shared" si="2"/>
        <v>0</v>
      </c>
      <c r="L23" s="74">
        <f t="shared" si="3"/>
        <v>0</v>
      </c>
      <c r="M23" s="51"/>
      <c r="N23" s="51"/>
      <c r="O23" s="51"/>
      <c r="P23" s="51"/>
      <c r="Q23" s="51"/>
      <c r="R23" s="51"/>
    </row>
    <row r="24" spans="2:18" x14ac:dyDescent="0.25">
      <c r="B24" s="57"/>
      <c r="C24" s="55"/>
      <c r="D24" s="55"/>
      <c r="E24" s="78"/>
      <c r="F24" s="78"/>
      <c r="G24" s="78"/>
      <c r="H24" s="90"/>
      <c r="I24" s="87">
        <f t="shared" si="0"/>
        <v>0</v>
      </c>
      <c r="J24" s="63">
        <f t="shared" si="1"/>
        <v>0</v>
      </c>
      <c r="K24" s="72">
        <f t="shared" si="2"/>
        <v>0</v>
      </c>
      <c r="L24" s="74">
        <f t="shared" si="3"/>
        <v>0</v>
      </c>
      <c r="M24" s="51"/>
      <c r="N24" s="51"/>
      <c r="O24" s="51"/>
      <c r="P24" s="51"/>
      <c r="Q24" s="51"/>
      <c r="R24" s="51"/>
    </row>
    <row r="25" spans="2:18" ht="15.75" thickBot="1" x14ac:dyDescent="0.3">
      <c r="B25" s="59"/>
      <c r="C25" s="60"/>
      <c r="D25" s="60"/>
      <c r="E25" s="79"/>
      <c r="F25" s="79"/>
      <c r="G25" s="79"/>
      <c r="H25" s="91"/>
      <c r="I25" s="88">
        <f t="shared" si="0"/>
        <v>0</v>
      </c>
      <c r="J25" s="65">
        <f t="shared" si="1"/>
        <v>0</v>
      </c>
      <c r="K25" s="72">
        <f t="shared" si="2"/>
        <v>0</v>
      </c>
      <c r="L25" s="74">
        <f t="shared" si="3"/>
        <v>0</v>
      </c>
      <c r="M25" s="51"/>
      <c r="N25" s="51"/>
      <c r="O25" s="51"/>
      <c r="P25" s="51"/>
      <c r="Q25" s="51"/>
      <c r="R25" s="51"/>
    </row>
    <row r="26" spans="2:18" ht="15.75" thickBot="1" x14ac:dyDescent="0.3">
      <c r="B26" s="54"/>
      <c r="C26" s="54"/>
      <c r="D26" s="54"/>
      <c r="E26" s="54"/>
      <c r="F26" s="54"/>
      <c r="G26" s="54"/>
      <c r="H26" s="54"/>
      <c r="I26" s="54"/>
      <c r="J26" s="54"/>
      <c r="K26" s="51"/>
      <c r="L26" s="51"/>
      <c r="M26" s="51"/>
      <c r="N26" s="51"/>
      <c r="O26" s="51"/>
      <c r="P26" s="51"/>
      <c r="Q26" s="51"/>
      <c r="R26" s="51"/>
    </row>
    <row r="27" spans="2:18" x14ac:dyDescent="0.25">
      <c r="B27" s="92" t="s">
        <v>81</v>
      </c>
      <c r="C27" s="56">
        <f>SUM(E12:E18)*4</f>
        <v>0</v>
      </c>
      <c r="D27" s="54"/>
      <c r="E27" s="54"/>
      <c r="F27" s="54"/>
      <c r="G27" s="54"/>
      <c r="H27" s="54"/>
      <c r="I27" s="54"/>
      <c r="J27" s="54"/>
      <c r="K27" s="51"/>
      <c r="L27" s="51"/>
      <c r="M27" s="51"/>
      <c r="N27" s="51"/>
      <c r="O27" s="51"/>
      <c r="P27" s="51"/>
      <c r="Q27" s="51"/>
      <c r="R27" s="51"/>
    </row>
    <row r="28" spans="2:18" ht="15.75" thickBot="1" x14ac:dyDescent="0.3">
      <c r="B28" s="93" t="s">
        <v>82</v>
      </c>
      <c r="C28" s="61" cm="1">
        <f t="array" ref="C28">SUM(L12:L25)-SUM(E12:E18*4)</f>
        <v>0</v>
      </c>
      <c r="D28" s="54"/>
      <c r="E28" s="54"/>
      <c r="F28" s="54"/>
      <c r="G28" s="54"/>
      <c r="H28" s="54"/>
      <c r="I28" s="54"/>
      <c r="J28" s="54"/>
      <c r="K28" s="51"/>
      <c r="L28" s="51"/>
      <c r="M28" s="51"/>
      <c r="N28" s="51"/>
      <c r="O28" s="51"/>
      <c r="P28" s="51"/>
      <c r="Q28" s="51"/>
      <c r="R28" s="51"/>
    </row>
    <row r="29" spans="2:18" ht="15.75" thickBot="1" x14ac:dyDescent="0.3">
      <c r="B29" s="54"/>
      <c r="C29" s="54"/>
      <c r="D29" s="54"/>
      <c r="E29" s="54"/>
      <c r="F29" s="54"/>
      <c r="G29" s="54"/>
      <c r="H29" s="54"/>
      <c r="I29" s="54"/>
      <c r="J29" s="54"/>
      <c r="K29" s="51"/>
      <c r="L29" s="51"/>
      <c r="M29" s="51"/>
      <c r="N29" s="51"/>
      <c r="O29" s="51"/>
      <c r="P29" s="51"/>
      <c r="Q29" s="51"/>
      <c r="R29" s="51"/>
    </row>
    <row r="30" spans="2:18" x14ac:dyDescent="0.25">
      <c r="B30" s="80" t="s">
        <v>69</v>
      </c>
      <c r="C30" s="56">
        <f>SUMIF(B12:B25,"EXT*",E12:E25)</f>
        <v>0</v>
      </c>
      <c r="F30" s="54"/>
      <c r="G30" s="54"/>
      <c r="H30" s="54"/>
      <c r="I30" s="54"/>
      <c r="J30" s="54"/>
      <c r="K30" s="51"/>
      <c r="L30" s="51"/>
      <c r="M30" s="51"/>
      <c r="N30" s="51"/>
      <c r="O30" s="51"/>
      <c r="P30" s="51"/>
      <c r="Q30" s="51"/>
      <c r="R30" s="51"/>
    </row>
    <row r="31" spans="2:18" x14ac:dyDescent="0.25">
      <c r="B31" s="81" t="s">
        <v>70</v>
      </c>
      <c r="C31" s="58">
        <f>SUMIF(B12:B25,"EXT*",I12:I25)</f>
        <v>0</v>
      </c>
      <c r="F31" s="54"/>
      <c r="G31" s="54"/>
      <c r="H31" s="54"/>
      <c r="I31" s="54"/>
      <c r="J31" s="54"/>
      <c r="K31" s="51"/>
      <c r="L31" s="51"/>
      <c r="M31" s="51"/>
      <c r="N31" s="51"/>
      <c r="O31" s="51"/>
      <c r="P31" s="51"/>
      <c r="Q31" s="51"/>
      <c r="R31" s="51"/>
    </row>
    <row r="32" spans="2:18" x14ac:dyDescent="0.25">
      <c r="B32" s="82" t="s">
        <v>71</v>
      </c>
      <c r="C32" s="58">
        <f>SUMIF(B12:B25,"EXT*",J12:J25)</f>
        <v>0</v>
      </c>
      <c r="F32" s="54"/>
      <c r="G32" s="54"/>
      <c r="H32" s="54"/>
      <c r="I32" s="54"/>
      <c r="J32" s="54"/>
      <c r="K32" s="51"/>
      <c r="L32" s="51"/>
      <c r="M32" s="51"/>
      <c r="N32" s="51"/>
      <c r="O32" s="51"/>
      <c r="P32" s="51"/>
      <c r="Q32" s="51"/>
      <c r="R32" s="51"/>
    </row>
    <row r="33" spans="2:18" x14ac:dyDescent="0.25">
      <c r="B33" s="83" t="s">
        <v>72</v>
      </c>
      <c r="C33" s="58">
        <f>SUMIF(B12:B25,"INT*",I12:I25)</f>
        <v>0</v>
      </c>
      <c r="F33" s="54"/>
      <c r="G33" s="54"/>
      <c r="H33" s="54"/>
      <c r="I33" s="54"/>
      <c r="J33" s="54"/>
      <c r="K33" s="51"/>
      <c r="L33" s="51"/>
      <c r="M33" s="51"/>
      <c r="N33" s="51"/>
      <c r="O33" s="51"/>
      <c r="P33" s="51"/>
      <c r="Q33" s="51"/>
      <c r="R33" s="51"/>
    </row>
    <row r="34" spans="2:18" x14ac:dyDescent="0.25">
      <c r="B34" s="84" t="s">
        <v>73</v>
      </c>
      <c r="C34" s="58">
        <f>SUMIF(B12:B25,"INT*",E12:E25)</f>
        <v>0</v>
      </c>
      <c r="F34" s="54"/>
      <c r="G34" s="54"/>
      <c r="H34" s="54"/>
      <c r="I34" s="54"/>
      <c r="J34" s="54"/>
      <c r="K34" s="51"/>
      <c r="L34" s="51"/>
      <c r="M34" s="51"/>
      <c r="N34" s="51"/>
      <c r="O34" s="51"/>
      <c r="P34" s="51"/>
      <c r="Q34" s="51"/>
      <c r="R34" s="51"/>
    </row>
    <row r="35" spans="2:18" ht="15.75" thickBot="1" x14ac:dyDescent="0.3">
      <c r="B35" s="85" t="s">
        <v>74</v>
      </c>
      <c r="C35" s="61">
        <f>SUMIF(B12:B25,"INT*",J12:J25)</f>
        <v>0</v>
      </c>
      <c r="F35" s="54"/>
      <c r="G35" s="54"/>
      <c r="H35" s="54"/>
      <c r="I35" s="54"/>
      <c r="J35" s="54"/>
      <c r="K35" s="51"/>
      <c r="L35" s="51"/>
      <c r="M35" s="51"/>
      <c r="N35" s="51"/>
      <c r="O35" s="51"/>
      <c r="P35" s="51"/>
      <c r="Q35" s="51"/>
      <c r="R35" s="51"/>
    </row>
    <row r="36" spans="2:18" x14ac:dyDescent="0.25">
      <c r="B36" s="1" t="s">
        <v>7</v>
      </c>
      <c r="C36" s="2" t="s">
        <v>8</v>
      </c>
      <c r="F36" s="54"/>
      <c r="G36" s="54"/>
      <c r="H36" s="54"/>
      <c r="I36" s="54"/>
      <c r="J36" s="54"/>
      <c r="K36" s="51"/>
      <c r="L36" s="51"/>
      <c r="M36" s="51"/>
      <c r="N36" s="51"/>
      <c r="O36" s="51"/>
      <c r="P36" s="51"/>
      <c r="Q36" s="51"/>
      <c r="R36" s="51"/>
    </row>
    <row r="37" spans="2:18" x14ac:dyDescent="0.25">
      <c r="B37" s="1" t="s">
        <v>0</v>
      </c>
      <c r="C37" s="2" t="s">
        <v>9</v>
      </c>
      <c r="D37" s="54"/>
      <c r="E37" s="54"/>
      <c r="F37" s="54"/>
      <c r="G37" s="54"/>
      <c r="H37" s="54"/>
      <c r="I37" s="54"/>
      <c r="J37" s="54"/>
      <c r="K37" s="51"/>
      <c r="L37" s="51"/>
      <c r="M37" s="51"/>
      <c r="N37" s="51"/>
      <c r="O37" s="51"/>
      <c r="P37" s="51"/>
      <c r="Q37" s="51"/>
      <c r="R37" s="51"/>
    </row>
    <row r="38" spans="2:18" x14ac:dyDescent="0.25">
      <c r="B38" s="1" t="s">
        <v>1</v>
      </c>
      <c r="C38" s="2" t="s">
        <v>10</v>
      </c>
      <c r="D38" s="54"/>
      <c r="E38" s="54"/>
      <c r="F38" s="54"/>
      <c r="G38" s="54"/>
      <c r="H38" s="54"/>
      <c r="I38" s="54"/>
      <c r="J38" s="54"/>
      <c r="K38" s="51"/>
      <c r="L38" s="51"/>
      <c r="M38" s="51"/>
      <c r="N38" s="51"/>
      <c r="O38" s="51"/>
      <c r="P38" s="51"/>
      <c r="Q38" s="51"/>
      <c r="R38" s="51"/>
    </row>
    <row r="39" spans="2:18" x14ac:dyDescent="0.25">
      <c r="B39" s="1" t="s">
        <v>2</v>
      </c>
      <c r="C39" s="2" t="s">
        <v>11</v>
      </c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2:18" x14ac:dyDescent="0.25">
      <c r="B40" s="1" t="s">
        <v>5</v>
      </c>
      <c r="C40" s="2" t="s">
        <v>12</v>
      </c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2:18" x14ac:dyDescent="0.25">
      <c r="B41" s="1" t="s">
        <v>6</v>
      </c>
      <c r="C41" s="2" t="s">
        <v>42</v>
      </c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2:18" x14ac:dyDescent="0.25">
      <c r="B42" s="1" t="s">
        <v>43</v>
      </c>
      <c r="C42" s="2" t="s">
        <v>41</v>
      </c>
    </row>
  </sheetData>
  <phoneticPr fontId="13" type="noConversion"/>
  <dataValidations disablePrompts="1" count="2">
    <dataValidation type="list" allowBlank="1" showInputMessage="1" showErrorMessage="1" sqref="C12:C25" xr:uid="{C94E0848-57C0-4686-AC41-47AD35DF47F1}">
      <formula1>$AA$3:$AA$5</formula1>
    </dataValidation>
    <dataValidation type="list" allowBlank="1" showInputMessage="1" showErrorMessage="1" sqref="B12:B25" xr:uid="{3EE0E5E3-0513-4E68-B45B-5B1B1184F726}">
      <formula1>$AA$7:$AA$8</formula1>
    </dataValidation>
  </dataValidations>
  <pageMargins left="0.7" right="0.7" top="0.75" bottom="0.75" header="0.3" footer="0.3"/>
  <pageSetup scale="5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119F-E160-47C2-9517-54CB754F02D1}">
  <sheetPr codeName="Sheet13">
    <pageSetUpPr fitToPage="1"/>
  </sheetPr>
  <dimension ref="B2:BF286"/>
  <sheetViews>
    <sheetView showGridLines="0" tabSelected="1" view="pageBreakPreview" topLeftCell="A119" zoomScale="70" zoomScaleNormal="100" zoomScaleSheetLayoutView="70" workbookViewId="0">
      <selection activeCell="B286" sqref="B286"/>
    </sheetView>
  </sheetViews>
  <sheetFormatPr defaultRowHeight="15" x14ac:dyDescent="0.25"/>
  <cols>
    <col min="2" max="2" width="42.85546875" customWidth="1"/>
    <col min="3" max="3" width="45.5703125" bestFit="1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25"/>
      <c r="D2" s="325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5" t="s">
        <v>100</v>
      </c>
      <c r="D3" s="336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37"/>
      <c r="D4" s="338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W6X20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W6X25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100"/>
      <c r="D6" s="100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34"/>
      <c r="G7" s="334"/>
      <c r="N7" t="s">
        <v>370</v>
      </c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85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IF(T5=0,0,IF(T6="Mildly",((T5-1)-T8)*0.00094,IF(AE6="Moderately",(((T5-1)-T8)*0.00118),IF(AE6="Highly",((T5-1)-T8)*0.00141))))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">
        <v>60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0" t="s">
        <v>171</v>
      </c>
      <c r="S11" s="340"/>
      <c r="T11" s="164">
        <f>2*(T15*T14)+((T12-(2*T14))*T13)</f>
        <v>5.8167999999999997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13.279850213333331</v>
      </c>
      <c r="Z11" s="166" t="s">
        <v>173</v>
      </c>
      <c r="AC11" s="341" t="s">
        <v>171</v>
      </c>
      <c r="AD11" s="340"/>
      <c r="AE11" s="164">
        <f>2*(AE15*AE14)+((AE12-(2*AE14))*AE13)</f>
        <v>5.8167999999999997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13.279850213333331</v>
      </c>
      <c r="AK11" s="166" t="s">
        <v>173</v>
      </c>
      <c r="AM11" s="341" t="s">
        <v>171</v>
      </c>
      <c r="AN11" s="340"/>
      <c r="AO11" s="164">
        <f>2*(AO15*AO14)+((AO12-(2*AO14))*AO13)</f>
        <v>7.2831999999999999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17.058911573333333</v>
      </c>
      <c r="AU11" s="166" t="s">
        <v>173</v>
      </c>
      <c r="AW11" s="341" t="s">
        <v>171</v>
      </c>
      <c r="AX11" s="340"/>
      <c r="AY11" s="164">
        <f>2*(AY15*AY14)+((AY12-(2*AY14))*AY13)</f>
        <v>7.2831999999999999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52">
        <v>1</v>
      </c>
      <c r="C12" s="28" t="str">
        <f>IF($C$11='Load Combinations'!$A$1,'Load Combinations'!A2,IF($C$11='Load Combinations'!$B$1,'Load Combinations'!B2,IF($C$11='Load Combinations'!$C$1,'Load Combinations'!C2,IF($C$11='Load Combinations'!$D$1,'Load Combinations'!D2," Error "))))</f>
        <v>DL</v>
      </c>
      <c r="D12" s="253" t="s">
        <v>16</v>
      </c>
      <c r="E12" s="21">
        <f>'0 Degree Loads'!E13</f>
        <v>0</v>
      </c>
      <c r="F12" s="21">
        <f>'0 Degree Loads'!F13</f>
        <v>0</v>
      </c>
      <c r="G12" s="21">
        <f>'0 Degree Loads'!G13</f>
        <v>0</v>
      </c>
      <c r="H12" s="21">
        <f>'0 Degree Loads'!H13</f>
        <v>0</v>
      </c>
      <c r="I12" s="22">
        <f>'0 Degree Loads'!I13</f>
        <v>0</v>
      </c>
      <c r="O12" s="202" t="str">
        <f>N7</f>
        <v xml:space="preserve">3' Adeer </v>
      </c>
      <c r="P12" s="162">
        <f>(P7*12)-C263</f>
        <v>-36</v>
      </c>
      <c r="Q12" s="163"/>
      <c r="R12" s="342" t="s">
        <v>174</v>
      </c>
      <c r="S12" s="342"/>
      <c r="T12" s="167">
        <f>INDEX(Shapes!$D$2:$D$17,MATCH(Profile_Zone_1_STD_D,Shapes!$A$2:$A$17,0))-T9</f>
        <v>6.2</v>
      </c>
      <c r="U12" t="s">
        <v>170</v>
      </c>
      <c r="V12" s="168"/>
      <c r="W12" s="342" t="s">
        <v>405</v>
      </c>
      <c r="X12" s="342"/>
      <c r="Y12" s="8">
        <f>(2*Y11)/T15</f>
        <v>4.4119103698781839</v>
      </c>
      <c r="Z12" s="159" t="s">
        <v>175</v>
      </c>
      <c r="AC12" s="343" t="s">
        <v>174</v>
      </c>
      <c r="AD12" s="342"/>
      <c r="AE12" s="167">
        <f>INDEX(Shapes!$D$2:$D$17,MATCH(Profile_Zone_1_1_D,Shapes!$A$2:$A$17,0))-AE9</f>
        <v>6.2</v>
      </c>
      <c r="AF12" t="s">
        <v>170</v>
      </c>
      <c r="AG12" s="168"/>
      <c r="AH12" s="342" t="s">
        <v>405</v>
      </c>
      <c r="AI12" s="342"/>
      <c r="AJ12" s="8">
        <f>(2*AJ11)/AE15</f>
        <v>4.4119103698781839</v>
      </c>
      <c r="AK12" s="159" t="s">
        <v>175</v>
      </c>
      <c r="AM12" s="343" t="s">
        <v>174</v>
      </c>
      <c r="AN12" s="342"/>
      <c r="AO12" s="167">
        <f>INDEX(Shapes!$D$2:$D$17,MATCH(Profile_Zone_1_2_D,Shapes!$A$2:$A$17,0))-AO9</f>
        <v>6.38</v>
      </c>
      <c r="AP12" t="s">
        <v>170</v>
      </c>
      <c r="AQ12" s="168"/>
      <c r="AR12" s="342" t="s">
        <v>405</v>
      </c>
      <c r="AS12" s="342"/>
      <c r="AT12" s="8">
        <f>(2*AT11)/AO15</f>
        <v>5.6114840701754387</v>
      </c>
      <c r="AU12" s="159" t="s">
        <v>175</v>
      </c>
      <c r="AW12" s="343" t="s">
        <v>174</v>
      </c>
      <c r="AX12" s="342"/>
      <c r="AY12" s="167">
        <f>INDEX(Shapes!$D$2:$D$17,MATCH(Profile_Zone_1_3_D,Shapes!$A$2:$A$17,0))-AY9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240">
        <v>2</v>
      </c>
      <c r="C13" s="14" t="str">
        <f>IF($C$11='Load Combinations'!$A$1,'Load Combinations'!A3,IF($C$11='Load Combinations'!$B$1,'Load Combinations'!B3,IF($C$11='Load Combinations'!$C$1,'Load Combinations'!C3,IF($C$11='Load Combinations'!$D$1,'Load Combinations'!D3," Error "))))</f>
        <v>DL + SL</v>
      </c>
      <c r="D13" s="241" t="s">
        <v>16</v>
      </c>
      <c r="E13" s="23">
        <f>'0 Degree Loads'!E14</f>
        <v>0</v>
      </c>
      <c r="F13" s="23">
        <f>'0 Degree Loads'!F14</f>
        <v>0</v>
      </c>
      <c r="G13" s="23">
        <f>'0 Degree Loads'!G14</f>
        <v>0</v>
      </c>
      <c r="H13" s="23">
        <f>'0 Degree Loads'!H14</f>
        <v>0</v>
      </c>
      <c r="I13" s="24">
        <f>'0 Degree Loads'!I14</f>
        <v>0</v>
      </c>
      <c r="R13" s="343" t="s">
        <v>176</v>
      </c>
      <c r="S13" s="342"/>
      <c r="T13" s="167">
        <f>INDEX(Shapes!$H$2:$H$17,MATCH(Profile_Zone_1_STD_D,Shapes!$A$2:$A$17,0))-T9</f>
        <v>0.26</v>
      </c>
      <c r="U13" t="s">
        <v>170</v>
      </c>
      <c r="V13" s="168"/>
      <c r="W13" s="342" t="s">
        <v>177</v>
      </c>
      <c r="X13" s="342"/>
      <c r="Y13" s="8">
        <f>INDEX(Shapes!$Y$2:$Y$17,MATCH(Profile_Zone_1_STD_D,Shapes!$A$2:$A$17,0))</f>
        <v>1.5</v>
      </c>
      <c r="Z13" s="159" t="s">
        <v>175</v>
      </c>
      <c r="AC13" s="343" t="s">
        <v>176</v>
      </c>
      <c r="AD13" s="342"/>
      <c r="AE13" s="167">
        <f>INDEX(Shapes!$H$2:$H$17,MATCH(Profile_Zone_1_1_D,Shapes!$A$2:$A$17,0))-AE9</f>
        <v>0.26</v>
      </c>
      <c r="AF13" t="s">
        <v>170</v>
      </c>
      <c r="AG13" s="168"/>
      <c r="AH13" s="342" t="s">
        <v>177</v>
      </c>
      <c r="AI13" s="342"/>
      <c r="AJ13" s="8">
        <f>INDEX(Shapes!$Y$2:$Y$17,MATCH(Profile_Zone_1_1_D,Shapes!$A$2:$A$17,0))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INDEX(Shapes!$H$2:$H$17,MATCH(Profile_Zone_1_2_D,Shapes!$A$2:$A$17,0))-AO9</f>
        <v>0.32</v>
      </c>
      <c r="AP13" t="s">
        <v>170</v>
      </c>
      <c r="AQ13" s="168"/>
      <c r="AR13" s="342" t="s">
        <v>177</v>
      </c>
      <c r="AS13" s="342"/>
      <c r="AT13" s="8">
        <f>INDEX(Shapes!$Y$2:$Y$17,MATCH(Profile_Zone_1_2_D,Shapes!$A$2:$A$17,0))</f>
        <v>1.52</v>
      </c>
      <c r="AU13" s="159" t="s">
        <v>175</v>
      </c>
      <c r="AW13" s="343" t="s">
        <v>176</v>
      </c>
      <c r="AX13" s="342"/>
      <c r="AY13" s="167">
        <f>INDEX(Shapes!$H$2:$H$17,MATCH(Profile_Zone_1_3_D,Shapes!$A$2:$A$17,0))-AY9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INDEX(Shapes!$Y$2:$Y$17,MATCH(Profile_Zone_1_3_D,Shapes!$A$2:$A$17,0))</f>
        <v>1.52</v>
      </c>
      <c r="BE13" s="159" t="s">
        <v>175</v>
      </c>
    </row>
    <row r="14" spans="2:58" x14ac:dyDescent="0.25">
      <c r="B14" s="240">
        <v>3</v>
      </c>
      <c r="C14" s="14" t="str">
        <f>IF($C$11='Load Combinations'!$A$1,'Load Combinations'!A4,IF($C$11='Load Combinations'!$B$1,'Load Combinations'!B4,IF($C$11='Load Combinations'!$C$1,'Load Combinations'!C4,IF($C$11='Load Combinations'!$D$1,'Load Combinations'!D4," Error "))))</f>
        <v>DL + 0.6 WL+X</v>
      </c>
      <c r="D14" s="241" t="s">
        <v>16</v>
      </c>
      <c r="E14" s="23">
        <f>'0 Degree Loads'!E15</f>
        <v>0</v>
      </c>
      <c r="F14" s="23">
        <f>'0 Degree Loads'!F15</f>
        <v>0</v>
      </c>
      <c r="G14" s="23">
        <f>'0 Degree Loads'!G15</f>
        <v>0</v>
      </c>
      <c r="H14" s="23">
        <f>'0 Degree Loads'!H15</f>
        <v>0</v>
      </c>
      <c r="I14" s="24">
        <f>'0 Degree Loads'!I15</f>
        <v>0</v>
      </c>
      <c r="R14" s="343" t="s">
        <v>178</v>
      </c>
      <c r="S14" s="342"/>
      <c r="T14" s="167">
        <f>INDEX(Shapes!$K$2:$K$17,MATCH(Profile_Zone_1_STD_D,Shapes!$A$2:$A$17,0))-T9</f>
        <v>0.36499999999999999</v>
      </c>
      <c r="U14" t="s">
        <v>170</v>
      </c>
      <c r="V14" s="168"/>
      <c r="W14" s="342" t="s">
        <v>406</v>
      </c>
      <c r="X14" s="342"/>
      <c r="Y14" s="8">
        <f>((T15^2*T14)/2)+((T13^2)*(T20))/4</f>
        <v>6.7063159999999993</v>
      </c>
      <c r="Z14" s="159" t="s">
        <v>175</v>
      </c>
      <c r="AC14" s="343" t="s">
        <v>178</v>
      </c>
      <c r="AD14" s="342"/>
      <c r="AE14" s="167">
        <f>INDEX(Shapes!$K$2:$K$17,MATCH(Profile_Zone_1_1_D,Shapes!$A$2:$A$17,0))-AE9</f>
        <v>0.36499999999999999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6.7063159999999993</v>
      </c>
      <c r="AK14" s="159" t="s">
        <v>175</v>
      </c>
      <c r="AM14" s="343" t="s">
        <v>178</v>
      </c>
      <c r="AN14" s="342"/>
      <c r="AO14" s="167">
        <f>INDEX(Shapes!$K$2:$K$17,MATCH(Profile_Zone_1_2_D,Shapes!$A$2:$A$17,0))-AO9</f>
        <v>0.45500000000000002</v>
      </c>
      <c r="AP14" t="s">
        <v>170</v>
      </c>
      <c r="AQ14" s="168"/>
      <c r="AR14" s="342" t="s">
        <v>406</v>
      </c>
      <c r="AS14" s="342"/>
      <c r="AT14" s="8">
        <f>((AO15^2*AO14)/2)+((AO13^2)*(AO20))/4</f>
        <v>8.5498879999999993</v>
      </c>
      <c r="AU14" s="159" t="s">
        <v>175</v>
      </c>
      <c r="AW14" s="343" t="s">
        <v>178</v>
      </c>
      <c r="AX14" s="342"/>
      <c r="AY14" s="167">
        <f>INDEX(Shapes!$K$2:$K$17,MATCH(Profile_Zone_1_3_D,Shapes!$A$2:$A$17,0))-AY9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240">
        <v>4</v>
      </c>
      <c r="C15" s="14" t="str">
        <f>IF($C$11='Load Combinations'!$A$1,'Load Combinations'!A5,IF($C$11='Load Combinations'!$B$1,'Load Combinations'!B5,IF($C$11='Load Combinations'!$C$1,'Load Combinations'!C5,IF($C$11='Load Combinations'!$D$1,'Load Combinations'!D5," Error "))))</f>
        <v>DL + 0.6 WL-X</v>
      </c>
      <c r="D15" s="241" t="s">
        <v>16</v>
      </c>
      <c r="E15" s="23">
        <f>'0 Degree Loads'!E16</f>
        <v>0</v>
      </c>
      <c r="F15" s="23">
        <f>'0 Degree Loads'!F16</f>
        <v>0</v>
      </c>
      <c r="G15" s="23">
        <f>'0 Degree Loads'!G16</f>
        <v>0</v>
      </c>
      <c r="H15" s="23">
        <f>'0 Degree Loads'!H16</f>
        <v>0</v>
      </c>
      <c r="I15" s="24">
        <f>'0 Degree Loads'!I16</f>
        <v>0</v>
      </c>
      <c r="R15" s="343" t="s">
        <v>179</v>
      </c>
      <c r="S15" s="342"/>
      <c r="T15" s="167">
        <f>INDEX(Shapes!$F$2:$F$17,MATCH(Profile_Zone_1_STD_D,Shapes!$A$2:$A$17,0))-T9</f>
        <v>6.02</v>
      </c>
      <c r="U15" t="s">
        <v>170</v>
      </c>
      <c r="V15" s="168"/>
      <c r="W15" s="342" t="s">
        <v>180</v>
      </c>
      <c r="X15" s="342"/>
      <c r="Y15" s="167">
        <f>T12-(T14)</f>
        <v>5.835</v>
      </c>
      <c r="Z15" s="159"/>
      <c r="AC15" s="343" t="s">
        <v>179</v>
      </c>
      <c r="AD15" s="342"/>
      <c r="AE15" s="167">
        <f>INDEX(Shapes!$F$2:$F$17,MATCH(Profile_Zone_1_1_D,Shapes!$A$2:$A$17,0))-AE9</f>
        <v>6.02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INDEX(Shapes!$F$2:$F$17,MATCH(Profile_Zone_1_2_D,Shapes!$A$2:$A$17,0))-AO9</f>
        <v>6.08</v>
      </c>
      <c r="AP15" t="s">
        <v>170</v>
      </c>
      <c r="AQ15" s="168"/>
      <c r="AR15" s="342" t="s">
        <v>180</v>
      </c>
      <c r="AS15" s="342"/>
      <c r="AT15" s="167">
        <f>AO12-(AO14)</f>
        <v>5.9249999999999998</v>
      </c>
      <c r="AU15" s="159"/>
      <c r="AW15" s="343" t="s">
        <v>179</v>
      </c>
      <c r="AX15" s="342"/>
      <c r="AY15" s="167">
        <f>INDEX(Shapes!$F$2:$F$17,MATCH(Profile_Zone_1_3_D,Shapes!$A$2:$A$17,0))-AY9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240">
        <v>5</v>
      </c>
      <c r="C16" s="14" t="str">
        <f>IF($C$11='Load Combinations'!$A$1,'Load Combinations'!A6,IF($C$11='Load Combinations'!$B$1,'Load Combinations'!B6,IF($C$11='Load Combinations'!$C$1,'Load Combinations'!C6,IF($C$11='Load Combinations'!$D$1,'Load Combinations'!D6," Error "))))</f>
        <v>DL + 0.45 OL1 + 0.75 SL + 0.75 LL</v>
      </c>
      <c r="D16" s="241" t="s">
        <v>16</v>
      </c>
      <c r="E16" s="23">
        <f>'0 Degree Loads'!E17</f>
        <v>0</v>
      </c>
      <c r="F16" s="23">
        <f>'0 Degree Loads'!F17</f>
        <v>0</v>
      </c>
      <c r="G16" s="23">
        <f>'0 Degree Loads'!G17</f>
        <v>0</v>
      </c>
      <c r="H16" s="23">
        <f>'0 Degree Loads'!H17</f>
        <v>0</v>
      </c>
      <c r="I16" s="24">
        <f>'0 Degree Loads'!I17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41.000898293333343</v>
      </c>
      <c r="U16" t="s">
        <v>173</v>
      </c>
      <c r="V16" s="168"/>
      <c r="W16" s="342" t="s">
        <v>182</v>
      </c>
      <c r="X16" s="342"/>
      <c r="Y16" s="8">
        <f>SQRT((Y11*Y15)/(2*T17))</f>
        <v>1.7115365644520282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41.000898293333343</v>
      </c>
      <c r="AF16" t="s">
        <v>173</v>
      </c>
      <c r="AG16" s="168"/>
      <c r="AH16" s="342" t="s">
        <v>182</v>
      </c>
      <c r="AI16" s="342"/>
      <c r="AJ16" s="8">
        <f>SQRT((AJ11*AJ15)/(2*AE17))</f>
        <v>1.7115365644520282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53.018014773333327</v>
      </c>
      <c r="AP16" t="s">
        <v>173</v>
      </c>
      <c r="AQ16" s="168"/>
      <c r="AR16" s="342" t="s">
        <v>182</v>
      </c>
      <c r="AS16" s="342"/>
      <c r="AT16" s="8">
        <f>SQRT((AT11*AT15)/(2*AO17))</f>
        <v>1.7437669781105718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240">
        <v>6</v>
      </c>
      <c r="C17" s="14" t="str">
        <f>IF($C$11='Load Combinations'!$A$1,'Load Combinations'!A7,IF($C$11='Load Combinations'!$B$1,'Load Combinations'!B7,IF($C$11='Load Combinations'!$C$1,'Load Combinations'!C7,IF($C$11='Load Combinations'!$D$1,'Load Combinations'!D7," Error "))))</f>
        <v>DL + 0.45 OL2 + 0.75 SL + 0.75 LL</v>
      </c>
      <c r="D17" s="241" t="s">
        <v>16</v>
      </c>
      <c r="E17" s="23">
        <f>'0 Degree Loads'!E18</f>
        <v>0</v>
      </c>
      <c r="F17" s="23">
        <f>'0 Degree Loads'!F18</f>
        <v>0</v>
      </c>
      <c r="G17" s="23">
        <f>'0 Degree Loads'!G18</f>
        <v>0</v>
      </c>
      <c r="H17" s="23">
        <f>'0 Degree Loads'!H18</f>
        <v>0</v>
      </c>
      <c r="I17" s="24">
        <f>'0 Degree Loads'!I18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13.226096223655915</v>
      </c>
      <c r="U17" t="s">
        <v>175</v>
      </c>
      <c r="V17" s="168"/>
      <c r="W17" s="342" t="s">
        <v>184</v>
      </c>
      <c r="X17" s="342"/>
      <c r="Y17" s="8">
        <f>((2*T15*T14^3)+(Y15*T13^3))/3</f>
        <v>0.22934218166666664</v>
      </c>
      <c r="Z17" s="159" t="s">
        <v>173</v>
      </c>
      <c r="AC17" s="343" t="s">
        <v>183</v>
      </c>
      <c r="AD17" s="342"/>
      <c r="AE17" s="8">
        <f>(2*AE16)/((AE20+2*AE14))</f>
        <v>13.226096223655915</v>
      </c>
      <c r="AF17" t="s">
        <v>175</v>
      </c>
      <c r="AG17" s="168"/>
      <c r="AH17" s="342" t="s">
        <v>184</v>
      </c>
      <c r="AI17" s="342"/>
      <c r="AJ17" s="8">
        <f>((2*AE15*AE14^3)+(AJ15*AE13^3))/3</f>
        <v>0.22934218166666664</v>
      </c>
      <c r="AK17" s="159" t="s">
        <v>173</v>
      </c>
      <c r="AM17" s="343" t="s">
        <v>183</v>
      </c>
      <c r="AN17" s="342"/>
      <c r="AO17" s="8">
        <f>(2*AO16)/((AO20+2*AO14))</f>
        <v>16.62006732706374</v>
      </c>
      <c r="AP17" t="s">
        <v>175</v>
      </c>
      <c r="AQ17" s="168"/>
      <c r="AR17" s="342" t="s">
        <v>184</v>
      </c>
      <c r="AS17" s="342"/>
      <c r="AT17" s="8">
        <f>((2*AO15*AO14^3)+(AT15*AO13^3))/3</f>
        <v>0.44652610666666676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240">
        <v>7</v>
      </c>
      <c r="C18" s="14" t="str">
        <f>IF($C$11='Load Combinations'!$A$1,'Load Combinations'!A8,IF($C$11='Load Combinations'!$B$1,'Load Combinations'!B8,IF($C$11='Load Combinations'!$C$1,'Load Combinations'!C8,IF($C$11='Load Combinations'!$D$1,'Load Combinations'!D8," Error "))))</f>
        <v>DL + 0.45 WL+X + 0.25 SL + 0.75 LL</v>
      </c>
      <c r="D18" s="241" t="s">
        <v>16</v>
      </c>
      <c r="E18" s="23">
        <f>'0 Degree Loads'!E19</f>
        <v>0</v>
      </c>
      <c r="F18" s="23">
        <f>'0 Degree Loads'!F19</f>
        <v>0</v>
      </c>
      <c r="G18" s="23">
        <f>'0 Degree Loads'!G19</f>
        <v>0</v>
      </c>
      <c r="H18" s="23">
        <f>'0 Degree Loads'!H19</f>
        <v>0</v>
      </c>
      <c r="I18" s="24">
        <f>'0 Degree Loads'!I19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2.6549394458704163</v>
      </c>
      <c r="U18" t="s">
        <v>170</v>
      </c>
      <c r="V18" s="168"/>
      <c r="W18" s="342" t="s">
        <v>186</v>
      </c>
      <c r="X18" s="342"/>
      <c r="Y18" s="8">
        <f>T20/T13</f>
        <v>21.03846153846154</v>
      </c>
      <c r="Z18" s="159"/>
      <c r="AC18" s="343" t="s">
        <v>185</v>
      </c>
      <c r="AD18" s="342"/>
      <c r="AE18" s="8">
        <f>(AE16/AE11)^0.5</f>
        <v>2.6549394458704163</v>
      </c>
      <c r="AF18" t="s">
        <v>170</v>
      </c>
      <c r="AG18" s="168"/>
      <c r="AH18" s="342" t="s">
        <v>186</v>
      </c>
      <c r="AI18" s="342"/>
      <c r="AJ18" s="8">
        <f>AE20/AE13</f>
        <v>21.03846153846154</v>
      </c>
      <c r="AK18" s="159"/>
      <c r="AM18" s="343" t="s">
        <v>185</v>
      </c>
      <c r="AN18" s="342"/>
      <c r="AO18" s="8">
        <f>(AO16/AO11)^0.5</f>
        <v>2.6980538466027935</v>
      </c>
      <c r="AP18" t="s">
        <v>170</v>
      </c>
      <c r="AQ18" s="168"/>
      <c r="AR18" s="342" t="s">
        <v>186</v>
      </c>
      <c r="AS18" s="342"/>
      <c r="AT18" s="8">
        <f>AO20/AO13</f>
        <v>17.09375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240">
        <v>8</v>
      </c>
      <c r="C19" s="14" t="str">
        <f>IF($C$11='Load Combinations'!$A$1,'Load Combinations'!A9,IF($C$11='Load Combinations'!$B$1,'Load Combinations'!B9,IF($C$11='Load Combinations'!$C$1,'Load Combinations'!C9,IF($C$11='Load Combinations'!$D$1,'Load Combinations'!D9," Error "))))</f>
        <v>DL + 0.45 WL-X + 0.25 SL + 0.75 LL</v>
      </c>
      <c r="D19" s="241" t="s">
        <v>16</v>
      </c>
      <c r="E19" s="23">
        <f>'0 Degree Loads'!E20</f>
        <v>0</v>
      </c>
      <c r="F19" s="23">
        <f>'0 Degree Loads'!F20</f>
        <v>0</v>
      </c>
      <c r="G19" s="23">
        <f>'0 Degree Loads'!G20</f>
        <v>0</v>
      </c>
      <c r="H19" s="23">
        <f>'0 Degree Loads'!H20</f>
        <v>0</v>
      </c>
      <c r="I19" s="24">
        <f>'0 Degree Loads'!I20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14.766103999999999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14.766103999999999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18.784591999999996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240">
        <v>9</v>
      </c>
      <c r="C20" s="14" t="str">
        <f>IF($C$11='Load Combinations'!$A$1,'Load Combinations'!A10,IF($C$11='Load Combinations'!$B$1,'Load Combinations'!B10,IF($C$11='Load Combinations'!$C$1,'Load Combinations'!C10,IF($C$11='Load Combinations'!$D$1,'Load Combinations'!D10," Error "))))</f>
        <v>0.6 DL + 0.6 WL+X</v>
      </c>
      <c r="D20" s="241" t="s">
        <v>16</v>
      </c>
      <c r="E20" s="23">
        <f>'0 Degree Loads'!E21</f>
        <v>0</v>
      </c>
      <c r="F20" s="23">
        <f>'0 Degree Loads'!F21</f>
        <v>0</v>
      </c>
      <c r="G20" s="23">
        <f>'0 Degree Loads'!G21</f>
        <v>0</v>
      </c>
      <c r="H20" s="23">
        <f>'0 Degree Loads'!H21</f>
        <v>0</v>
      </c>
      <c r="I20" s="24">
        <f>'0 Degree Loads'!I21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240">
        <v>10</v>
      </c>
      <c r="C21" s="14" t="str">
        <f>IF($C$11='Load Combinations'!$A$1,'Load Combinations'!A11,IF($C$11='Load Combinations'!$B$1,'Load Combinations'!B11,IF($C$11='Load Combinations'!$C$1,'Load Combinations'!C11,IF($C$11='Load Combinations'!$D$1,'Load Combinations'!D11," Error "))))</f>
        <v>0.6 DL + 0.6 WL-X</v>
      </c>
      <c r="D21" s="241" t="s">
        <v>16</v>
      </c>
      <c r="E21" s="23">
        <f>'0 Degree Loads'!E22</f>
        <v>0</v>
      </c>
      <c r="F21" s="23">
        <f>'0 Degree Loads'!F22</f>
        <v>0</v>
      </c>
      <c r="G21" s="23">
        <f>'0 Degree Loads'!G22</f>
        <v>0</v>
      </c>
      <c r="H21" s="23">
        <f>'0 Degree Loads'!H22</f>
        <v>0</v>
      </c>
      <c r="I21" s="24">
        <f>'0 Degree Loads'!I22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240">
        <v>11</v>
      </c>
      <c r="C22" s="14" t="str">
        <f>IF($C$11='Load Combinations'!$A$1,'Load Combinations'!A12,IF($C$11='Load Combinations'!$B$1,'Load Combinations'!B12,IF($C$11='Load Combinations'!$C$1,'Load Combinations'!C12,IF($C$11='Load Combinations'!$D$1,'Load Combinations'!D12," Error "))))</f>
        <v>DL + 0.7 ELX</v>
      </c>
      <c r="D22" s="241" t="s">
        <v>16</v>
      </c>
      <c r="E22" s="23">
        <f>'0 Degree Loads'!E23</f>
        <v>0</v>
      </c>
      <c r="F22" s="23">
        <f>'0 Degree Loads'!F23</f>
        <v>0</v>
      </c>
      <c r="G22" s="23">
        <f>'0 Degree Loads'!G23</f>
        <v>0</v>
      </c>
      <c r="H22" s="23">
        <f>'0 Degree Loads'!H23</f>
        <v>0</v>
      </c>
      <c r="I22" s="24">
        <f>'0 Degree Loads'!I23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240">
        <v>12</v>
      </c>
      <c r="C23" s="14" t="str">
        <f>IF($C$11='Load Combinations'!$A$1,'Load Combinations'!A13,IF($C$11='Load Combinations'!$B$1,'Load Combinations'!B13,IF($C$11='Load Combinations'!$C$1,'Load Combinations'!C13,IF($C$11='Load Combinations'!$D$1,'Load Combinations'!D13," Error "))))</f>
        <v>DL - 0.7 ELX</v>
      </c>
      <c r="D23" s="241" t="s">
        <v>16</v>
      </c>
      <c r="E23" s="23">
        <f>'0 Degree Loads'!E24</f>
        <v>0</v>
      </c>
      <c r="F23" s="23">
        <f>'0 Degree Loads'!F24</f>
        <v>0</v>
      </c>
      <c r="G23" s="23">
        <f>'0 Degree Loads'!G24</f>
        <v>0</v>
      </c>
      <c r="H23" s="23">
        <f>'0 Degree Loads'!H24</f>
        <v>0</v>
      </c>
      <c r="I23" s="24">
        <f>'0 Degree Loads'!I24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240">
        <v>13</v>
      </c>
      <c r="C24" s="14" t="str">
        <f>IF($C$11='Load Combinations'!$A$1,'Load Combinations'!A14,IF($C$11='Load Combinations'!$B$1,'Load Combinations'!B14,IF($C$11='Load Combinations'!$C$1,'Load Combinations'!C14,IF($C$11='Load Combinations'!$D$1,'Load Combinations'!D14," Error "))))</f>
        <v>DL + 0.7 ELZ</v>
      </c>
      <c r="D24" s="241" t="s">
        <v>16</v>
      </c>
      <c r="E24" s="23">
        <f>'0 Degree Loads'!E25</f>
        <v>0</v>
      </c>
      <c r="F24" s="23">
        <f>'0 Degree Loads'!F25</f>
        <v>0</v>
      </c>
      <c r="G24" s="23">
        <f>'0 Degree Loads'!G25</f>
        <v>0</v>
      </c>
      <c r="H24" s="23">
        <f>'0 Degree Loads'!H25</f>
        <v>0</v>
      </c>
      <c r="I24" s="24">
        <f>'0 Degree Loads'!I25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240">
        <v>14</v>
      </c>
      <c r="C25" s="14" t="str">
        <f>IF($C$11='Load Combinations'!$A$1,'Load Combinations'!A15,IF($C$11='Load Combinations'!$B$1,'Load Combinations'!B15,IF($C$11='Load Combinations'!$C$1,'Load Combinations'!C15,IF($C$11='Load Combinations'!$D$1,'Load Combinations'!D15," Error "))))</f>
        <v>DL - 0.7 ELZ</v>
      </c>
      <c r="D25" s="241" t="s">
        <v>16</v>
      </c>
      <c r="E25" s="23">
        <f>'0 Degree Loads'!E26</f>
        <v>0</v>
      </c>
      <c r="F25" s="23">
        <f>'0 Degree Loads'!F26</f>
        <v>0</v>
      </c>
      <c r="G25" s="23">
        <f>'0 Degree Loads'!G26</f>
        <v>0</v>
      </c>
      <c r="H25" s="23">
        <f>'0 Degree Loads'!H26</f>
        <v>0</v>
      </c>
      <c r="I25" s="24">
        <f>'0 Degree Loads'!I26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240">
        <v>15</v>
      </c>
      <c r="C26" s="14" t="str">
        <f>IF($C$11='Load Combinations'!$A$1,'Load Combinations'!A16,IF($C$11='Load Combinations'!$B$1,'Load Combinations'!B16,IF($C$11='Load Combinations'!$C$1,'Load Combinations'!C16,IF($C$11='Load Combinations'!$D$1,'Load Combinations'!D16," Error "))))</f>
        <v>DL + 0.525 ELX + 0.75 SL + 0.75 LL</v>
      </c>
      <c r="D26" s="241" t="s">
        <v>16</v>
      </c>
      <c r="E26" s="23">
        <f>'0 Degree Loads'!E27</f>
        <v>0</v>
      </c>
      <c r="F26" s="23">
        <f>'0 Degree Loads'!F27</f>
        <v>0</v>
      </c>
      <c r="G26" s="23">
        <f>'0 Degree Loads'!G27</f>
        <v>0</v>
      </c>
      <c r="H26" s="23">
        <f>'0 Degree Loads'!H27</f>
        <v>0</v>
      </c>
      <c r="I26" s="24">
        <f>'0 Degree Loads'!I27</f>
        <v>0</v>
      </c>
    </row>
    <row r="27" spans="2:57" x14ac:dyDescent="0.25">
      <c r="B27" s="240">
        <v>16</v>
      </c>
      <c r="C27" s="14" t="str">
        <f>IF($C$11='Load Combinations'!$A$1,'Load Combinations'!A17,IF($C$11='Load Combinations'!$B$1,'Load Combinations'!B17,IF($C$11='Load Combinations'!$C$1,'Load Combinations'!C17,IF($C$11='Load Combinations'!$D$1,'Load Combinations'!D17," Error "))))</f>
        <v>DL - 0.525 ELX + 0.75 SL + 0.75 LL</v>
      </c>
      <c r="D27" s="241" t="s">
        <v>16</v>
      </c>
      <c r="E27" s="23">
        <f>'0 Degree Loads'!E28</f>
        <v>0</v>
      </c>
      <c r="F27" s="23">
        <f>'0 Degree Loads'!F28</f>
        <v>0</v>
      </c>
      <c r="G27" s="23">
        <f>'0 Degree Loads'!G28</f>
        <v>0</v>
      </c>
      <c r="H27" s="23">
        <f>'0 Degree Loads'!H28</f>
        <v>0</v>
      </c>
      <c r="I27" s="24">
        <f>'0 Degree Loads'!I28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240">
        <v>17</v>
      </c>
      <c r="C28" s="14" t="str">
        <f>IF($C$11='Load Combinations'!$A$1,'Load Combinations'!A18,IF($C$11='Load Combinations'!$B$1,'Load Combinations'!B18,IF($C$11='Load Combinations'!$C$1,'Load Combinations'!C18,IF($C$11='Load Combinations'!$D$1,'Load Combinations'!D18," Error "))))</f>
        <v>DL + 0.525 ELZ + 0.75 SL + 0.75 LL</v>
      </c>
      <c r="D28" s="241" t="s">
        <v>16</v>
      </c>
      <c r="E28" s="23">
        <f>'0 Degree Loads'!E29</f>
        <v>0</v>
      </c>
      <c r="F28" s="23">
        <f>'0 Degree Loads'!F29</f>
        <v>0</v>
      </c>
      <c r="G28" s="23">
        <f>'0 Degree Loads'!G29</f>
        <v>0</v>
      </c>
      <c r="H28" s="23">
        <f>'0 Degree Loads'!H29</f>
        <v>0</v>
      </c>
      <c r="I28" s="24">
        <f>'0 Degree Loads'!I29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240">
        <v>18</v>
      </c>
      <c r="C29" s="14" t="str">
        <f>IF($C$11='Load Combinations'!$A$1,'Load Combinations'!A19,IF($C$11='Load Combinations'!$B$1,'Load Combinations'!B19,IF($C$11='Load Combinations'!$C$1,'Load Combinations'!C19,IF($C$11='Load Combinations'!$D$1,'Load Combinations'!D19," Error "))))</f>
        <v>DL - 0.525 ELZ + 0.75 SL + 0.75 LL</v>
      </c>
      <c r="D29" s="241" t="s">
        <v>16</v>
      </c>
      <c r="E29" s="23">
        <f>'0 Degree Loads'!E30</f>
        <v>0</v>
      </c>
      <c r="F29" s="23">
        <f>'0 Degree Loads'!F30</f>
        <v>0</v>
      </c>
      <c r="G29" s="23">
        <f>'0 Degree Loads'!G30</f>
        <v>0</v>
      </c>
      <c r="H29" s="23">
        <f>'0 Degree Loads'!H30</f>
        <v>0</v>
      </c>
      <c r="I29" s="24">
        <f>'0 Degree Loads'!I30</f>
        <v>0</v>
      </c>
      <c r="R29" t="s">
        <v>195</v>
      </c>
      <c r="S29">
        <f>(T15/2)/T14</f>
        <v>8.2465753424657535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8.2465753424657535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6.6813186813186816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240">
        <v>19</v>
      </c>
      <c r="C30" s="14" t="str">
        <f>IF($C$11='Load Combinations'!$A$1,'Load Combinations'!A20,IF($C$11='Load Combinations'!$B$1,'Load Combinations'!B20,IF($C$11='Load Combinations'!$C$1,'Load Combinations'!C20,IF($C$11='Load Combinations'!$D$1,'Load Combinations'!D20," Error "))))</f>
        <v>0.6 DL + 0.7 ELX</v>
      </c>
      <c r="D30" s="241" t="s">
        <v>16</v>
      </c>
      <c r="E30" s="23">
        <f>'0 Degree Loads'!E31</f>
        <v>0</v>
      </c>
      <c r="F30" s="23">
        <f>'0 Degree Loads'!F31</f>
        <v>0</v>
      </c>
      <c r="G30" s="23">
        <f>'0 Degree Loads'!G31</f>
        <v>0</v>
      </c>
      <c r="H30" s="23">
        <f>'0 Degree Loads'!H31</f>
        <v>0</v>
      </c>
      <c r="I30" s="24">
        <f>'0 Degree Loads'!I31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240">
        <v>20</v>
      </c>
      <c r="C31" s="14" t="str">
        <f>IF($C$11='Load Combinations'!$A$1,'Load Combinations'!A21,IF($C$11='Load Combinations'!$B$1,'Load Combinations'!B21,IF($C$11='Load Combinations'!$C$1,'Load Combinations'!C21,IF($C$11='Load Combinations'!$D$1,'Load Combinations'!D21," Error "))))</f>
        <v>0.6 DL - 0.7 ELX</v>
      </c>
      <c r="D31" s="241" t="s">
        <v>16</v>
      </c>
      <c r="E31" s="23">
        <f>'0 Degree Loads'!E32</f>
        <v>0</v>
      </c>
      <c r="F31" s="23">
        <f>'0 Degree Loads'!F32</f>
        <v>0</v>
      </c>
      <c r="G31" s="23">
        <f>'0 Degree Loads'!G32</f>
        <v>0</v>
      </c>
      <c r="H31" s="23">
        <f>'0 Degree Loads'!H32</f>
        <v>0</v>
      </c>
      <c r="I31" s="24">
        <f>'0 Degree Loads'!I32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240">
        <v>21</v>
      </c>
      <c r="C32" s="14" t="str">
        <f>IF($C$11='Load Combinations'!$A$1,'Load Combinations'!A22,IF($C$11='Load Combinations'!$B$1,'Load Combinations'!B22,IF($C$11='Load Combinations'!$C$1,'Load Combinations'!C22,IF($C$11='Load Combinations'!$D$1,'Load Combinations'!D22," Error "))))</f>
        <v>0.6 DL + 0.7 ELZ</v>
      </c>
      <c r="D32" s="241" t="s">
        <v>16</v>
      </c>
      <c r="E32" s="23">
        <f>'0 Degree Loads'!E33</f>
        <v>0</v>
      </c>
      <c r="F32" s="23">
        <f>'0 Degree Loads'!F33</f>
        <v>0</v>
      </c>
      <c r="G32" s="23">
        <f>'0 Degree Loads'!G33</f>
        <v>0</v>
      </c>
      <c r="H32" s="23">
        <f>'0 Degree Loads'!H33</f>
        <v>0</v>
      </c>
      <c r="I32" s="24">
        <f>'0 Degree Loads'!I33</f>
        <v>0</v>
      </c>
      <c r="R32" t="s">
        <v>186</v>
      </c>
      <c r="S32">
        <f>Y18</f>
        <v>21.03846153846154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21.03846153846154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17.09375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242">
        <v>22</v>
      </c>
      <c r="C33" s="15" t="str">
        <f>IF($C$11='Load Combinations'!$A$1,'Load Combinations'!A23,IF($C$11='Load Combinations'!$B$1,'Load Combinations'!B23,IF($C$11='Load Combinations'!$C$1,'Load Combinations'!C23,IF($C$11='Load Combinations'!$D$1,'Load Combinations'!D23," Error "))))</f>
        <v>0.6 DL - 0.7 ELZ</v>
      </c>
      <c r="D33" s="243" t="s">
        <v>16</v>
      </c>
      <c r="E33" s="31">
        <f>'0 Degree Loads'!E34</f>
        <v>0</v>
      </c>
      <c r="F33" s="31">
        <f>'0 Degree Loads'!F34</f>
        <v>0</v>
      </c>
      <c r="G33" s="31">
        <f>'0 Degree Loads'!G34</f>
        <v>0</v>
      </c>
      <c r="H33" s="31">
        <f>'0 Degree Loads'!H34</f>
        <v>0</v>
      </c>
      <c r="I33" s="32">
        <f>'0 Degree Loads'!I34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26" t="s">
        <v>86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29"/>
      <c r="C36" s="330"/>
      <c r="D36" s="330"/>
      <c r="E36" s="330"/>
      <c r="F36" s="330"/>
      <c r="G36" s="330"/>
      <c r="H36" s="330"/>
      <c r="I36" s="331"/>
      <c r="R36" t="s">
        <v>195</v>
      </c>
      <c r="S36">
        <f>S29</f>
        <v>8.2465753424657535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8.2465753424657535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6.6813186813186816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 t="shared" ref="C38:C59" si="0">C12</f>
        <v>DL</v>
      </c>
      <c r="D38" s="35" t="s">
        <v>16</v>
      </c>
      <c r="E38" s="21">
        <f>'55 Degree Loads'!E13</f>
        <v>0</v>
      </c>
      <c r="F38" s="21">
        <f>'55 Degree Loads'!F13</f>
        <v>0</v>
      </c>
      <c r="G38" s="21">
        <f>'55 Degree Loads'!G13</f>
        <v>0</v>
      </c>
      <c r="H38" s="21">
        <f>'55 Degree Loads'!H13</f>
        <v>0</v>
      </c>
      <c r="I38" s="22">
        <f>'55 Degree Loads'!I13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 t="shared" si="0"/>
        <v>DL + SL</v>
      </c>
      <c r="D39" s="34" t="s">
        <v>16</v>
      </c>
      <c r="E39" s="23">
        <f>'55 Degree Loads'!E14</f>
        <v>0</v>
      </c>
      <c r="F39" s="23">
        <f>'55 Degree Loads'!F14</f>
        <v>0</v>
      </c>
      <c r="G39" s="23">
        <f>'55 Degree Loads'!G14</f>
        <v>0</v>
      </c>
      <c r="H39" s="23">
        <f>'55 Degree Loads'!H14</f>
        <v>0</v>
      </c>
      <c r="I39" s="24">
        <f>'55 Degree Loads'!I14</f>
        <v>0</v>
      </c>
      <c r="R39" t="s">
        <v>186</v>
      </c>
      <c r="S39">
        <f>S32</f>
        <v>21.03846153846154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21.03846153846154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17.09375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 t="shared" si="0"/>
        <v>DL + 0.6 WL+X</v>
      </c>
      <c r="D40" s="34" t="s">
        <v>16</v>
      </c>
      <c r="E40" s="23">
        <f>'55 Degree Loads'!E15</f>
        <v>0</v>
      </c>
      <c r="F40" s="23">
        <f>'55 Degree Loads'!F15</f>
        <v>0</v>
      </c>
      <c r="G40" s="23">
        <f>'55 Degree Loads'!G15</f>
        <v>0</v>
      </c>
      <c r="H40" s="23">
        <f>'55 Degree Loads'!H15</f>
        <v>0</v>
      </c>
      <c r="I40" s="24">
        <f>'55 Degree Loads'!I15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 t="shared" si="0"/>
        <v>DL + 0.6 WL-X</v>
      </c>
      <c r="D41" s="34" t="s">
        <v>16</v>
      </c>
      <c r="E41" s="23">
        <f>'55 Degree Loads'!E16</f>
        <v>0</v>
      </c>
      <c r="F41" s="23">
        <f>'55 Degree Loads'!F16</f>
        <v>0</v>
      </c>
      <c r="G41" s="23">
        <f>'55 Degree Loads'!G16</f>
        <v>0</v>
      </c>
      <c r="H41" s="23">
        <f>'55 Degree Loads'!H16</f>
        <v>0</v>
      </c>
      <c r="I41" s="24">
        <f>'55 Degree Loads'!I16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 t="shared" si="0"/>
        <v>DL + 0.45 OL1 + 0.75 SL + 0.75 LL</v>
      </c>
      <c r="D42" s="34" t="s">
        <v>16</v>
      </c>
      <c r="E42" s="23">
        <f>'55 Degree Loads'!E17</f>
        <v>0</v>
      </c>
      <c r="F42" s="23">
        <f>'55 Degree Loads'!F17</f>
        <v>0</v>
      </c>
      <c r="G42" s="23">
        <f>'55 Degree Loads'!G17</f>
        <v>0</v>
      </c>
      <c r="H42" s="23">
        <f>'55 Degree Loads'!H17</f>
        <v>0</v>
      </c>
      <c r="I42" s="24">
        <f>'55 Degree Loads'!I17</f>
        <v>0</v>
      </c>
    </row>
    <row r="43" spans="2:58" x14ac:dyDescent="0.25">
      <c r="B43" s="10">
        <v>6</v>
      </c>
      <c r="C43" s="14" t="str">
        <f t="shared" si="0"/>
        <v>DL + 0.45 OL2 + 0.75 SL + 0.75 LL</v>
      </c>
      <c r="D43" s="34" t="s">
        <v>16</v>
      </c>
      <c r="E43" s="23">
        <f>'55 Degree Loads'!E18</f>
        <v>0</v>
      </c>
      <c r="F43" s="23">
        <f>'55 Degree Loads'!F18</f>
        <v>0</v>
      </c>
      <c r="G43" s="23">
        <f>'55 Degree Loads'!G18</f>
        <v>0</v>
      </c>
      <c r="H43" s="23">
        <f>'55 Degree Loads'!H18</f>
        <v>0</v>
      </c>
      <c r="I43" s="24">
        <f>'55 Degree Loads'!I18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 t="shared" si="0"/>
        <v>DL + 0.45 WL+X + 0.25 SL + 0.75 LL</v>
      </c>
      <c r="D44" s="34" t="s">
        <v>16</v>
      </c>
      <c r="E44" s="23">
        <f>'55 Degree Loads'!E19</f>
        <v>0</v>
      </c>
      <c r="F44" s="23">
        <f>'55 Degree Loads'!F19</f>
        <v>0</v>
      </c>
      <c r="G44" s="23">
        <f>'55 Degree Loads'!G19</f>
        <v>0</v>
      </c>
      <c r="H44" s="23">
        <f>'55 Degree Loads'!H19</f>
        <v>0</v>
      </c>
      <c r="I44" s="24">
        <f>'55 Degree Loads'!I19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 t="shared" si="0"/>
        <v>DL + 0.45 WL-X + 0.25 SL + 0.75 LL</v>
      </c>
      <c r="D45" s="34" t="s">
        <v>16</v>
      </c>
      <c r="E45" s="23">
        <f>'55 Degree Loads'!E20</f>
        <v>0</v>
      </c>
      <c r="F45" s="23">
        <f>'55 Degree Loads'!F20</f>
        <v>0</v>
      </c>
      <c r="G45" s="23">
        <f>'55 Degree Loads'!G20</f>
        <v>0</v>
      </c>
      <c r="H45" s="23">
        <f>'55 Degree Loads'!H20</f>
        <v>0</v>
      </c>
      <c r="I45" s="24">
        <f>'55 Degree Loads'!I20</f>
        <v>0</v>
      </c>
    </row>
    <row r="46" spans="2:58" x14ac:dyDescent="0.25">
      <c r="B46" s="10">
        <v>9</v>
      </c>
      <c r="C46" s="14" t="str">
        <f t="shared" si="0"/>
        <v>0.6 DL + 0.6 WL+X</v>
      </c>
      <c r="D46" s="34" t="s">
        <v>16</v>
      </c>
      <c r="E46" s="23">
        <f>'55 Degree Loads'!E21</f>
        <v>0</v>
      </c>
      <c r="F46" s="23">
        <f>'55 Degree Loads'!F21</f>
        <v>0</v>
      </c>
      <c r="G46" s="23">
        <f>'55 Degree Loads'!G21</f>
        <v>0</v>
      </c>
      <c r="H46" s="23">
        <f>'55 Degree Loads'!H21</f>
        <v>0</v>
      </c>
      <c r="I46" s="24">
        <f>'55 Degree Loads'!I21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9.4917419074084517</v>
      </c>
      <c r="AM46" t="s">
        <v>209</v>
      </c>
      <c r="AN46" s="173">
        <f>(AN44*AP25)/AO18</f>
        <v>18.680131259596717</v>
      </c>
      <c r="AW46" t="s">
        <v>209</v>
      </c>
      <c r="AX46" s="173">
        <f>(AX44*AZ25)/AY18</f>
        <v>28.020196889395073</v>
      </c>
    </row>
    <row r="47" spans="2:58" x14ac:dyDescent="0.25">
      <c r="B47" s="10">
        <v>10</v>
      </c>
      <c r="C47" s="14" t="str">
        <f t="shared" si="0"/>
        <v>0.6 DL + 0.6 WL-X</v>
      </c>
      <c r="D47" s="34" t="s">
        <v>16</v>
      </c>
      <c r="E47" s="23">
        <f>'55 Degree Loads'!E22</f>
        <v>0</v>
      </c>
      <c r="F47" s="23">
        <f>'55 Degree Loads'!F22</f>
        <v>0</v>
      </c>
      <c r="G47" s="23">
        <f>'55 Degree Loads'!G22</f>
        <v>0</v>
      </c>
      <c r="H47" s="23">
        <f>'55 Degree Loads'!H22</f>
        <v>0</v>
      </c>
      <c r="I47" s="24">
        <f>'55 Degree Loads'!I22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 t="shared" si="0"/>
        <v>DL + 0.7 ELX</v>
      </c>
      <c r="D48" s="34" t="s">
        <v>16</v>
      </c>
      <c r="E48" s="23">
        <f>'55 Degree Loads'!E23</f>
        <v>0</v>
      </c>
      <c r="F48" s="23">
        <f>'55 Degree Loads'!F23</f>
        <v>0</v>
      </c>
      <c r="G48" s="23">
        <f>'55 Degree Loads'!G23</f>
        <v>0</v>
      </c>
      <c r="H48" s="23">
        <f>'55 Degree Loads'!H23</f>
        <v>0</v>
      </c>
      <c r="I48" s="24">
        <f>'55 Degree Loads'!I23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33.15789473684211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 t="shared" si="0"/>
        <v>DL - 0.7 ELX</v>
      </c>
      <c r="D49" s="34" t="s">
        <v>16</v>
      </c>
      <c r="E49" s="23">
        <f>'55 Degree Loads'!E24</f>
        <v>0</v>
      </c>
      <c r="F49" s="23">
        <f>'55 Degree Loads'!F24</f>
        <v>0</v>
      </c>
      <c r="G49" s="23">
        <f>'55 Degree Loads'!G24</f>
        <v>0</v>
      </c>
      <c r="H49" s="23">
        <f>'55 Degree Loads'!H24</f>
        <v>0</v>
      </c>
      <c r="I49" s="24">
        <f>'55 Degree Loads'!I24</f>
        <v>0</v>
      </c>
    </row>
    <row r="50" spans="2:51" x14ac:dyDescent="0.25">
      <c r="B50" s="10">
        <v>13</v>
      </c>
      <c r="C50" s="14" t="str">
        <f t="shared" si="0"/>
        <v>DL + 0.7 ELZ</v>
      </c>
      <c r="D50" s="34" t="s">
        <v>16</v>
      </c>
      <c r="E50" s="23">
        <f>'55 Degree Loads'!E25</f>
        <v>0</v>
      </c>
      <c r="F50" s="23">
        <f>'55 Degree Loads'!F25</f>
        <v>0</v>
      </c>
      <c r="G50" s="23">
        <f>'55 Degree Loads'!G25</f>
        <v>0</v>
      </c>
      <c r="H50" s="23">
        <f>'55 Degree Loads'!H25</f>
        <v>0</v>
      </c>
      <c r="I50" s="24">
        <f>'55 Degree Loads'!I25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33.15789473684211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 t="shared" si="0"/>
        <v>DL - 0.7 ELZ</v>
      </c>
      <c r="D51" s="34" t="s">
        <v>16</v>
      </c>
      <c r="E51" s="23">
        <f>'55 Degree Loads'!E26</f>
        <v>0</v>
      </c>
      <c r="F51" s="23">
        <f>'55 Degree Loads'!F26</f>
        <v>0</v>
      </c>
      <c r="G51" s="23">
        <f>'55 Degree Loads'!G26</f>
        <v>0</v>
      </c>
      <c r="H51" s="23">
        <f>'55 Degree Loads'!H26</f>
        <v>0</v>
      </c>
      <c r="I51" s="24">
        <f>'55 Degree Loads'!I26</f>
        <v>0</v>
      </c>
    </row>
    <row r="52" spans="2:51" x14ac:dyDescent="0.25">
      <c r="B52" s="10">
        <v>15</v>
      </c>
      <c r="C52" s="14" t="str">
        <f t="shared" si="0"/>
        <v>DL + 0.525 ELX + 0.75 SL + 0.75 LL</v>
      </c>
      <c r="D52" s="34" t="s">
        <v>16</v>
      </c>
      <c r="E52" s="23">
        <f>'55 Degree Loads'!E27</f>
        <v>0</v>
      </c>
      <c r="F52" s="23">
        <f>'55 Degree Loads'!F27</f>
        <v>0</v>
      </c>
      <c r="G52" s="23">
        <f>'55 Degree Loads'!G27</f>
        <v>0</v>
      </c>
      <c r="H52" s="23">
        <f>'55 Degree Loads'!H27</f>
        <v>0</v>
      </c>
      <c r="I52" s="24">
        <f>'55 Degree Loads'!I27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260.06589166036781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 t="shared" si="0"/>
        <v>DL - 0.525 ELX + 0.75 SL + 0.75 LL</v>
      </c>
      <c r="D53" s="34" t="s">
        <v>16</v>
      </c>
      <c r="E53" s="23">
        <f>'55 Degree Loads'!E28</f>
        <v>0</v>
      </c>
      <c r="F53" s="23">
        <f>'55 Degree Loads'!F28</f>
        <v>0</v>
      </c>
      <c r="G53" s="23">
        <f>'55 Degree Loads'!G28</f>
        <v>0</v>
      </c>
      <c r="H53" s="23">
        <f>'55 Degree Loads'!H28</f>
        <v>0</v>
      </c>
      <c r="I53" s="24">
        <f>'55 Degree Loads'!I28</f>
        <v>0</v>
      </c>
    </row>
    <row r="54" spans="2:51" x14ac:dyDescent="0.25">
      <c r="B54" s="10">
        <v>17</v>
      </c>
      <c r="C54" s="14" t="str">
        <f t="shared" si="0"/>
        <v>DL + 0.525 ELZ + 0.75 SL + 0.75 LL</v>
      </c>
      <c r="D54" s="34" t="s">
        <v>16</v>
      </c>
      <c r="E54" s="23">
        <f>'55 Degree Loads'!E29</f>
        <v>0</v>
      </c>
      <c r="F54" s="23">
        <f>'55 Degree Loads'!F29</f>
        <v>0</v>
      </c>
      <c r="G54" s="23">
        <f>'55 Degree Loads'!G29</f>
        <v>0</v>
      </c>
      <c r="H54" s="23">
        <f>'55 Degree Loads'!H29</f>
        <v>0</v>
      </c>
      <c r="I54" s="24">
        <f>'55 Degree Loads'!I29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 t="shared" si="0"/>
        <v>DL - 0.525 ELZ + 0.75 SL + 0.75 LL</v>
      </c>
      <c r="D55" s="34" t="s">
        <v>16</v>
      </c>
      <c r="E55" s="23">
        <f>'55 Degree Loads'!E30</f>
        <v>0</v>
      </c>
      <c r="F55" s="23">
        <f>'55 Degree Loads'!F30</f>
        <v>0</v>
      </c>
      <c r="G55" s="23">
        <f>'55 Degree Loads'!G30</f>
        <v>0</v>
      </c>
      <c r="H55" s="23">
        <f>'55 Degree Loads'!H30</f>
        <v>0</v>
      </c>
      <c r="I55" s="24">
        <f>'55 Degree Loads'!I30</f>
        <v>0</v>
      </c>
    </row>
    <row r="56" spans="2:51" x14ac:dyDescent="0.25">
      <c r="B56" s="10">
        <v>19</v>
      </c>
      <c r="C56" s="14" t="str">
        <f t="shared" si="0"/>
        <v>0.6 DL + 0.7 ELX</v>
      </c>
      <c r="D56" s="34" t="s">
        <v>16</v>
      </c>
      <c r="E56" s="23">
        <f>'55 Degree Loads'!E31</f>
        <v>0</v>
      </c>
      <c r="F56" s="23">
        <f>'55 Degree Loads'!F31</f>
        <v>0</v>
      </c>
      <c r="G56" s="23">
        <f>'55 Degree Loads'!G31</f>
        <v>0</v>
      </c>
      <c r="H56" s="23">
        <f>'55 Degree Loads'!H31</f>
        <v>0</v>
      </c>
      <c r="I56" s="24">
        <f>'55 Degree Loads'!I31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46.134126507036491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 t="shared" si="0"/>
        <v>0.6 DL - 0.7 ELX</v>
      </c>
      <c r="D57" s="34" t="s">
        <v>16</v>
      </c>
      <c r="E57" s="23">
        <f>'55 Degree Loads'!E32</f>
        <v>0</v>
      </c>
      <c r="F57" s="23">
        <f>'55 Degree Loads'!F32</f>
        <v>0</v>
      </c>
      <c r="G57" s="23">
        <f>'55 Degree Loads'!G32</f>
        <v>0</v>
      </c>
      <c r="H57" s="23">
        <f>'55 Degree Loads'!H32</f>
        <v>0</v>
      </c>
      <c r="I57" s="24">
        <f>'55 Degree Loads'!I32</f>
        <v>0</v>
      </c>
    </row>
    <row r="58" spans="2:51" x14ac:dyDescent="0.25">
      <c r="B58" s="10">
        <v>21</v>
      </c>
      <c r="C58" s="14" t="str">
        <f t="shared" si="0"/>
        <v>0.6 DL + 0.7 ELZ</v>
      </c>
      <c r="D58" s="34" t="s">
        <v>16</v>
      </c>
      <c r="E58" s="23">
        <f>'55 Degree Loads'!E33</f>
        <v>0</v>
      </c>
      <c r="F58" s="23">
        <f>'55 Degree Loads'!F33</f>
        <v>0</v>
      </c>
      <c r="G58" s="23">
        <f>'55 Degree Loads'!G33</f>
        <v>0</v>
      </c>
      <c r="H58" s="23">
        <f>'55 Degree Loads'!H33</f>
        <v>0</v>
      </c>
      <c r="I58" s="24">
        <f>'55 Degree Loads'!I33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284.89358648330182</v>
      </c>
      <c r="AE58" t="s">
        <v>217</v>
      </c>
      <c r="AM58" t="s">
        <v>216</v>
      </c>
      <c r="AN58">
        <f>IF(AN56&gt;Fy,(Fy*AO11)/1.67,(AN56*AO11))</f>
        <v>336.00407017604817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15" t="str">
        <f t="shared" si="0"/>
        <v>0.6 DL - 0.7 ELZ</v>
      </c>
      <c r="D59" s="36" t="s">
        <v>16</v>
      </c>
      <c r="E59" s="31">
        <f>'55 Degree Loads'!E34</f>
        <v>0</v>
      </c>
      <c r="F59" s="31">
        <f>'55 Degree Loads'!F34</f>
        <v>0</v>
      </c>
      <c r="G59" s="31">
        <f>'55 Degree Loads'!G34</f>
        <v>0</v>
      </c>
      <c r="H59" s="31">
        <f>'55 Degree Loads'!H34</f>
        <v>0</v>
      </c>
      <c r="I59" s="32">
        <f>'55 Degree Loads'!I34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14.616713211412341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296.89256817739317</v>
      </c>
      <c r="AC66" s="174" t="s">
        <v>222</v>
      </c>
      <c r="AD66">
        <f>(AD65*(AD30/AD29))^2*Fy</f>
        <v>296.89256817739317</v>
      </c>
      <c r="AM66" s="174" t="s">
        <v>222</v>
      </c>
      <c r="AN66">
        <f>(AN65*(AN30/AN29))^2*Fy</f>
        <v>452.29544581198058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6.02</v>
      </c>
      <c r="AE67" t="s">
        <v>170</v>
      </c>
      <c r="AM67" s="174" t="s">
        <v>223</v>
      </c>
      <c r="AN67">
        <f>IF(AN29&lt;=AN63,AO15,AO15*(1-(AN64*SQRT(AN66/AN56)))*SQRT(AN66/AN56))</f>
        <v>6.08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37.357182690053662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322.93499851956312</v>
      </c>
      <c r="AC71" s="174" t="s">
        <v>222</v>
      </c>
      <c r="AD71">
        <f>(AD65*(AD33/AD32))^2*Fy</f>
        <v>322.93499851956312</v>
      </c>
      <c r="AM71" s="174" t="s">
        <v>222</v>
      </c>
      <c r="AN71">
        <f>(AN65*(AN33/AN32))^2*Fy</f>
        <v>489.17964272785912</v>
      </c>
      <c r="AW71" s="174" t="s">
        <v>222</v>
      </c>
      <c r="AX71">
        <f>(AX65*(AX33/AX32))^2*Fy</f>
        <v>489.17964272785912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</v>
      </c>
      <c r="AE72" t="s">
        <v>225</v>
      </c>
      <c r="AM72" s="174" t="s">
        <v>224</v>
      </c>
      <c r="AN72">
        <f>IF(AN32&lt;=AN70,AO12,AO12*(1-(AN64*SQRT(AN71/AN56)))*SQRT(AN71/AN56))</f>
        <v>6.38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5.8167999999999997</v>
      </c>
      <c r="AE73" t="s">
        <v>225</v>
      </c>
      <c r="AM73" t="s">
        <v>226</v>
      </c>
      <c r="AN73">
        <f>2*(AN67*AO14)+((AN72-(2*AO14))*AO13)</f>
        <v>7.2831999999999999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284.89358648330182</v>
      </c>
      <c r="AE75" t="s">
        <v>217</v>
      </c>
      <c r="AM75" t="s">
        <v>216</v>
      </c>
      <c r="AN75">
        <f>(AN56*AN73)</f>
        <v>336.00407017604817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23"/>
      <c r="D76" s="324"/>
      <c r="E76" s="323"/>
      <c r="G76" s="339" t="s">
        <v>48</v>
      </c>
      <c r="H76" s="339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170.594961966049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201.20004202158574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738.3051999999999</v>
      </c>
      <c r="T82" t="s">
        <v>234</v>
      </c>
      <c r="AC82" t="s">
        <v>233</v>
      </c>
      <c r="AD82">
        <f>Fy*AE19</f>
        <v>738.3051999999999</v>
      </c>
      <c r="AE82" t="s">
        <v>234</v>
      </c>
      <c r="AM82" t="s">
        <v>233</v>
      </c>
      <c r="AN82">
        <f>Fy*AO19</f>
        <v>939.22959999999978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63.579619376023324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64.427347634370307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236.16730361958253</v>
      </c>
      <c r="AC87" t="s">
        <v>239</v>
      </c>
      <c r="AD87">
        <f>(1.95*AJ16*(E/(0.7*Fy)))*SQRT((AJ17/(AE17*AJ15))+SQRT((AJ17/(AE17*AJ15))^2+6.76*((0.7*Fy)/E)^2))</f>
        <v>236.16730361958253</v>
      </c>
      <c r="AM87" t="s">
        <v>239</v>
      </c>
      <c r="AN87">
        <f>(1.95*AT16*(E/(0.7*Fy)))*SQRT((AT17/(AO17*AT15))+SQRT((AT17/(AO17*AT15))^2+6.76*((0.7*Fy)/E)^2))</f>
        <v>282.42956821762635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5855.7876632500638</v>
      </c>
      <c r="AM89" t="s">
        <v>241</v>
      </c>
      <c r="AN89">
        <f>(AN88*9.87*E)/((AN85/AT16)^2)*SQRT(1+0.078*((AT17/(AO17*AT15))*((AN85/AT16)^2)))</f>
        <v>1560.815236403314</v>
      </c>
      <c r="AW89" t="s">
        <v>241</v>
      </c>
      <c r="AX89">
        <f>(AX88*9.87*E)/((AX85/BD16)^2)*SQRT(1+0.078*((BD17/(AY17*BD15))*((AX85/BD16)^2)))</f>
        <v>720.40539511910708</v>
      </c>
    </row>
    <row r="90" spans="2:51" ht="15" customHeight="1" x14ac:dyDescent="0.25">
      <c r="B90" s="335" t="s">
        <v>382</v>
      </c>
      <c r="C90" s="336"/>
    </row>
    <row r="91" spans="2:51" ht="15.75" customHeight="1" thickBot="1" x14ac:dyDescent="0.3">
      <c r="B91" s="337"/>
      <c r="C91" s="338"/>
      <c r="R91" t="s">
        <v>242</v>
      </c>
      <c r="S91">
        <f>IF(S85&lt;=S86,Fy*T19,IF(S85&lt;S87,S88*(S82-(S82-0.7*Fy*T17)*((S85-S86)/(S87-S86))),S89*T17))</f>
        <v>738.3051999999999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738.3051999999999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939.22959999999978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0.87207332432437801</v>
      </c>
      <c r="AC96" t="s">
        <v>245</v>
      </c>
      <c r="AD96">
        <f>4/(SQRT(AD39))</f>
        <v>0.87207332432437801</v>
      </c>
      <c r="AM96" t="s">
        <v>245</v>
      </c>
      <c r="AN96">
        <f>4/(SQRT(AN39))</f>
        <v>0.96747848825104077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162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1">R11</f>
        <v>Area (A)</v>
      </c>
      <c r="C100" s="210">
        <f t="shared" ref="C100:D109" si="2">T11</f>
        <v>5.8167999999999997</v>
      </c>
      <c r="D100" s="155" t="str">
        <f t="shared" si="2"/>
        <v>in^2</v>
      </c>
      <c r="E100" s="214" t="str">
        <f t="shared" ref="E100:E107" si="3">W11</f>
        <v>Moment of Inertia - y (Iy)</v>
      </c>
      <c r="F100" s="155"/>
      <c r="G100" s="210">
        <f t="shared" ref="G100:H107" si="4">Y11</f>
        <v>13.279850213333331</v>
      </c>
      <c r="H100" s="166" t="str">
        <f t="shared" si="4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1"/>
        <v>Depth (d)</v>
      </c>
      <c r="C101" s="211">
        <f t="shared" si="2"/>
        <v>6.2</v>
      </c>
      <c r="D101" t="str">
        <f t="shared" si="2"/>
        <v>in</v>
      </c>
      <c r="E101" s="19" t="str">
        <f t="shared" si="3"/>
        <v>Elastic Section Modulus - y (Sy)</v>
      </c>
      <c r="G101" s="211">
        <f t="shared" si="4"/>
        <v>4.4119103698781839</v>
      </c>
      <c r="H101" s="159" t="str">
        <f t="shared" si="4"/>
        <v>in^3</v>
      </c>
      <c r="R101" s="19" t="s">
        <v>249</v>
      </c>
      <c r="S101" s="8">
        <f>(S100*T13)/(T15*T14)</f>
        <v>0.64724889637282135</v>
      </c>
      <c r="AC101" s="19" t="s">
        <v>249</v>
      </c>
      <c r="AD101" s="8">
        <f>(AD100*AE13)/(AE15*AE14)</f>
        <v>0.64724889637282135</v>
      </c>
      <c r="AM101" s="19" t="s">
        <v>249</v>
      </c>
      <c r="AN101" s="8">
        <f>(AN100*AO13)/(AO15*AO14)</f>
        <v>0.63273568536726432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1"/>
        <v>Web Thickness (tw)</v>
      </c>
      <c r="C102" s="211">
        <f t="shared" si="2"/>
        <v>0.26</v>
      </c>
      <c r="D102" t="str">
        <f t="shared" si="2"/>
        <v>in</v>
      </c>
      <c r="E102" s="19" t="str">
        <f t="shared" si="3"/>
        <v>Radius of Gyration - y (ry)</v>
      </c>
      <c r="G102" s="211">
        <f t="shared" si="4"/>
        <v>1.5</v>
      </c>
      <c r="H102" s="159" t="str">
        <f t="shared" si="4"/>
        <v>in^3</v>
      </c>
      <c r="R102" s="19" t="s">
        <v>250</v>
      </c>
      <c r="S102" s="8">
        <f>1-((S101/(1200+300*S101))*((S100/T13)-5.7*SQRT(E/Fy)))</f>
        <v>1.0539627071160749</v>
      </c>
      <c r="AC102" s="19" t="s">
        <v>250</v>
      </c>
      <c r="AD102" s="8">
        <f>1-((AD101/(1200+300*AD101))*((AD100/AE13)-5.7*SQRT(E/Fy)))</f>
        <v>1.0539627071160749</v>
      </c>
      <c r="AM102" s="19" t="s">
        <v>250</v>
      </c>
      <c r="AN102" s="8">
        <f>1-((AN101/(1200+300*AN101))*((AN100/AO13)-5.7*SQRT(E/Fy)))</f>
        <v>1.0547138528709388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1"/>
        <v>Flange Thickness (tf)</v>
      </c>
      <c r="C103" s="211">
        <f t="shared" si="2"/>
        <v>0.36499999999999999</v>
      </c>
      <c r="D103" t="str">
        <f t="shared" si="2"/>
        <v>in</v>
      </c>
      <c r="E103" s="19" t="str">
        <f t="shared" si="3"/>
        <v>Plastic Section Modulus - y (Zy)</v>
      </c>
      <c r="G103" s="211">
        <f t="shared" si="4"/>
        <v>6.7063159999999993</v>
      </c>
      <c r="H103" s="159" t="str">
        <f t="shared" si="4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1"/>
        <v>Flange Width (bf)</v>
      </c>
      <c r="C104" s="211">
        <f t="shared" si="2"/>
        <v>6.02</v>
      </c>
      <c r="D104" t="str">
        <f t="shared" si="2"/>
        <v>in</v>
      </c>
      <c r="E104" s="19" t="str">
        <f t="shared" si="3"/>
        <v>ho</v>
      </c>
      <c r="G104" s="211">
        <f t="shared" si="4"/>
        <v>5.835</v>
      </c>
      <c r="H104" s="159"/>
    </row>
    <row r="105" spans="2:51" x14ac:dyDescent="0.25">
      <c r="B105" s="209" t="str">
        <f t="shared" si="1"/>
        <v>Moment of Inertia x (Ix)</v>
      </c>
      <c r="C105" s="211">
        <f t="shared" si="2"/>
        <v>41.000898293333343</v>
      </c>
      <c r="D105" t="str">
        <f t="shared" si="2"/>
        <v>in^4</v>
      </c>
      <c r="E105" s="19" t="str">
        <f t="shared" si="3"/>
        <v>Effective Radius of Gyration (rts)</v>
      </c>
      <c r="G105" s="211">
        <f t="shared" si="4"/>
        <v>1.7115365644520282</v>
      </c>
      <c r="H105" s="159" t="str">
        <f t="shared" si="4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1"/>
        <v>Elastic Section Modulus x (Sx)</v>
      </c>
      <c r="C106" s="211">
        <f t="shared" si="2"/>
        <v>13.226096223655915</v>
      </c>
      <c r="D106" t="str">
        <f t="shared" si="2"/>
        <v>in^3</v>
      </c>
      <c r="E106" s="19" t="str">
        <f t="shared" si="3"/>
        <v>Torsional Constant - (J)</v>
      </c>
      <c r="G106" s="211">
        <f t="shared" si="4"/>
        <v>0.22934218166666664</v>
      </c>
      <c r="H106" s="159" t="str">
        <f t="shared" si="4"/>
        <v>in^4</v>
      </c>
    </row>
    <row r="107" spans="2:51" x14ac:dyDescent="0.25">
      <c r="B107" s="209" t="str">
        <f t="shared" si="1"/>
        <v>Radius of Gyration about X (rx)</v>
      </c>
      <c r="C107" s="211">
        <f t="shared" si="2"/>
        <v>2.6549394458704163</v>
      </c>
      <c r="D107" t="str">
        <f t="shared" si="2"/>
        <v>in</v>
      </c>
      <c r="E107" s="19" t="str">
        <f t="shared" si="3"/>
        <v>h/tw</v>
      </c>
      <c r="G107" s="211">
        <f t="shared" si="4"/>
        <v>21.03846153846154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1"/>
        <v>Plastic Section Modulus - X (Zx)</v>
      </c>
      <c r="C108" s="211">
        <f t="shared" si="2"/>
        <v>14.766103999999999</v>
      </c>
      <c r="D108" t="str">
        <f t="shared" si="2"/>
        <v>in^3</v>
      </c>
      <c r="E108" s="19"/>
      <c r="G108" s="8"/>
      <c r="H108" s="159"/>
      <c r="R108" s="19" t="s">
        <v>254</v>
      </c>
      <c r="S108" s="8">
        <f>T15/SQRT(12*(1+0.1667*S101))</f>
        <v>1.6510350551715607</v>
      </c>
      <c r="AC108" s="19" t="s">
        <v>254</v>
      </c>
      <c r="AD108" s="8">
        <f>AE15/SQRT(12*(1+0.1667*AD101))</f>
        <v>1.6510350551715607</v>
      </c>
      <c r="AM108" s="19" t="s">
        <v>254</v>
      </c>
      <c r="AN108" s="8">
        <f>AO15/SQRT(12*(1+0.1667*AN101))</f>
        <v>1.6693142202622031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1"/>
        <v>Wh</v>
      </c>
      <c r="C109" s="212">
        <f t="shared" si="2"/>
        <v>5.4700000000000006</v>
      </c>
      <c r="D109" s="162" t="str">
        <f t="shared" si="2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442.09892215568857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442.09892215568857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562.41293413173639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294.23872253065639</v>
      </c>
      <c r="AC119" t="s">
        <v>255</v>
      </c>
      <c r="AD119">
        <f>(0.69*E)/(AD36^2)</f>
        <v>294.23872253065639</v>
      </c>
      <c r="AM119" t="s">
        <v>255</v>
      </c>
      <c r="AN119">
        <f>(0.69*E)/(AN36^2)</f>
        <v>448.2524941568559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442.09892215568857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335.31579999999997</v>
      </c>
      <c r="T120" t="s">
        <v>234</v>
      </c>
      <c r="AC120" t="s">
        <v>263</v>
      </c>
      <c r="AD120">
        <f>Fy*AJ14</f>
        <v>335.31579999999997</v>
      </c>
      <c r="AE120" t="s">
        <v>234</v>
      </c>
      <c r="AM120" t="s">
        <v>263</v>
      </c>
      <c r="AN120">
        <f>Fy*AT14</f>
        <v>427.49439999999998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352.95282959025474</v>
      </c>
      <c r="T121" t="s">
        <v>265</v>
      </c>
      <c r="AC121" t="s">
        <v>264</v>
      </c>
      <c r="AD121">
        <f>1.6*Fy*AJ12</f>
        <v>352.95282959025474</v>
      </c>
      <c r="AE121" t="s">
        <v>265</v>
      </c>
      <c r="AM121" t="s">
        <v>264</v>
      </c>
      <c r="AN121">
        <f>1.6*Fy*AT12</f>
        <v>448.91872561403511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200.78790419161675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335.31579999999997</v>
      </c>
      <c r="T122" t="s">
        <v>234</v>
      </c>
      <c r="AC122" t="s">
        <v>266</v>
      </c>
      <c r="AD122">
        <f>MIN(AD120:AD121)</f>
        <v>335.31579999999997</v>
      </c>
      <c r="AE122" t="s">
        <v>234</v>
      </c>
      <c r="AM122" t="s">
        <v>266</v>
      </c>
      <c r="AN122">
        <f>MIN(AN120:AN121)</f>
        <v>427.49439999999998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335.31579999999997</v>
      </c>
      <c r="T123" t="s">
        <v>234</v>
      </c>
      <c r="AC123" t="s">
        <v>242</v>
      </c>
      <c r="AD123">
        <f>IF(AE37="Compact",AD122,IF(AE37="Non-Compact",AD122-(0.7*Fy*AJ12)*((AD36-AD37)/(AD38-AD37)),AD119*AJ12))</f>
        <v>335.31579999999997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427.49439999999998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28.95808383233533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200.78790419161675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200.78790419161675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255.98467065868263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78.944910179640715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442.09892215568857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'DRIVE REACTIONS Zone 1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1.6120000000000001</v>
      </c>
      <c r="AC134" t="s">
        <v>270</v>
      </c>
      <c r="AD134">
        <f>AE12*AE13</f>
        <v>1.6120000000000001</v>
      </c>
      <c r="AM134" t="s">
        <v>270</v>
      </c>
      <c r="AN134">
        <f>AO12*AO13</f>
        <v>2.0415999999999999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21.03846153846154</v>
      </c>
      <c r="AC135" t="s">
        <v>186</v>
      </c>
      <c r="AD135">
        <f>AD32</f>
        <v>21.03846153846154</v>
      </c>
      <c r="AM135" t="s">
        <v>186</v>
      </c>
      <c r="AN135">
        <f>AN32</f>
        <v>17.09375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28.95808383233533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28.95808383233533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36.67544910179641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ht="15" customHeight="1" x14ac:dyDescent="0.25">
      <c r="B145" s="335" t="s">
        <v>381</v>
      </c>
      <c r="C145" s="33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customHeight="1" thickBot="1" x14ac:dyDescent="0.3">
      <c r="B146" s="337"/>
      <c r="C146" s="33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78.944910179640715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78.944910179640715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99.391616766467081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162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4" t="s">
        <v>642</v>
      </c>
      <c r="C153" s="355"/>
      <c r="D153" s="355"/>
      <c r="E153" s="355"/>
      <c r="F153" s="355"/>
      <c r="G153" s="355"/>
      <c r="H153" s="356"/>
    </row>
    <row r="154" spans="2:56" ht="15.75" thickBot="1" x14ac:dyDescent="0.3">
      <c r="B154" s="208" t="str">
        <f t="shared" ref="B154:B163" si="5">AC11</f>
        <v>Area (A)</v>
      </c>
      <c r="C154" s="210">
        <f t="shared" ref="C154:C163" si="6">AE11</f>
        <v>5.8167999999999997</v>
      </c>
      <c r="D154" s="155" t="str">
        <f t="shared" ref="D154:D163" si="7">AF11</f>
        <v>in^2</v>
      </c>
      <c r="E154" s="214" t="str">
        <f t="shared" ref="E154:E161" si="8">AH11</f>
        <v>Moment of Inertia - y (Iy)</v>
      </c>
      <c r="F154" s="155"/>
      <c r="G154" s="210">
        <f t="shared" ref="G154:H157" si="9">AJ11</f>
        <v>13.279850213333331</v>
      </c>
      <c r="H154" s="166" t="str">
        <f t="shared" si="9"/>
        <v>in^4</v>
      </c>
    </row>
    <row r="155" spans="2:56" x14ac:dyDescent="0.25">
      <c r="B155" s="209" t="str">
        <f t="shared" si="5"/>
        <v>Depth (d)</v>
      </c>
      <c r="C155" s="211">
        <f t="shared" si="6"/>
        <v>6.2</v>
      </c>
      <c r="D155" t="str">
        <f t="shared" si="7"/>
        <v>in</v>
      </c>
      <c r="E155" s="19" t="str">
        <f t="shared" si="8"/>
        <v>Elastic Section Modulus - y (Sy)</v>
      </c>
      <c r="G155" s="211">
        <f t="shared" si="9"/>
        <v>4.4119103698781839</v>
      </c>
      <c r="H155" s="159" t="str">
        <f t="shared" si="9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5"/>
        <v>Web Thickness (tw)</v>
      </c>
      <c r="C156" s="211">
        <f t="shared" si="6"/>
        <v>0.26</v>
      </c>
      <c r="D156" t="str">
        <f t="shared" si="7"/>
        <v>in</v>
      </c>
      <c r="E156" s="19" t="str">
        <f t="shared" si="8"/>
        <v>Radius of Gyration - y (ry)</v>
      </c>
      <c r="G156" s="211">
        <f t="shared" si="9"/>
        <v>1.5</v>
      </c>
      <c r="H156" s="159" t="str">
        <f t="shared" si="9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5"/>
        <v>Flange Thickness (tf)</v>
      </c>
      <c r="C157" s="211">
        <f t="shared" si="6"/>
        <v>0.36499999999999999</v>
      </c>
      <c r="D157" t="str">
        <f t="shared" si="7"/>
        <v>in</v>
      </c>
      <c r="E157" s="19" t="str">
        <f t="shared" si="8"/>
        <v>Plastic Section Modulus - y (Zy)</v>
      </c>
      <c r="G157" s="211">
        <f t="shared" si="9"/>
        <v>6.7063159999999993</v>
      </c>
      <c r="H157" s="159" t="str">
        <f t="shared" si="9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5"/>
        <v>Flange Width (bf)</v>
      </c>
      <c r="C158" s="211">
        <f t="shared" si="6"/>
        <v>6.02</v>
      </c>
      <c r="D158" t="str">
        <f t="shared" si="7"/>
        <v>in</v>
      </c>
      <c r="E158" s="19" t="str">
        <f t="shared" si="8"/>
        <v>ho</v>
      </c>
      <c r="G158" s="211">
        <f>AJ15</f>
        <v>5.835</v>
      </c>
      <c r="H158" s="159"/>
      <c r="Q158" s="29">
        <v>1</v>
      </c>
      <c r="R158" s="28" t="s">
        <v>0</v>
      </c>
      <c r="S158" s="35" t="s">
        <v>16</v>
      </c>
      <c r="T158" s="127">
        <f t="shared" ref="T158:T179" si="10">IF($E12&gt;=0,$E12/1000+$X$36,$E12/1000-$X$36)</f>
        <v>0</v>
      </c>
      <c r="U158" s="127">
        <f t="shared" ref="U158:U179" si="11">$F12/1000+$X$31/1000</f>
        <v>0</v>
      </c>
      <c r="V158" s="127">
        <f t="shared" ref="V158:V179" si="12">IF($G12&gt;=0,$G12/1000+$X$37,$G12/1000-$X$37)</f>
        <v>0</v>
      </c>
      <c r="W158" s="127">
        <f t="shared" ref="W158:W179" si="13">IF(($H12/1000)-($G12/1000)*$S$24&gt;=0,($H12/1000)-($G12/1000)*$S$24+($X$39),($H12/1000)-($G12/1000)*$S$24-($X$39))</f>
        <v>0</v>
      </c>
      <c r="X158" s="127">
        <f t="shared" ref="X158:X179" si="14"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 t="shared" ref="AE158:AE179" si="15">IF($E12&gt;=0,$E12/1000+$AI$36,$E12/1000-$AI$36)</f>
        <v>0</v>
      </c>
      <c r="AF158" s="127">
        <f t="shared" ref="AF158:AF179" si="16">$F12/1000+$AI$31/1000</f>
        <v>0</v>
      </c>
      <c r="AG158" s="127">
        <f t="shared" ref="AG158:AG179" si="17">IF($G12&gt;=0,$G12/1000+$AI$37,$G12/1000-$AI$37)</f>
        <v>0</v>
      </c>
      <c r="AH158" s="127">
        <f t="shared" ref="AH158:AH179" si="18">IF(($H12/1000)-($G12/1000)*$AD$24&gt;=0,($H12/1000)-($G12/1000)*$AD$24+($AI$39),($H12/1000)-($G12/1000)*$AD$24-($AI$39))</f>
        <v>0</v>
      </c>
      <c r="AI158" s="127">
        <f t="shared" ref="AI158:AI179" si="19"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 t="shared" ref="AO158:AO179" si="20">IF($E12&gt;=0,$E12/1000+$AS$36,$E12/1000-$AS$36)</f>
        <v>0</v>
      </c>
      <c r="AP158" s="127">
        <f t="shared" ref="AP158:AP179" si="21">$F12/1000+$AS$31/1000</f>
        <v>0</v>
      </c>
      <c r="AQ158" s="127">
        <f t="shared" ref="AQ158:AQ179" si="22">IF($G12&gt;=0,$G12/1000+$AS$37,$G12/1000-$AS$37)</f>
        <v>0</v>
      </c>
      <c r="AR158" s="127">
        <f t="shared" ref="AR158:AR179" si="23">IF(($H12/1000)-($G12/1000)*$AN$24&gt;=0,($H12/1000)-($G12/1000)*$AN$24+($AS$39),($H12/1000)-($G12/1000)*$AN$24-($AS$39))</f>
        <v>0</v>
      </c>
      <c r="AS158" s="127">
        <f t="shared" ref="AS158:AS179" si="24"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 t="shared" ref="AY158:AY179" si="25">IF($E12&gt;=0,$E12/1000+$BC$36,$E12/1000-$BC$36)</f>
        <v>0</v>
      </c>
      <c r="AZ158" s="127">
        <f t="shared" ref="AZ158:AZ179" si="26">$F12/1000+$BC$31/1000</f>
        <v>0</v>
      </c>
      <c r="BA158" s="127">
        <f t="shared" ref="BA158:BA179" si="27">IF($G12&gt;=0,$G12/1000+$BC$37,$G12/1000-$BC$37)</f>
        <v>0</v>
      </c>
      <c r="BB158" s="127">
        <f t="shared" ref="BB158:BB179" si="28">IF(($H12/1000)-($G12/1000)*$AX$24&gt;=0,($H12/1000)-($G12/1000)*$AX$24+($BC$39),($H12/1000)-($G12/1000)*$AX$24-($BC$39))</f>
        <v>0</v>
      </c>
      <c r="BC158" s="127">
        <f t="shared" ref="BC158:BC179" si="29"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5"/>
        <v>Moment of Inertia x (Ix)</v>
      </c>
      <c r="C159" s="211">
        <f t="shared" si="6"/>
        <v>41.000898293333343</v>
      </c>
      <c r="D159" t="str">
        <f t="shared" si="7"/>
        <v>in^4</v>
      </c>
      <c r="E159" s="19" t="str">
        <f t="shared" si="8"/>
        <v>Effective Radius of Gyration (rts)</v>
      </c>
      <c r="G159" s="211">
        <f>AJ16</f>
        <v>1.7115365644520282</v>
      </c>
      <c r="H159" s="159" t="str">
        <f>AK16</f>
        <v>in^3</v>
      </c>
      <c r="Q159" s="10">
        <v>2</v>
      </c>
      <c r="R159" s="14" t="s">
        <v>20</v>
      </c>
      <c r="S159" s="34" t="s">
        <v>16</v>
      </c>
      <c r="T159" s="111">
        <f t="shared" si="10"/>
        <v>0</v>
      </c>
      <c r="U159" s="111">
        <f t="shared" si="11"/>
        <v>0</v>
      </c>
      <c r="V159" s="111">
        <f t="shared" si="12"/>
        <v>0</v>
      </c>
      <c r="W159" s="111">
        <f t="shared" si="13"/>
        <v>0</v>
      </c>
      <c r="X159" s="111">
        <f t="shared" si="14"/>
        <v>0</v>
      </c>
      <c r="Y159" s="182" t="e">
        <f t="shared" ref="Y159:Y179" si="30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si="15"/>
        <v>0</v>
      </c>
      <c r="AF159" s="111">
        <f t="shared" si="16"/>
        <v>0</v>
      </c>
      <c r="AG159" s="111">
        <f t="shared" si="17"/>
        <v>0</v>
      </c>
      <c r="AH159" s="111">
        <f t="shared" si="18"/>
        <v>0</v>
      </c>
      <c r="AI159" s="111">
        <f t="shared" si="19"/>
        <v>0</v>
      </c>
      <c r="AJ159" s="182">
        <f t="shared" ref="AJ159:AJ179" si="31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si="20"/>
        <v>0</v>
      </c>
      <c r="AP159" s="111">
        <f t="shared" si="21"/>
        <v>0</v>
      </c>
      <c r="AQ159" s="111">
        <f t="shared" si="22"/>
        <v>0</v>
      </c>
      <c r="AR159" s="111">
        <f t="shared" si="23"/>
        <v>0</v>
      </c>
      <c r="AS159" s="111">
        <f t="shared" si="24"/>
        <v>0</v>
      </c>
      <c r="AT159" s="182">
        <f t="shared" ref="AT159:AT179" si="32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si="25"/>
        <v>0</v>
      </c>
      <c r="AZ159" s="111">
        <f t="shared" si="26"/>
        <v>0</v>
      </c>
      <c r="BA159" s="111">
        <f t="shared" si="27"/>
        <v>0</v>
      </c>
      <c r="BB159" s="111">
        <f t="shared" si="28"/>
        <v>0</v>
      </c>
      <c r="BC159" s="111">
        <f t="shared" si="29"/>
        <v>0</v>
      </c>
      <c r="BD159" s="182">
        <f t="shared" ref="BD159:BD179" si="33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5"/>
        <v>Elastic Section Modulus x (Sx)</v>
      </c>
      <c r="C160" s="211">
        <f t="shared" si="6"/>
        <v>13.226096223655915</v>
      </c>
      <c r="D160" t="str">
        <f t="shared" si="7"/>
        <v>in^3</v>
      </c>
      <c r="E160" s="19" t="str">
        <f t="shared" si="8"/>
        <v>Torsional Constant - (J)</v>
      </c>
      <c r="G160" s="211">
        <f>AJ17</f>
        <v>0.22934218166666664</v>
      </c>
      <c r="H160" s="159" t="str">
        <f>AK17</f>
        <v>in^4</v>
      </c>
      <c r="Q160" s="10">
        <v>3</v>
      </c>
      <c r="R160" s="14" t="s">
        <v>21</v>
      </c>
      <c r="S160" s="34" t="s">
        <v>16</v>
      </c>
      <c r="T160" s="111">
        <f t="shared" si="10"/>
        <v>0</v>
      </c>
      <c r="U160" s="111">
        <f t="shared" si="11"/>
        <v>0</v>
      </c>
      <c r="V160" s="111">
        <f t="shared" si="12"/>
        <v>0</v>
      </c>
      <c r="W160" s="111">
        <f t="shared" si="13"/>
        <v>0</v>
      </c>
      <c r="X160" s="111">
        <f t="shared" si="14"/>
        <v>0</v>
      </c>
      <c r="Y160" s="182" t="e">
        <f t="shared" si="30"/>
        <v>#DIV/0!</v>
      </c>
      <c r="AB160" s="10">
        <v>3</v>
      </c>
      <c r="AC160" s="14" t="s">
        <v>21</v>
      </c>
      <c r="AD160" s="34" t="s">
        <v>16</v>
      </c>
      <c r="AE160" s="111">
        <f t="shared" si="15"/>
        <v>0</v>
      </c>
      <c r="AF160" s="111">
        <f t="shared" si="16"/>
        <v>0</v>
      </c>
      <c r="AG160" s="111">
        <f t="shared" si="17"/>
        <v>0</v>
      </c>
      <c r="AH160" s="111">
        <f t="shared" si="18"/>
        <v>0</v>
      </c>
      <c r="AI160" s="111">
        <f t="shared" si="19"/>
        <v>0</v>
      </c>
      <c r="AJ160" s="182">
        <f t="shared" si="31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32"/>
        <v>0</v>
      </c>
      <c r="AV160" s="10">
        <v>3</v>
      </c>
      <c r="AW160" s="14" t="s">
        <v>21</v>
      </c>
      <c r="AX160" s="34" t="s">
        <v>16</v>
      </c>
      <c r="AY160" s="111">
        <f t="shared" si="25"/>
        <v>0</v>
      </c>
      <c r="AZ160" s="111">
        <f t="shared" si="26"/>
        <v>0</v>
      </c>
      <c r="BA160" s="111">
        <f t="shared" si="27"/>
        <v>0</v>
      </c>
      <c r="BB160" s="111">
        <f t="shared" si="28"/>
        <v>0</v>
      </c>
      <c r="BC160" s="111">
        <f t="shared" si="29"/>
        <v>0</v>
      </c>
      <c r="BD160" s="182">
        <f t="shared" si="33"/>
        <v>0</v>
      </c>
    </row>
    <row r="161" spans="2:56" x14ac:dyDescent="0.25">
      <c r="B161" s="209" t="str">
        <f t="shared" si="5"/>
        <v>Radius of Gyration about X (rx)</v>
      </c>
      <c r="C161" s="211">
        <f t="shared" si="6"/>
        <v>2.6549394458704163</v>
      </c>
      <c r="D161" t="str">
        <f t="shared" si="7"/>
        <v>in</v>
      </c>
      <c r="E161" s="19" t="str">
        <f t="shared" si="8"/>
        <v>h/tw</v>
      </c>
      <c r="G161" s="211">
        <f>AJ18</f>
        <v>21.03846153846154</v>
      </c>
      <c r="H161" s="159"/>
      <c r="Q161" s="10">
        <v>4</v>
      </c>
      <c r="R161" s="14" t="s">
        <v>22</v>
      </c>
      <c r="S161" s="34" t="s">
        <v>16</v>
      </c>
      <c r="T161" s="111">
        <f t="shared" si="10"/>
        <v>0</v>
      </c>
      <c r="U161" s="111">
        <f t="shared" si="11"/>
        <v>0</v>
      </c>
      <c r="V161" s="111">
        <f t="shared" si="12"/>
        <v>0</v>
      </c>
      <c r="W161" s="111">
        <f t="shared" si="13"/>
        <v>0</v>
      </c>
      <c r="X161" s="111">
        <f t="shared" si="14"/>
        <v>0</v>
      </c>
      <c r="Y161" s="182" t="e">
        <f t="shared" si="30"/>
        <v>#DIV/0!</v>
      </c>
      <c r="AB161" s="10">
        <v>4</v>
      </c>
      <c r="AC161" s="14" t="s">
        <v>22</v>
      </c>
      <c r="AD161" s="34" t="s">
        <v>16</v>
      </c>
      <c r="AE161" s="111">
        <f t="shared" si="15"/>
        <v>0</v>
      </c>
      <c r="AF161" s="111">
        <f t="shared" si="16"/>
        <v>0</v>
      </c>
      <c r="AG161" s="111">
        <f t="shared" si="17"/>
        <v>0</v>
      </c>
      <c r="AH161" s="111">
        <f t="shared" si="18"/>
        <v>0</v>
      </c>
      <c r="AI161" s="111">
        <f t="shared" si="19"/>
        <v>0</v>
      </c>
      <c r="AJ161" s="182">
        <f t="shared" si="31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32"/>
        <v>0</v>
      </c>
      <c r="AV161" s="10">
        <v>4</v>
      </c>
      <c r="AW161" s="14" t="s">
        <v>22</v>
      </c>
      <c r="AX161" s="34" t="s">
        <v>16</v>
      </c>
      <c r="AY161" s="111">
        <f t="shared" si="25"/>
        <v>0</v>
      </c>
      <c r="AZ161" s="111">
        <f t="shared" si="26"/>
        <v>0</v>
      </c>
      <c r="BA161" s="111">
        <f t="shared" si="27"/>
        <v>0</v>
      </c>
      <c r="BB161" s="111">
        <f t="shared" si="28"/>
        <v>0</v>
      </c>
      <c r="BC161" s="111">
        <f t="shared" si="29"/>
        <v>0</v>
      </c>
      <c r="BD161" s="182">
        <f t="shared" si="33"/>
        <v>0</v>
      </c>
    </row>
    <row r="162" spans="2:56" x14ac:dyDescent="0.25">
      <c r="B162" s="209" t="str">
        <f t="shared" si="5"/>
        <v>Plastic Section Modulus - X (Zx)</v>
      </c>
      <c r="C162" s="211">
        <f t="shared" si="6"/>
        <v>14.766103999999999</v>
      </c>
      <c r="D162" t="str">
        <f t="shared" si="7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10"/>
        <v>0</v>
      </c>
      <c r="U162" s="111">
        <f t="shared" si="11"/>
        <v>0</v>
      </c>
      <c r="V162" s="111">
        <f t="shared" si="12"/>
        <v>0</v>
      </c>
      <c r="W162" s="111">
        <f t="shared" si="13"/>
        <v>0</v>
      </c>
      <c r="X162" s="111">
        <f t="shared" si="14"/>
        <v>0</v>
      </c>
      <c r="Y162" s="182" t="e">
        <f t="shared" si="30"/>
        <v>#DIV/0!</v>
      </c>
      <c r="AB162" s="10">
        <v>5</v>
      </c>
      <c r="AC162" s="14" t="s">
        <v>35</v>
      </c>
      <c r="AD162" s="34" t="s">
        <v>16</v>
      </c>
      <c r="AE162" s="111">
        <f t="shared" si="15"/>
        <v>0</v>
      </c>
      <c r="AF162" s="111">
        <f t="shared" si="16"/>
        <v>0</v>
      </c>
      <c r="AG162" s="111">
        <f t="shared" si="17"/>
        <v>0</v>
      </c>
      <c r="AH162" s="111">
        <f t="shared" si="18"/>
        <v>0</v>
      </c>
      <c r="AI162" s="111">
        <f t="shared" si="19"/>
        <v>0</v>
      </c>
      <c r="AJ162" s="182">
        <f t="shared" si="31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32"/>
        <v>0</v>
      </c>
      <c r="AV162" s="10">
        <v>5</v>
      </c>
      <c r="AW162" s="14" t="s">
        <v>35</v>
      </c>
      <c r="AX162" s="34" t="s">
        <v>16</v>
      </c>
      <c r="AY162" s="111">
        <f t="shared" si="25"/>
        <v>0</v>
      </c>
      <c r="AZ162" s="111">
        <f t="shared" si="26"/>
        <v>0</v>
      </c>
      <c r="BA162" s="111">
        <f t="shared" si="27"/>
        <v>0</v>
      </c>
      <c r="BB162" s="111">
        <f t="shared" si="28"/>
        <v>0</v>
      </c>
      <c r="BC162" s="111">
        <f t="shared" si="29"/>
        <v>0</v>
      </c>
      <c r="BD162" s="182">
        <f t="shared" si="33"/>
        <v>0</v>
      </c>
    </row>
    <row r="163" spans="2:56" ht="15.75" thickBot="1" x14ac:dyDescent="0.3">
      <c r="B163" s="213" t="str">
        <f t="shared" si="5"/>
        <v>Wh</v>
      </c>
      <c r="C163" s="212">
        <f t="shared" si="6"/>
        <v>5.4700000000000006</v>
      </c>
      <c r="D163" s="162" t="str">
        <f t="shared" si="7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10"/>
        <v>0</v>
      </c>
      <c r="U163" s="111">
        <f t="shared" si="11"/>
        <v>0</v>
      </c>
      <c r="V163" s="111">
        <f t="shared" si="12"/>
        <v>0</v>
      </c>
      <c r="W163" s="111">
        <f t="shared" si="13"/>
        <v>0</v>
      </c>
      <c r="X163" s="111">
        <f t="shared" si="14"/>
        <v>0</v>
      </c>
      <c r="Y163" s="182" t="e">
        <f t="shared" si="30"/>
        <v>#DIV/0!</v>
      </c>
      <c r="AB163" s="10">
        <v>6</v>
      </c>
      <c r="AC163" s="14" t="s">
        <v>36</v>
      </c>
      <c r="AD163" s="34" t="s">
        <v>16</v>
      </c>
      <c r="AE163" s="111">
        <f t="shared" si="15"/>
        <v>0</v>
      </c>
      <c r="AF163" s="111">
        <f t="shared" si="16"/>
        <v>0</v>
      </c>
      <c r="AG163" s="111">
        <f t="shared" si="17"/>
        <v>0</v>
      </c>
      <c r="AH163" s="111">
        <f t="shared" si="18"/>
        <v>0</v>
      </c>
      <c r="AI163" s="111">
        <f t="shared" si="19"/>
        <v>0</v>
      </c>
      <c r="AJ163" s="182">
        <f t="shared" si="31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32"/>
        <v>0</v>
      </c>
      <c r="AV163" s="10">
        <v>6</v>
      </c>
      <c r="AW163" s="14" t="s">
        <v>36</v>
      </c>
      <c r="AX163" s="34" t="s">
        <v>16</v>
      </c>
      <c r="AY163" s="111">
        <f t="shared" si="25"/>
        <v>0</v>
      </c>
      <c r="AZ163" s="111">
        <f t="shared" si="26"/>
        <v>0</v>
      </c>
      <c r="BA163" s="111">
        <f t="shared" si="27"/>
        <v>0</v>
      </c>
      <c r="BB163" s="111">
        <f t="shared" si="28"/>
        <v>0</v>
      </c>
      <c r="BC163" s="111">
        <f t="shared" si="29"/>
        <v>0</v>
      </c>
      <c r="BD163" s="182">
        <f t="shared" si="33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10"/>
        <v>0</v>
      </c>
      <c r="U164" s="111">
        <f t="shared" si="11"/>
        <v>0</v>
      </c>
      <c r="V164" s="111">
        <f t="shared" si="12"/>
        <v>0</v>
      </c>
      <c r="W164" s="111">
        <f t="shared" si="13"/>
        <v>0</v>
      </c>
      <c r="X164" s="111">
        <f t="shared" si="14"/>
        <v>0</v>
      </c>
      <c r="Y164" s="182" t="e">
        <f t="shared" si="30"/>
        <v>#DIV/0!</v>
      </c>
      <c r="AB164" s="10">
        <v>7</v>
      </c>
      <c r="AC164" s="14" t="s">
        <v>33</v>
      </c>
      <c r="AD164" s="34" t="s">
        <v>16</v>
      </c>
      <c r="AE164" s="111">
        <f t="shared" si="15"/>
        <v>0</v>
      </c>
      <c r="AF164" s="111">
        <f t="shared" si="16"/>
        <v>0</v>
      </c>
      <c r="AG164" s="111">
        <f t="shared" si="17"/>
        <v>0</v>
      </c>
      <c r="AH164" s="111">
        <f t="shared" si="18"/>
        <v>0</v>
      </c>
      <c r="AI164" s="111">
        <f t="shared" si="19"/>
        <v>0</v>
      </c>
      <c r="AJ164" s="182">
        <f t="shared" si="31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32"/>
        <v>0</v>
      </c>
      <c r="AV164" s="10">
        <v>7</v>
      </c>
      <c r="AW164" s="14" t="s">
        <v>33</v>
      </c>
      <c r="AX164" s="34" t="s">
        <v>16</v>
      </c>
      <c r="AY164" s="111">
        <f t="shared" si="25"/>
        <v>0</v>
      </c>
      <c r="AZ164" s="111">
        <f t="shared" si="26"/>
        <v>0</v>
      </c>
      <c r="BA164" s="111">
        <f t="shared" si="27"/>
        <v>0</v>
      </c>
      <c r="BB164" s="111">
        <f t="shared" si="28"/>
        <v>0</v>
      </c>
      <c r="BC164" s="111">
        <f t="shared" si="29"/>
        <v>0</v>
      </c>
      <c r="BD164" s="182">
        <f t="shared" si="33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10"/>
        <v>0</v>
      </c>
      <c r="U165" s="111">
        <f t="shared" si="11"/>
        <v>0</v>
      </c>
      <c r="V165" s="111">
        <f t="shared" si="12"/>
        <v>0</v>
      </c>
      <c r="W165" s="111">
        <f t="shared" si="13"/>
        <v>0</v>
      </c>
      <c r="X165" s="111">
        <f t="shared" si="14"/>
        <v>0</v>
      </c>
      <c r="Y165" s="182" t="e">
        <f t="shared" si="30"/>
        <v>#DIV/0!</v>
      </c>
      <c r="AB165" s="10">
        <v>8</v>
      </c>
      <c r="AC165" s="14" t="s">
        <v>34</v>
      </c>
      <c r="AD165" s="34" t="s">
        <v>16</v>
      </c>
      <c r="AE165" s="111">
        <f t="shared" si="15"/>
        <v>0</v>
      </c>
      <c r="AF165" s="111">
        <f t="shared" si="16"/>
        <v>0</v>
      </c>
      <c r="AG165" s="111">
        <f t="shared" si="17"/>
        <v>0</v>
      </c>
      <c r="AH165" s="111">
        <f t="shared" si="18"/>
        <v>0</v>
      </c>
      <c r="AI165" s="111">
        <f t="shared" si="19"/>
        <v>0</v>
      </c>
      <c r="AJ165" s="182">
        <f t="shared" si="31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32"/>
        <v>0</v>
      </c>
      <c r="AV165" s="10">
        <v>8</v>
      </c>
      <c r="AW165" s="14" t="s">
        <v>34</v>
      </c>
      <c r="AX165" s="34" t="s">
        <v>16</v>
      </c>
      <c r="AY165" s="111">
        <f t="shared" si="25"/>
        <v>0</v>
      </c>
      <c r="AZ165" s="111">
        <f t="shared" si="26"/>
        <v>0</v>
      </c>
      <c r="BA165" s="111">
        <f t="shared" si="27"/>
        <v>0</v>
      </c>
      <c r="BB165" s="111">
        <f t="shared" si="28"/>
        <v>0</v>
      </c>
      <c r="BC165" s="111">
        <f t="shared" si="29"/>
        <v>0</v>
      </c>
      <c r="BD165" s="182">
        <f t="shared" si="33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10"/>
        <v>0</v>
      </c>
      <c r="U166" s="111">
        <f t="shared" si="11"/>
        <v>0</v>
      </c>
      <c r="V166" s="111">
        <f t="shared" si="12"/>
        <v>0</v>
      </c>
      <c r="W166" s="111">
        <f t="shared" si="13"/>
        <v>0</v>
      </c>
      <c r="X166" s="111">
        <f t="shared" si="14"/>
        <v>0</v>
      </c>
      <c r="Y166" s="182" t="e">
        <f t="shared" si="30"/>
        <v>#DIV/0!</v>
      </c>
      <c r="AB166" s="10">
        <v>9</v>
      </c>
      <c r="AC166" s="14" t="s">
        <v>23</v>
      </c>
      <c r="AD166" s="34" t="s">
        <v>16</v>
      </c>
      <c r="AE166" s="111">
        <f t="shared" si="15"/>
        <v>0</v>
      </c>
      <c r="AF166" s="111">
        <f t="shared" si="16"/>
        <v>0</v>
      </c>
      <c r="AG166" s="111">
        <f t="shared" si="17"/>
        <v>0</v>
      </c>
      <c r="AH166" s="111">
        <f t="shared" si="18"/>
        <v>0</v>
      </c>
      <c r="AI166" s="111">
        <f t="shared" si="19"/>
        <v>0</v>
      </c>
      <c r="AJ166" s="182">
        <f t="shared" si="31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32"/>
        <v>0</v>
      </c>
      <c r="AV166" s="10">
        <v>9</v>
      </c>
      <c r="AW166" s="14" t="s">
        <v>23</v>
      </c>
      <c r="AX166" s="34" t="s">
        <v>16</v>
      </c>
      <c r="AY166" s="111">
        <f t="shared" si="25"/>
        <v>0</v>
      </c>
      <c r="AZ166" s="111">
        <f t="shared" si="26"/>
        <v>0</v>
      </c>
      <c r="BA166" s="111">
        <f t="shared" si="27"/>
        <v>0</v>
      </c>
      <c r="BB166" s="111">
        <f t="shared" si="28"/>
        <v>0</v>
      </c>
      <c r="BC166" s="111">
        <f t="shared" si="29"/>
        <v>0</v>
      </c>
      <c r="BD166" s="182">
        <f t="shared" si="33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10"/>
        <v>0</v>
      </c>
      <c r="U167" s="111">
        <f t="shared" si="11"/>
        <v>0</v>
      </c>
      <c r="V167" s="111">
        <f t="shared" si="12"/>
        <v>0</v>
      </c>
      <c r="W167" s="111">
        <f t="shared" si="13"/>
        <v>0</v>
      </c>
      <c r="X167" s="111">
        <f t="shared" si="14"/>
        <v>0</v>
      </c>
      <c r="Y167" s="182" t="e">
        <f t="shared" si="30"/>
        <v>#DIV/0!</v>
      </c>
      <c r="AB167" s="10">
        <v>10</v>
      </c>
      <c r="AC167" s="14" t="s">
        <v>24</v>
      </c>
      <c r="AD167" s="34" t="s">
        <v>16</v>
      </c>
      <c r="AE167" s="111">
        <f t="shared" si="15"/>
        <v>0</v>
      </c>
      <c r="AF167" s="111">
        <f t="shared" si="16"/>
        <v>0</v>
      </c>
      <c r="AG167" s="111">
        <f t="shared" si="17"/>
        <v>0</v>
      </c>
      <c r="AH167" s="111">
        <f t="shared" si="18"/>
        <v>0</v>
      </c>
      <c r="AI167" s="111">
        <f t="shared" si="19"/>
        <v>0</v>
      </c>
      <c r="AJ167" s="182">
        <f t="shared" si="31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32"/>
        <v>0</v>
      </c>
      <c r="AV167" s="10">
        <v>10</v>
      </c>
      <c r="AW167" s="14" t="s">
        <v>24</v>
      </c>
      <c r="AX167" s="34" t="s">
        <v>16</v>
      </c>
      <c r="AY167" s="111">
        <f t="shared" si="25"/>
        <v>0</v>
      </c>
      <c r="AZ167" s="111">
        <f t="shared" si="26"/>
        <v>0</v>
      </c>
      <c r="BA167" s="111">
        <f t="shared" si="27"/>
        <v>0</v>
      </c>
      <c r="BB167" s="111">
        <f t="shared" si="28"/>
        <v>0</v>
      </c>
      <c r="BC167" s="111">
        <f t="shared" si="29"/>
        <v>0</v>
      </c>
      <c r="BD167" s="182">
        <f t="shared" si="33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10"/>
        <v>0</v>
      </c>
      <c r="U168" s="111">
        <f t="shared" si="11"/>
        <v>0</v>
      </c>
      <c r="V168" s="111">
        <f t="shared" si="12"/>
        <v>0</v>
      </c>
      <c r="W168" s="111">
        <f t="shared" si="13"/>
        <v>0</v>
      </c>
      <c r="X168" s="111">
        <f t="shared" si="14"/>
        <v>0</v>
      </c>
      <c r="Y168" s="182" t="e">
        <f t="shared" si="30"/>
        <v>#DIV/0!</v>
      </c>
      <c r="AB168" s="10">
        <v>11</v>
      </c>
      <c r="AC168" s="14" t="s">
        <v>25</v>
      </c>
      <c r="AD168" s="34" t="s">
        <v>16</v>
      </c>
      <c r="AE168" s="111">
        <f t="shared" si="15"/>
        <v>0</v>
      </c>
      <c r="AF168" s="111">
        <f t="shared" si="16"/>
        <v>0</v>
      </c>
      <c r="AG168" s="111">
        <f t="shared" si="17"/>
        <v>0</v>
      </c>
      <c r="AH168" s="111">
        <f t="shared" si="18"/>
        <v>0</v>
      </c>
      <c r="AI168" s="111">
        <f t="shared" si="19"/>
        <v>0</v>
      </c>
      <c r="AJ168" s="182">
        <f t="shared" si="31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32"/>
        <v>0</v>
      </c>
      <c r="AV168" s="10">
        <v>11</v>
      </c>
      <c r="AW168" s="14" t="s">
        <v>25</v>
      </c>
      <c r="AX168" s="34" t="s">
        <v>16</v>
      </c>
      <c r="AY168" s="111">
        <f t="shared" si="25"/>
        <v>0</v>
      </c>
      <c r="AZ168" s="111">
        <f t="shared" si="26"/>
        <v>0</v>
      </c>
      <c r="BA168" s="111">
        <f t="shared" si="27"/>
        <v>0</v>
      </c>
      <c r="BB168" s="111">
        <f t="shared" si="28"/>
        <v>0</v>
      </c>
      <c r="BC168" s="111">
        <f t="shared" si="29"/>
        <v>0</v>
      </c>
      <c r="BD168" s="182">
        <f t="shared" si="33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10"/>
        <v>0</v>
      </c>
      <c r="U169" s="111">
        <f t="shared" si="11"/>
        <v>0</v>
      </c>
      <c r="V169" s="111">
        <f t="shared" si="12"/>
        <v>0</v>
      </c>
      <c r="W169" s="111">
        <f t="shared" si="13"/>
        <v>0</v>
      </c>
      <c r="X169" s="111">
        <f t="shared" si="14"/>
        <v>0</v>
      </c>
      <c r="Y169" s="182" t="e">
        <f t="shared" si="30"/>
        <v>#DIV/0!</v>
      </c>
      <c r="AB169" s="10">
        <v>12</v>
      </c>
      <c r="AC169" s="14" t="s">
        <v>26</v>
      </c>
      <c r="AD169" s="34" t="s">
        <v>16</v>
      </c>
      <c r="AE169" s="111">
        <f t="shared" si="15"/>
        <v>0</v>
      </c>
      <c r="AF169" s="111">
        <f t="shared" si="16"/>
        <v>0</v>
      </c>
      <c r="AG169" s="111">
        <f t="shared" si="17"/>
        <v>0</v>
      </c>
      <c r="AH169" s="111">
        <f t="shared" si="18"/>
        <v>0</v>
      </c>
      <c r="AI169" s="111">
        <f t="shared" si="19"/>
        <v>0</v>
      </c>
      <c r="AJ169" s="182">
        <f t="shared" si="31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32"/>
        <v>0</v>
      </c>
      <c r="AV169" s="10">
        <v>12</v>
      </c>
      <c r="AW169" s="14" t="s">
        <v>26</v>
      </c>
      <c r="AX169" s="34" t="s">
        <v>16</v>
      </c>
      <c r="AY169" s="111">
        <f t="shared" si="25"/>
        <v>0</v>
      </c>
      <c r="AZ169" s="111">
        <f t="shared" si="26"/>
        <v>0</v>
      </c>
      <c r="BA169" s="111">
        <f t="shared" si="27"/>
        <v>0</v>
      </c>
      <c r="BB169" s="111">
        <f t="shared" si="28"/>
        <v>0</v>
      </c>
      <c r="BC169" s="111">
        <f t="shared" si="29"/>
        <v>0</v>
      </c>
      <c r="BD169" s="182">
        <f t="shared" si="33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10"/>
        <v>0</v>
      </c>
      <c r="U170" s="111">
        <f t="shared" si="11"/>
        <v>0</v>
      </c>
      <c r="V170" s="111">
        <f t="shared" si="12"/>
        <v>0</v>
      </c>
      <c r="W170" s="111">
        <f t="shared" si="13"/>
        <v>0</v>
      </c>
      <c r="X170" s="111">
        <f t="shared" si="14"/>
        <v>0</v>
      </c>
      <c r="Y170" s="182" t="e">
        <f t="shared" si="30"/>
        <v>#DIV/0!</v>
      </c>
      <c r="AB170" s="10">
        <v>13</v>
      </c>
      <c r="AC170" s="14" t="s">
        <v>27</v>
      </c>
      <c r="AD170" s="34" t="s">
        <v>16</v>
      </c>
      <c r="AE170" s="111">
        <f t="shared" si="15"/>
        <v>0</v>
      </c>
      <c r="AF170" s="111">
        <f t="shared" si="16"/>
        <v>0</v>
      </c>
      <c r="AG170" s="111">
        <f t="shared" si="17"/>
        <v>0</v>
      </c>
      <c r="AH170" s="111">
        <f t="shared" si="18"/>
        <v>0</v>
      </c>
      <c r="AI170" s="111">
        <f t="shared" si="19"/>
        <v>0</v>
      </c>
      <c r="AJ170" s="182">
        <f t="shared" si="31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32"/>
        <v>0</v>
      </c>
      <c r="AV170" s="10">
        <v>13</v>
      </c>
      <c r="AW170" s="14" t="s">
        <v>27</v>
      </c>
      <c r="AX170" s="34" t="s">
        <v>16</v>
      </c>
      <c r="AY170" s="111">
        <f t="shared" si="25"/>
        <v>0</v>
      </c>
      <c r="AZ170" s="111">
        <f t="shared" si="26"/>
        <v>0</v>
      </c>
      <c r="BA170" s="111">
        <f t="shared" si="27"/>
        <v>0</v>
      </c>
      <c r="BB170" s="111">
        <f t="shared" si="28"/>
        <v>0</v>
      </c>
      <c r="BC170" s="111">
        <f t="shared" si="29"/>
        <v>0</v>
      </c>
      <c r="BD170" s="182">
        <f t="shared" si="33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10"/>
        <v>0</v>
      </c>
      <c r="U171" s="111">
        <f t="shared" si="11"/>
        <v>0</v>
      </c>
      <c r="V171" s="111">
        <f t="shared" si="12"/>
        <v>0</v>
      </c>
      <c r="W171" s="111">
        <f t="shared" si="13"/>
        <v>0</v>
      </c>
      <c r="X171" s="111">
        <f t="shared" si="14"/>
        <v>0</v>
      </c>
      <c r="Y171" s="182" t="e">
        <f t="shared" si="30"/>
        <v>#DIV/0!</v>
      </c>
      <c r="AB171" s="10">
        <v>14</v>
      </c>
      <c r="AC171" s="14" t="s">
        <v>28</v>
      </c>
      <c r="AD171" s="34" t="s">
        <v>16</v>
      </c>
      <c r="AE171" s="111">
        <f t="shared" si="15"/>
        <v>0</v>
      </c>
      <c r="AF171" s="111">
        <f t="shared" si="16"/>
        <v>0</v>
      </c>
      <c r="AG171" s="111">
        <f t="shared" si="17"/>
        <v>0</v>
      </c>
      <c r="AH171" s="111">
        <f t="shared" si="18"/>
        <v>0</v>
      </c>
      <c r="AI171" s="111">
        <f t="shared" si="19"/>
        <v>0</v>
      </c>
      <c r="AJ171" s="182">
        <f t="shared" si="31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32"/>
        <v>0</v>
      </c>
      <c r="AV171" s="10">
        <v>14</v>
      </c>
      <c r="AW171" s="14" t="s">
        <v>28</v>
      </c>
      <c r="AX171" s="34" t="s">
        <v>16</v>
      </c>
      <c r="AY171" s="111">
        <f t="shared" si="25"/>
        <v>0</v>
      </c>
      <c r="AZ171" s="111">
        <f t="shared" si="26"/>
        <v>0</v>
      </c>
      <c r="BA171" s="111">
        <f t="shared" si="27"/>
        <v>0</v>
      </c>
      <c r="BB171" s="111">
        <f t="shared" si="28"/>
        <v>0</v>
      </c>
      <c r="BC171" s="111">
        <f t="shared" si="29"/>
        <v>0</v>
      </c>
      <c r="BD171" s="182">
        <f t="shared" si="33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170.594961966049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10"/>
        <v>0</v>
      </c>
      <c r="U172" s="111">
        <f t="shared" si="11"/>
        <v>0</v>
      </c>
      <c r="V172" s="111">
        <f t="shared" si="12"/>
        <v>0</v>
      </c>
      <c r="W172" s="111">
        <f t="shared" si="13"/>
        <v>0</v>
      </c>
      <c r="X172" s="111">
        <f t="shared" si="14"/>
        <v>0</v>
      </c>
      <c r="Y172" s="182" t="e">
        <f t="shared" si="30"/>
        <v>#DIV/0!</v>
      </c>
      <c r="AB172" s="10">
        <v>15</v>
      </c>
      <c r="AC172" s="14" t="s">
        <v>29</v>
      </c>
      <c r="AD172" s="34" t="s">
        <v>16</v>
      </c>
      <c r="AE172" s="111">
        <f t="shared" si="15"/>
        <v>0</v>
      </c>
      <c r="AF172" s="111">
        <f t="shared" si="16"/>
        <v>0</v>
      </c>
      <c r="AG172" s="111">
        <f t="shared" si="17"/>
        <v>0</v>
      </c>
      <c r="AH172" s="111">
        <f t="shared" si="18"/>
        <v>0</v>
      </c>
      <c r="AI172" s="111">
        <f t="shared" si="19"/>
        <v>0</v>
      </c>
      <c r="AJ172" s="182">
        <f t="shared" si="31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32"/>
        <v>0</v>
      </c>
      <c r="AV172" s="10">
        <v>15</v>
      </c>
      <c r="AW172" s="14" t="s">
        <v>29</v>
      </c>
      <c r="AX172" s="34" t="s">
        <v>16</v>
      </c>
      <c r="AY172" s="111">
        <f t="shared" si="25"/>
        <v>0</v>
      </c>
      <c r="AZ172" s="111">
        <f t="shared" si="26"/>
        <v>0</v>
      </c>
      <c r="BA172" s="111">
        <f t="shared" si="27"/>
        <v>0</v>
      </c>
      <c r="BB172" s="111">
        <f t="shared" si="28"/>
        <v>0</v>
      </c>
      <c r="BC172" s="111">
        <f t="shared" si="29"/>
        <v>0</v>
      </c>
      <c r="BD172" s="182">
        <f t="shared" si="33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10"/>
        <v>0</v>
      </c>
      <c r="U173" s="111">
        <f t="shared" si="11"/>
        <v>0</v>
      </c>
      <c r="V173" s="111">
        <f t="shared" si="12"/>
        <v>0</v>
      </c>
      <c r="W173" s="111">
        <f t="shared" si="13"/>
        <v>0</v>
      </c>
      <c r="X173" s="111">
        <f t="shared" si="14"/>
        <v>0</v>
      </c>
      <c r="Y173" s="182" t="e">
        <f t="shared" si="30"/>
        <v>#DIV/0!</v>
      </c>
      <c r="AB173" s="10">
        <v>16</v>
      </c>
      <c r="AC173" s="14" t="s">
        <v>30</v>
      </c>
      <c r="AD173" s="34" t="s">
        <v>16</v>
      </c>
      <c r="AE173" s="111">
        <f t="shared" si="15"/>
        <v>0</v>
      </c>
      <c r="AF173" s="111">
        <f t="shared" si="16"/>
        <v>0</v>
      </c>
      <c r="AG173" s="111">
        <f t="shared" si="17"/>
        <v>0</v>
      </c>
      <c r="AH173" s="111">
        <f t="shared" si="18"/>
        <v>0</v>
      </c>
      <c r="AI173" s="111">
        <f t="shared" si="19"/>
        <v>0</v>
      </c>
      <c r="AJ173" s="182">
        <f t="shared" si="31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32"/>
        <v>0</v>
      </c>
      <c r="AV173" s="10">
        <v>16</v>
      </c>
      <c r="AW173" s="14" t="s">
        <v>30</v>
      </c>
      <c r="AX173" s="34" t="s">
        <v>16</v>
      </c>
      <c r="AY173" s="111">
        <f t="shared" si="25"/>
        <v>0</v>
      </c>
      <c r="AZ173" s="111">
        <f t="shared" si="26"/>
        <v>0</v>
      </c>
      <c r="BA173" s="111">
        <f t="shared" si="27"/>
        <v>0</v>
      </c>
      <c r="BB173" s="111">
        <f t="shared" si="28"/>
        <v>0</v>
      </c>
      <c r="BC173" s="111">
        <f t="shared" si="29"/>
        <v>0</v>
      </c>
      <c r="BD173" s="182">
        <f t="shared" si="33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442.09892215568857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10"/>
        <v>0</v>
      </c>
      <c r="U174" s="111">
        <f t="shared" si="11"/>
        <v>0</v>
      </c>
      <c r="V174" s="111">
        <f t="shared" si="12"/>
        <v>0</v>
      </c>
      <c r="W174" s="111">
        <f t="shared" si="13"/>
        <v>0</v>
      </c>
      <c r="X174" s="111">
        <f t="shared" si="14"/>
        <v>0</v>
      </c>
      <c r="Y174" s="182" t="e">
        <f t="shared" si="30"/>
        <v>#DIV/0!</v>
      </c>
      <c r="AB174" s="10">
        <v>17</v>
      </c>
      <c r="AC174" s="14" t="s">
        <v>31</v>
      </c>
      <c r="AD174" s="34" t="s">
        <v>16</v>
      </c>
      <c r="AE174" s="111">
        <f t="shared" si="15"/>
        <v>0</v>
      </c>
      <c r="AF174" s="111">
        <f t="shared" si="16"/>
        <v>0</v>
      </c>
      <c r="AG174" s="111">
        <f t="shared" si="17"/>
        <v>0</v>
      </c>
      <c r="AH174" s="111">
        <f t="shared" si="18"/>
        <v>0</v>
      </c>
      <c r="AI174" s="111">
        <f t="shared" si="19"/>
        <v>0</v>
      </c>
      <c r="AJ174" s="182">
        <f t="shared" si="31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32"/>
        <v>0</v>
      </c>
      <c r="AV174" s="10">
        <v>17</v>
      </c>
      <c r="AW174" s="14" t="s">
        <v>31</v>
      </c>
      <c r="AX174" s="34" t="s">
        <v>16</v>
      </c>
      <c r="AY174" s="111">
        <f t="shared" si="25"/>
        <v>0</v>
      </c>
      <c r="AZ174" s="111">
        <f t="shared" si="26"/>
        <v>0</v>
      </c>
      <c r="BA174" s="111">
        <f t="shared" si="27"/>
        <v>0</v>
      </c>
      <c r="BB174" s="111">
        <f t="shared" si="28"/>
        <v>0</v>
      </c>
      <c r="BC174" s="111">
        <f t="shared" si="29"/>
        <v>0</v>
      </c>
      <c r="BD174" s="182">
        <f t="shared" si="33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10"/>
        <v>0</v>
      </c>
      <c r="U175" s="111">
        <f t="shared" si="11"/>
        <v>0</v>
      </c>
      <c r="V175" s="111">
        <f t="shared" si="12"/>
        <v>0</v>
      </c>
      <c r="W175" s="111">
        <f t="shared" si="13"/>
        <v>0</v>
      </c>
      <c r="X175" s="111">
        <f t="shared" si="14"/>
        <v>0</v>
      </c>
      <c r="Y175" s="182" t="e">
        <f t="shared" si="30"/>
        <v>#DIV/0!</v>
      </c>
      <c r="AB175" s="10">
        <v>18</v>
      </c>
      <c r="AC175" s="14" t="s">
        <v>32</v>
      </c>
      <c r="AD175" s="34" t="s">
        <v>16</v>
      </c>
      <c r="AE175" s="111">
        <f t="shared" si="15"/>
        <v>0</v>
      </c>
      <c r="AF175" s="111">
        <f t="shared" si="16"/>
        <v>0</v>
      </c>
      <c r="AG175" s="111">
        <f t="shared" si="17"/>
        <v>0</v>
      </c>
      <c r="AH175" s="111">
        <f t="shared" si="18"/>
        <v>0</v>
      </c>
      <c r="AI175" s="111">
        <f t="shared" si="19"/>
        <v>0</v>
      </c>
      <c r="AJ175" s="182">
        <f t="shared" si="31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32"/>
        <v>0</v>
      </c>
      <c r="AV175" s="10">
        <v>18</v>
      </c>
      <c r="AW175" s="14" t="s">
        <v>32</v>
      </c>
      <c r="AX175" s="34" t="s">
        <v>16</v>
      </c>
      <c r="AY175" s="111">
        <f t="shared" si="25"/>
        <v>0</v>
      </c>
      <c r="AZ175" s="111">
        <f t="shared" si="26"/>
        <v>0</v>
      </c>
      <c r="BA175" s="111">
        <f t="shared" si="27"/>
        <v>0</v>
      </c>
      <c r="BB175" s="111">
        <f t="shared" si="28"/>
        <v>0</v>
      </c>
      <c r="BC175" s="111">
        <f t="shared" si="29"/>
        <v>0</v>
      </c>
      <c r="BD175" s="182">
        <f t="shared" si="33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200.78790419161675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10"/>
        <v>0</v>
      </c>
      <c r="U176" s="111">
        <f t="shared" si="11"/>
        <v>0</v>
      </c>
      <c r="V176" s="111">
        <f t="shared" si="12"/>
        <v>0</v>
      </c>
      <c r="W176" s="111">
        <f t="shared" si="13"/>
        <v>0</v>
      </c>
      <c r="X176" s="111">
        <f t="shared" si="14"/>
        <v>0</v>
      </c>
      <c r="Y176" s="182" t="e">
        <f t="shared" si="30"/>
        <v>#DIV/0!</v>
      </c>
      <c r="AB176" s="10">
        <v>19</v>
      </c>
      <c r="AC176" s="14" t="s">
        <v>37</v>
      </c>
      <c r="AD176" s="34" t="s">
        <v>16</v>
      </c>
      <c r="AE176" s="111">
        <f t="shared" si="15"/>
        <v>0</v>
      </c>
      <c r="AF176" s="111">
        <f t="shared" si="16"/>
        <v>0</v>
      </c>
      <c r="AG176" s="111">
        <f t="shared" si="17"/>
        <v>0</v>
      </c>
      <c r="AH176" s="111">
        <f t="shared" si="18"/>
        <v>0</v>
      </c>
      <c r="AI176" s="111">
        <f t="shared" si="19"/>
        <v>0</v>
      </c>
      <c r="AJ176" s="182">
        <f t="shared" si="31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32"/>
        <v>0</v>
      </c>
      <c r="AV176" s="10">
        <v>19</v>
      </c>
      <c r="AW176" s="14" t="s">
        <v>37</v>
      </c>
      <c r="AX176" s="34" t="s">
        <v>16</v>
      </c>
      <c r="AY176" s="111">
        <f t="shared" si="25"/>
        <v>0</v>
      </c>
      <c r="AZ176" s="111">
        <f t="shared" si="26"/>
        <v>0</v>
      </c>
      <c r="BA176" s="111">
        <f t="shared" si="27"/>
        <v>0</v>
      </c>
      <c r="BB176" s="111">
        <f t="shared" si="28"/>
        <v>0</v>
      </c>
      <c r="BC176" s="111">
        <f t="shared" si="29"/>
        <v>0</v>
      </c>
      <c r="BD176" s="182">
        <f t="shared" si="33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10"/>
        <v>0</v>
      </c>
      <c r="U177" s="111">
        <f t="shared" si="11"/>
        <v>0</v>
      </c>
      <c r="V177" s="111">
        <f t="shared" si="12"/>
        <v>0</v>
      </c>
      <c r="W177" s="111">
        <f t="shared" si="13"/>
        <v>0</v>
      </c>
      <c r="X177" s="111">
        <f t="shared" si="14"/>
        <v>0</v>
      </c>
      <c r="Y177" s="182" t="e">
        <f t="shared" si="30"/>
        <v>#DIV/0!</v>
      </c>
      <c r="AB177" s="10">
        <v>20</v>
      </c>
      <c r="AC177" s="14" t="s">
        <v>38</v>
      </c>
      <c r="AD177" s="34" t="s">
        <v>16</v>
      </c>
      <c r="AE177" s="111">
        <f t="shared" si="15"/>
        <v>0</v>
      </c>
      <c r="AF177" s="111">
        <f t="shared" si="16"/>
        <v>0</v>
      </c>
      <c r="AG177" s="111">
        <f t="shared" si="17"/>
        <v>0</v>
      </c>
      <c r="AH177" s="111">
        <f t="shared" si="18"/>
        <v>0</v>
      </c>
      <c r="AI177" s="111">
        <f t="shared" si="19"/>
        <v>0</v>
      </c>
      <c r="AJ177" s="182">
        <f t="shared" si="31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32"/>
        <v>0</v>
      </c>
      <c r="AV177" s="10">
        <v>20</v>
      </c>
      <c r="AW177" s="14" t="s">
        <v>38</v>
      </c>
      <c r="AX177" s="34" t="s">
        <v>16</v>
      </c>
      <c r="AY177" s="111">
        <f t="shared" si="25"/>
        <v>0</v>
      </c>
      <c r="AZ177" s="111">
        <f t="shared" si="26"/>
        <v>0</v>
      </c>
      <c r="BA177" s="111">
        <f t="shared" si="27"/>
        <v>0</v>
      </c>
      <c r="BB177" s="111">
        <f t="shared" si="28"/>
        <v>0</v>
      </c>
      <c r="BC177" s="111">
        <f t="shared" si="29"/>
        <v>0</v>
      </c>
      <c r="BD177" s="182">
        <f t="shared" si="33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28.95808383233533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10"/>
        <v>0</v>
      </c>
      <c r="U178" s="111">
        <f t="shared" si="11"/>
        <v>0</v>
      </c>
      <c r="V178" s="111">
        <f t="shared" si="12"/>
        <v>0</v>
      </c>
      <c r="W178" s="111">
        <f t="shared" si="13"/>
        <v>0</v>
      </c>
      <c r="X178" s="111">
        <f t="shared" si="14"/>
        <v>0</v>
      </c>
      <c r="Y178" s="182" t="e">
        <f t="shared" si="30"/>
        <v>#DIV/0!</v>
      </c>
      <c r="AB178" s="10">
        <v>21</v>
      </c>
      <c r="AC178" s="14" t="s">
        <v>39</v>
      </c>
      <c r="AD178" s="34" t="s">
        <v>16</v>
      </c>
      <c r="AE178" s="111">
        <f t="shared" si="15"/>
        <v>0</v>
      </c>
      <c r="AF178" s="111">
        <f t="shared" si="16"/>
        <v>0</v>
      </c>
      <c r="AG178" s="111">
        <f t="shared" si="17"/>
        <v>0</v>
      </c>
      <c r="AH178" s="111">
        <f t="shared" si="18"/>
        <v>0</v>
      </c>
      <c r="AI178" s="111">
        <f t="shared" si="19"/>
        <v>0</v>
      </c>
      <c r="AJ178" s="182">
        <f t="shared" si="31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32"/>
        <v>0</v>
      </c>
      <c r="AV178" s="10">
        <v>21</v>
      </c>
      <c r="AW178" s="14" t="s">
        <v>39</v>
      </c>
      <c r="AX178" s="34" t="s">
        <v>16</v>
      </c>
      <c r="AY178" s="111">
        <f t="shared" si="25"/>
        <v>0</v>
      </c>
      <c r="AZ178" s="111">
        <f t="shared" si="26"/>
        <v>0</v>
      </c>
      <c r="BA178" s="111">
        <f t="shared" si="27"/>
        <v>0</v>
      </c>
      <c r="BB178" s="111">
        <f t="shared" si="28"/>
        <v>0</v>
      </c>
      <c r="BC178" s="111">
        <f t="shared" si="29"/>
        <v>0</v>
      </c>
      <c r="BD178" s="182">
        <f t="shared" si="33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10"/>
        <v>0</v>
      </c>
      <c r="U179" s="106">
        <f t="shared" si="11"/>
        <v>0</v>
      </c>
      <c r="V179" s="106">
        <f t="shared" si="12"/>
        <v>0</v>
      </c>
      <c r="W179" s="106">
        <f t="shared" si="13"/>
        <v>0</v>
      </c>
      <c r="X179" s="106">
        <f t="shared" si="14"/>
        <v>0</v>
      </c>
      <c r="Y179" s="183" t="e">
        <f t="shared" si="30"/>
        <v>#DIV/0!</v>
      </c>
      <c r="AB179" s="13">
        <v>22</v>
      </c>
      <c r="AC179" s="15" t="s">
        <v>40</v>
      </c>
      <c r="AD179" s="36" t="s">
        <v>16</v>
      </c>
      <c r="AE179" s="106">
        <f t="shared" si="15"/>
        <v>0</v>
      </c>
      <c r="AF179" s="106">
        <f t="shared" si="16"/>
        <v>0</v>
      </c>
      <c r="AG179" s="106">
        <f t="shared" si="17"/>
        <v>0</v>
      </c>
      <c r="AH179" s="106">
        <f t="shared" si="18"/>
        <v>0</v>
      </c>
      <c r="AI179" s="106">
        <f t="shared" si="19"/>
        <v>0</v>
      </c>
      <c r="AJ179" s="183">
        <f t="shared" si="31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32"/>
        <v>0</v>
      </c>
      <c r="AV179" s="13">
        <v>22</v>
      </c>
      <c r="AW179" s="15" t="s">
        <v>40</v>
      </c>
      <c r="AX179" s="36" t="s">
        <v>16</v>
      </c>
      <c r="AY179" s="106">
        <f t="shared" si="25"/>
        <v>0</v>
      </c>
      <c r="AZ179" s="106">
        <f t="shared" si="26"/>
        <v>0</v>
      </c>
      <c r="BA179" s="106">
        <f t="shared" si="27"/>
        <v>0</v>
      </c>
      <c r="BB179" s="106">
        <f t="shared" si="28"/>
        <v>0</v>
      </c>
      <c r="BC179" s="106">
        <f t="shared" si="29"/>
        <v>0</v>
      </c>
      <c r="BD179" s="183">
        <f t="shared" si="33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78.944910179640715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442.09892215568857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 t="shared" ref="T184:T205" si="34">IF($E38&gt;=0,$E38/1000+$X$36,$E38/1000-$X$36)</f>
        <v>0</v>
      </c>
      <c r="U184" s="127">
        <f t="shared" ref="U184:U205" si="35">$F38/1000+$X$31/1000</f>
        <v>0</v>
      </c>
      <c r="V184" s="127">
        <f t="shared" ref="V184:V205" si="36">IF($G38&gt;=0,$G38/1000+$X$39,$G38/1000-$X$39)</f>
        <v>0</v>
      </c>
      <c r="W184" s="127">
        <f t="shared" ref="W184:W205" si="37">IF(($H38/1000)-($G38/1000)*$S$24&gt;=0,($H38/1000)-($G38/1000)*$S$24+$X$39,($H38/1000)-($G38/1000)*$S$24-$X$39)</f>
        <v>0</v>
      </c>
      <c r="X184" s="127">
        <f t="shared" ref="X184:X205" si="38">IF(($I38/1000)-($E38/1000)*$S$24&gt;=0,($I38/1000)-($E38/1000)*$S$24+$X$38,($I38/1000)-($E38/1000)*$S$24-$X$38)</f>
        <v>0</v>
      </c>
      <c r="Y184" s="181" t="e">
        <f t="shared" ref="Y184:Y205" si="39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 t="shared" ref="AE184:AE205" si="40">IF($E38&gt;=0,$E38/1000+$AI$36,$E38/1000-$AI$36)</f>
        <v>0</v>
      </c>
      <c r="AF184" s="127">
        <f t="shared" ref="AF184:AF205" si="41">$F38/1000+$AI$31/1000</f>
        <v>0</v>
      </c>
      <c r="AG184" s="127">
        <f t="shared" ref="AG184:AG205" si="42">IF($G38&gt;=0,$G38/1000+$AI$39,$G38/1000-$AI$39)</f>
        <v>0</v>
      </c>
      <c r="AH184" s="127">
        <f t="shared" ref="AH184:AH205" si="43">IF(($H38/1000)-($G38/1000)*$AD$24&gt;=0,($H38/1000)-($G38/1000)*$AD$24+$AI$39,($H38/1000)-($G38/1000)*$AD$24-$AI$39)</f>
        <v>0</v>
      </c>
      <c r="AI184" s="127">
        <f t="shared" ref="AI184:AI205" si="44"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 t="shared" ref="AO184:AO205" si="45">IF($E38&gt;=0,$E38/1000+$AS$36,$E38/1000-$AS$36)</f>
        <v>0</v>
      </c>
      <c r="AP184" s="127">
        <f t="shared" ref="AP184:AP205" si="46">$F38/1000+$AS$31/1000</f>
        <v>0</v>
      </c>
      <c r="AQ184" s="127">
        <f t="shared" ref="AQ184:AQ205" si="47">IF($G38&gt;=0,$G38/1000+$AS$39,$G38/1000-$AS$39)</f>
        <v>0</v>
      </c>
      <c r="AR184" s="127">
        <f t="shared" ref="AR184:AR205" si="48">IF(($H38/1000)-($G38/1000)*$AN$24&gt;=0,($H38/1000)-($G38/1000)*$AN$24+$AS$39,($H38/1000)-($G38/1000)*$AN$24-$AS$39)</f>
        <v>0</v>
      </c>
      <c r="AS184" s="127">
        <f t="shared" ref="AS184:AS205" si="49"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 t="shared" ref="AY184:AY205" si="50">IF($E38&gt;=0,$E38/1000+$BC$36,$E38/1000-$BC$36)</f>
        <v>0</v>
      </c>
      <c r="AZ184" s="127">
        <f t="shared" ref="AZ184:AZ205" si="51">$F38/1000+$BC$31/1000</f>
        <v>0</v>
      </c>
      <c r="BA184" s="127">
        <f t="shared" ref="BA184:BA205" si="52">IF($G38&gt;=0,$G38/1000+$BC$39,$G38/1000-$BC$39)</f>
        <v>0</v>
      </c>
      <c r="BB184" s="127">
        <f t="shared" ref="BB184:BB205" si="53">IF(($H38/1000)-($G38/1000)*$AX$24&gt;=0,($H38/1000)-($G38/1000)*$AX$24+$BC$39,($H38/1000)-($G38/1000)*$AX$24-$BC$39)</f>
        <v>0</v>
      </c>
      <c r="BC184" s="127">
        <f t="shared" ref="BC184:BC205" si="54"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si="34"/>
        <v>0</v>
      </c>
      <c r="U185" s="111">
        <f t="shared" si="35"/>
        <v>0</v>
      </c>
      <c r="V185" s="111">
        <f t="shared" si="36"/>
        <v>0</v>
      </c>
      <c r="W185" s="111">
        <f t="shared" si="37"/>
        <v>0</v>
      </c>
      <c r="X185" s="111">
        <f t="shared" si="38"/>
        <v>0</v>
      </c>
      <c r="Y185" s="182" t="e">
        <f t="shared" si="39"/>
        <v>#DIV/0!</v>
      </c>
      <c r="AB185" s="10">
        <v>2</v>
      </c>
      <c r="AC185" s="14" t="s">
        <v>20</v>
      </c>
      <c r="AD185" s="34" t="s">
        <v>16</v>
      </c>
      <c r="AE185" s="111">
        <f t="shared" si="40"/>
        <v>0</v>
      </c>
      <c r="AF185" s="111">
        <f t="shared" si="41"/>
        <v>0</v>
      </c>
      <c r="AG185" s="111">
        <f t="shared" si="42"/>
        <v>0</v>
      </c>
      <c r="AH185" s="111">
        <f t="shared" si="43"/>
        <v>0</v>
      </c>
      <c r="AI185" s="111">
        <f t="shared" si="44"/>
        <v>0</v>
      </c>
      <c r="AJ185" s="182">
        <f t="shared" ref="AJ185:AJ205" si="55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si="45"/>
        <v>0</v>
      </c>
      <c r="AP185" s="111">
        <f t="shared" si="46"/>
        <v>0</v>
      </c>
      <c r="AQ185" s="111">
        <f t="shared" si="47"/>
        <v>0</v>
      </c>
      <c r="AR185" s="111">
        <f t="shared" si="48"/>
        <v>0</v>
      </c>
      <c r="AS185" s="111">
        <f t="shared" si="49"/>
        <v>0</v>
      </c>
      <c r="AT185" s="182">
        <f t="shared" ref="AT185:AT205" si="56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si="50"/>
        <v>0</v>
      </c>
      <c r="AZ185" s="111">
        <f t="shared" si="51"/>
        <v>0</v>
      </c>
      <c r="BA185" s="111">
        <f t="shared" si="52"/>
        <v>0</v>
      </c>
      <c r="BB185" s="111">
        <f t="shared" si="53"/>
        <v>0</v>
      </c>
      <c r="BC185" s="111">
        <f t="shared" si="54"/>
        <v>0</v>
      </c>
      <c r="BD185" s="182">
        <f t="shared" ref="BD185:BD205" si="57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4"/>
        <v>0</v>
      </c>
      <c r="U186" s="111">
        <f t="shared" si="35"/>
        <v>0</v>
      </c>
      <c r="V186" s="111">
        <f t="shared" si="36"/>
        <v>0</v>
      </c>
      <c r="W186" s="111">
        <f t="shared" si="37"/>
        <v>0</v>
      </c>
      <c r="X186" s="111">
        <f t="shared" si="38"/>
        <v>0</v>
      </c>
      <c r="Y186" s="182" t="e">
        <f t="shared" si="39"/>
        <v>#DIV/0!</v>
      </c>
      <c r="AB186" s="10">
        <v>3</v>
      </c>
      <c r="AC186" s="14" t="s">
        <v>21</v>
      </c>
      <c r="AD186" s="34" t="s">
        <v>16</v>
      </c>
      <c r="AE186" s="111">
        <f t="shared" si="40"/>
        <v>0</v>
      </c>
      <c r="AF186" s="111">
        <f t="shared" si="41"/>
        <v>0</v>
      </c>
      <c r="AG186" s="111">
        <f t="shared" si="42"/>
        <v>0</v>
      </c>
      <c r="AH186" s="111">
        <f t="shared" si="43"/>
        <v>0</v>
      </c>
      <c r="AI186" s="111">
        <f t="shared" si="44"/>
        <v>0</v>
      </c>
      <c r="AJ186" s="182">
        <f t="shared" si="55"/>
        <v>0</v>
      </c>
      <c r="AL186" s="10">
        <v>3</v>
      </c>
      <c r="AM186" s="14" t="s">
        <v>21</v>
      </c>
      <c r="AN186" s="34" t="s">
        <v>16</v>
      </c>
      <c r="AO186" s="111">
        <f t="shared" si="45"/>
        <v>0</v>
      </c>
      <c r="AP186" s="111">
        <f t="shared" si="46"/>
        <v>0</v>
      </c>
      <c r="AQ186" s="111">
        <f t="shared" si="47"/>
        <v>0</v>
      </c>
      <c r="AR186" s="111">
        <f t="shared" si="48"/>
        <v>0</v>
      </c>
      <c r="AS186" s="111">
        <f t="shared" si="49"/>
        <v>0</v>
      </c>
      <c r="AT186" s="182">
        <f t="shared" si="56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7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4"/>
        <v>0</v>
      </c>
      <c r="U187" s="111">
        <f t="shared" si="35"/>
        <v>0</v>
      </c>
      <c r="V187" s="111">
        <f t="shared" si="36"/>
        <v>0</v>
      </c>
      <c r="W187" s="111">
        <f t="shared" si="37"/>
        <v>0</v>
      </c>
      <c r="X187" s="111">
        <f t="shared" si="38"/>
        <v>0</v>
      </c>
      <c r="Y187" s="182" t="e">
        <f t="shared" si="39"/>
        <v>#DIV/0!</v>
      </c>
      <c r="AB187" s="10">
        <v>4</v>
      </c>
      <c r="AC187" s="14" t="s">
        <v>22</v>
      </c>
      <c r="AD187" s="34" t="s">
        <v>16</v>
      </c>
      <c r="AE187" s="111">
        <f t="shared" si="40"/>
        <v>0</v>
      </c>
      <c r="AF187" s="111">
        <f t="shared" si="41"/>
        <v>0</v>
      </c>
      <c r="AG187" s="111">
        <f t="shared" si="42"/>
        <v>0</v>
      </c>
      <c r="AH187" s="111">
        <f t="shared" si="43"/>
        <v>0</v>
      </c>
      <c r="AI187" s="111">
        <f t="shared" si="44"/>
        <v>0</v>
      </c>
      <c r="AJ187" s="182">
        <f t="shared" si="55"/>
        <v>0</v>
      </c>
      <c r="AL187" s="10">
        <v>4</v>
      </c>
      <c r="AM187" s="14" t="s">
        <v>22</v>
      </c>
      <c r="AN187" s="34" t="s">
        <v>16</v>
      </c>
      <c r="AO187" s="111">
        <f t="shared" si="45"/>
        <v>0</v>
      </c>
      <c r="AP187" s="111">
        <f t="shared" si="46"/>
        <v>0</v>
      </c>
      <c r="AQ187" s="111">
        <f t="shared" si="47"/>
        <v>0</v>
      </c>
      <c r="AR187" s="111">
        <f t="shared" si="48"/>
        <v>0</v>
      </c>
      <c r="AS187" s="111">
        <f t="shared" si="49"/>
        <v>0</v>
      </c>
      <c r="AT187" s="182">
        <f t="shared" si="56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7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'DRIVE REACTIONS Zone 1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4"/>
        <v>0</v>
      </c>
      <c r="U188" s="111">
        <f t="shared" si="35"/>
        <v>0</v>
      </c>
      <c r="V188" s="111">
        <f t="shared" si="36"/>
        <v>0</v>
      </c>
      <c r="W188" s="111">
        <f t="shared" si="37"/>
        <v>0</v>
      </c>
      <c r="X188" s="111">
        <f t="shared" si="38"/>
        <v>0</v>
      </c>
      <c r="Y188" s="182" t="e">
        <f t="shared" si="39"/>
        <v>#DIV/0!</v>
      </c>
      <c r="AB188" s="10">
        <v>5</v>
      </c>
      <c r="AC188" s="14" t="s">
        <v>35</v>
      </c>
      <c r="AD188" s="34" t="s">
        <v>16</v>
      </c>
      <c r="AE188" s="111">
        <f t="shared" si="40"/>
        <v>0</v>
      </c>
      <c r="AF188" s="111">
        <f t="shared" si="41"/>
        <v>0</v>
      </c>
      <c r="AG188" s="111">
        <f t="shared" si="42"/>
        <v>0</v>
      </c>
      <c r="AH188" s="111">
        <f t="shared" si="43"/>
        <v>0</v>
      </c>
      <c r="AI188" s="111">
        <f t="shared" si="44"/>
        <v>0</v>
      </c>
      <c r="AJ188" s="182">
        <f t="shared" si="55"/>
        <v>0</v>
      </c>
      <c r="AL188" s="10">
        <v>5</v>
      </c>
      <c r="AM188" s="14" t="s">
        <v>35</v>
      </c>
      <c r="AN188" s="34" t="s">
        <v>16</v>
      </c>
      <c r="AO188" s="111">
        <f t="shared" si="45"/>
        <v>0</v>
      </c>
      <c r="AP188" s="111">
        <f t="shared" si="46"/>
        <v>0</v>
      </c>
      <c r="AQ188" s="111">
        <f t="shared" si="47"/>
        <v>0</v>
      </c>
      <c r="AR188" s="111">
        <f t="shared" si="48"/>
        <v>0</v>
      </c>
      <c r="AS188" s="111">
        <f t="shared" si="49"/>
        <v>0</v>
      </c>
      <c r="AT188" s="182">
        <f t="shared" si="56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7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4"/>
        <v>0</v>
      </c>
      <c r="U189" s="111">
        <f t="shared" si="35"/>
        <v>0</v>
      </c>
      <c r="V189" s="111">
        <f t="shared" si="36"/>
        <v>0</v>
      </c>
      <c r="W189" s="111">
        <f t="shared" si="37"/>
        <v>0</v>
      </c>
      <c r="X189" s="111">
        <f t="shared" si="38"/>
        <v>0</v>
      </c>
      <c r="Y189" s="182" t="e">
        <f t="shared" si="39"/>
        <v>#DIV/0!</v>
      </c>
      <c r="AB189" s="10">
        <v>6</v>
      </c>
      <c r="AC189" s="14" t="s">
        <v>36</v>
      </c>
      <c r="AD189" s="34" t="s">
        <v>16</v>
      </c>
      <c r="AE189" s="111">
        <f t="shared" si="40"/>
        <v>0</v>
      </c>
      <c r="AF189" s="111">
        <f t="shared" si="41"/>
        <v>0</v>
      </c>
      <c r="AG189" s="111">
        <f t="shared" si="42"/>
        <v>0</v>
      </c>
      <c r="AH189" s="111">
        <f t="shared" si="43"/>
        <v>0</v>
      </c>
      <c r="AI189" s="111">
        <f t="shared" si="44"/>
        <v>0</v>
      </c>
      <c r="AJ189" s="182">
        <f t="shared" si="55"/>
        <v>0</v>
      </c>
      <c r="AL189" s="10">
        <v>6</v>
      </c>
      <c r="AM189" s="14" t="s">
        <v>36</v>
      </c>
      <c r="AN189" s="34" t="s">
        <v>16</v>
      </c>
      <c r="AO189" s="111">
        <f t="shared" si="45"/>
        <v>0</v>
      </c>
      <c r="AP189" s="111">
        <f t="shared" si="46"/>
        <v>0</v>
      </c>
      <c r="AQ189" s="111">
        <f t="shared" si="47"/>
        <v>0</v>
      </c>
      <c r="AR189" s="111">
        <f t="shared" si="48"/>
        <v>0</v>
      </c>
      <c r="AS189" s="111">
        <f t="shared" si="49"/>
        <v>0</v>
      </c>
      <c r="AT189" s="182">
        <f t="shared" si="56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7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4"/>
        <v>0</v>
      </c>
      <c r="U190" s="111">
        <f t="shared" si="35"/>
        <v>0</v>
      </c>
      <c r="V190" s="111">
        <f t="shared" si="36"/>
        <v>0</v>
      </c>
      <c r="W190" s="111">
        <f t="shared" si="37"/>
        <v>0</v>
      </c>
      <c r="X190" s="111">
        <f t="shared" si="38"/>
        <v>0</v>
      </c>
      <c r="Y190" s="182" t="e">
        <f t="shared" si="39"/>
        <v>#DIV/0!</v>
      </c>
      <c r="AB190" s="10">
        <v>7</v>
      </c>
      <c r="AC190" s="14" t="s">
        <v>33</v>
      </c>
      <c r="AD190" s="34" t="s">
        <v>16</v>
      </c>
      <c r="AE190" s="111">
        <f t="shared" si="40"/>
        <v>0</v>
      </c>
      <c r="AF190" s="111">
        <f t="shared" si="41"/>
        <v>0</v>
      </c>
      <c r="AG190" s="111">
        <f t="shared" si="42"/>
        <v>0</v>
      </c>
      <c r="AH190" s="111">
        <f t="shared" si="43"/>
        <v>0</v>
      </c>
      <c r="AI190" s="111">
        <f t="shared" si="44"/>
        <v>0</v>
      </c>
      <c r="AJ190" s="182">
        <f t="shared" si="55"/>
        <v>0</v>
      </c>
      <c r="AL190" s="10">
        <v>7</v>
      </c>
      <c r="AM190" s="14" t="s">
        <v>33</v>
      </c>
      <c r="AN190" s="34" t="s">
        <v>16</v>
      </c>
      <c r="AO190" s="111">
        <f t="shared" si="45"/>
        <v>0</v>
      </c>
      <c r="AP190" s="111">
        <f t="shared" si="46"/>
        <v>0</v>
      </c>
      <c r="AQ190" s="111">
        <f t="shared" si="47"/>
        <v>0</v>
      </c>
      <c r="AR190" s="111">
        <f t="shared" si="48"/>
        <v>0</v>
      </c>
      <c r="AS190" s="111">
        <f t="shared" si="49"/>
        <v>0</v>
      </c>
      <c r="AT190" s="182">
        <f t="shared" si="56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7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4"/>
        <v>0</v>
      </c>
      <c r="U191" s="111">
        <f t="shared" si="35"/>
        <v>0</v>
      </c>
      <c r="V191" s="111">
        <f t="shared" si="36"/>
        <v>0</v>
      </c>
      <c r="W191" s="111">
        <f t="shared" si="37"/>
        <v>0</v>
      </c>
      <c r="X191" s="111">
        <f t="shared" si="38"/>
        <v>0</v>
      </c>
      <c r="Y191" s="182" t="e">
        <f t="shared" si="39"/>
        <v>#DIV/0!</v>
      </c>
      <c r="AB191" s="10">
        <v>8</v>
      </c>
      <c r="AC191" s="14" t="s">
        <v>34</v>
      </c>
      <c r="AD191" s="34" t="s">
        <v>16</v>
      </c>
      <c r="AE191" s="111">
        <f t="shared" si="40"/>
        <v>0</v>
      </c>
      <c r="AF191" s="111">
        <f t="shared" si="41"/>
        <v>0</v>
      </c>
      <c r="AG191" s="111">
        <f t="shared" si="42"/>
        <v>0</v>
      </c>
      <c r="AH191" s="111">
        <f t="shared" si="43"/>
        <v>0</v>
      </c>
      <c r="AI191" s="111">
        <f t="shared" si="44"/>
        <v>0</v>
      </c>
      <c r="AJ191" s="182">
        <f t="shared" si="55"/>
        <v>0</v>
      </c>
      <c r="AL191" s="10">
        <v>8</v>
      </c>
      <c r="AM191" s="14" t="s">
        <v>34</v>
      </c>
      <c r="AN191" s="34" t="s">
        <v>16</v>
      </c>
      <c r="AO191" s="111">
        <f t="shared" si="45"/>
        <v>0</v>
      </c>
      <c r="AP191" s="111">
        <f t="shared" si="46"/>
        <v>0</v>
      </c>
      <c r="AQ191" s="111">
        <f t="shared" si="47"/>
        <v>0</v>
      </c>
      <c r="AR191" s="111">
        <f t="shared" si="48"/>
        <v>0</v>
      </c>
      <c r="AS191" s="111">
        <f t="shared" si="49"/>
        <v>0</v>
      </c>
      <c r="AT191" s="182">
        <f t="shared" si="56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7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4"/>
        <v>0</v>
      </c>
      <c r="U192" s="111">
        <f t="shared" si="35"/>
        <v>0</v>
      </c>
      <c r="V192" s="111">
        <f t="shared" si="36"/>
        <v>0</v>
      </c>
      <c r="W192" s="111">
        <f t="shared" si="37"/>
        <v>0</v>
      </c>
      <c r="X192" s="111">
        <f t="shared" si="38"/>
        <v>0</v>
      </c>
      <c r="Y192" s="182" t="e">
        <f t="shared" si="39"/>
        <v>#DIV/0!</v>
      </c>
      <c r="AB192" s="10">
        <v>9</v>
      </c>
      <c r="AC192" s="14" t="s">
        <v>23</v>
      </c>
      <c r="AD192" s="34" t="s">
        <v>16</v>
      </c>
      <c r="AE192" s="111">
        <f t="shared" si="40"/>
        <v>0</v>
      </c>
      <c r="AF192" s="111">
        <f t="shared" si="41"/>
        <v>0</v>
      </c>
      <c r="AG192" s="111">
        <f t="shared" si="42"/>
        <v>0</v>
      </c>
      <c r="AH192" s="111">
        <f t="shared" si="43"/>
        <v>0</v>
      </c>
      <c r="AI192" s="111">
        <f t="shared" si="44"/>
        <v>0</v>
      </c>
      <c r="AJ192" s="182">
        <f t="shared" si="55"/>
        <v>0</v>
      </c>
      <c r="AL192" s="10">
        <v>9</v>
      </c>
      <c r="AM192" s="14" t="s">
        <v>23</v>
      </c>
      <c r="AN192" s="34" t="s">
        <v>16</v>
      </c>
      <c r="AO192" s="111">
        <f t="shared" si="45"/>
        <v>0</v>
      </c>
      <c r="AP192" s="111">
        <f t="shared" si="46"/>
        <v>0</v>
      </c>
      <c r="AQ192" s="111">
        <f t="shared" si="47"/>
        <v>0</v>
      </c>
      <c r="AR192" s="111">
        <f t="shared" si="48"/>
        <v>0</v>
      </c>
      <c r="AS192" s="111">
        <f t="shared" si="49"/>
        <v>0</v>
      </c>
      <c r="AT192" s="182">
        <f t="shared" si="56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7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4"/>
        <v>0</v>
      </c>
      <c r="U193" s="111">
        <f t="shared" si="35"/>
        <v>0</v>
      </c>
      <c r="V193" s="111">
        <f t="shared" si="36"/>
        <v>0</v>
      </c>
      <c r="W193" s="111">
        <f t="shared" si="37"/>
        <v>0</v>
      </c>
      <c r="X193" s="111">
        <f t="shared" si="38"/>
        <v>0</v>
      </c>
      <c r="Y193" s="182" t="e">
        <f t="shared" si="39"/>
        <v>#DIV/0!</v>
      </c>
      <c r="AB193" s="10">
        <v>10</v>
      </c>
      <c r="AC193" s="14" t="s">
        <v>24</v>
      </c>
      <c r="AD193" s="34" t="s">
        <v>16</v>
      </c>
      <c r="AE193" s="111">
        <f t="shared" si="40"/>
        <v>0</v>
      </c>
      <c r="AF193" s="111">
        <f t="shared" si="41"/>
        <v>0</v>
      </c>
      <c r="AG193" s="111">
        <f t="shared" si="42"/>
        <v>0</v>
      </c>
      <c r="AH193" s="111">
        <f t="shared" si="43"/>
        <v>0</v>
      </c>
      <c r="AI193" s="111">
        <f t="shared" si="44"/>
        <v>0</v>
      </c>
      <c r="AJ193" s="182">
        <f t="shared" si="55"/>
        <v>0</v>
      </c>
      <c r="AL193" s="10">
        <v>10</v>
      </c>
      <c r="AM193" s="14" t="s">
        <v>24</v>
      </c>
      <c r="AN193" s="34" t="s">
        <v>16</v>
      </c>
      <c r="AO193" s="111">
        <f t="shared" si="45"/>
        <v>0</v>
      </c>
      <c r="AP193" s="111">
        <f t="shared" si="46"/>
        <v>0</v>
      </c>
      <c r="AQ193" s="111">
        <f t="shared" si="47"/>
        <v>0</v>
      </c>
      <c r="AR193" s="111">
        <f t="shared" si="48"/>
        <v>0</v>
      </c>
      <c r="AS193" s="111">
        <f t="shared" si="49"/>
        <v>0</v>
      </c>
      <c r="AT193" s="182">
        <f t="shared" si="56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7"/>
        <v>0</v>
      </c>
    </row>
    <row r="194" spans="2:56" x14ac:dyDescent="0.25">
      <c r="B194" s="335" t="s">
        <v>645</v>
      </c>
      <c r="C194" s="336"/>
      <c r="Q194" s="10">
        <v>11</v>
      </c>
      <c r="R194" s="14" t="s">
        <v>25</v>
      </c>
      <c r="S194" s="34" t="s">
        <v>16</v>
      </c>
      <c r="T194" s="111">
        <f t="shared" si="34"/>
        <v>0</v>
      </c>
      <c r="U194" s="111">
        <f t="shared" si="35"/>
        <v>0</v>
      </c>
      <c r="V194" s="111">
        <f t="shared" si="36"/>
        <v>0</v>
      </c>
      <c r="W194" s="111">
        <f t="shared" si="37"/>
        <v>0</v>
      </c>
      <c r="X194" s="111">
        <f t="shared" si="38"/>
        <v>0</v>
      </c>
      <c r="Y194" s="182" t="e">
        <f t="shared" si="39"/>
        <v>#DIV/0!</v>
      </c>
      <c r="AB194" s="10">
        <v>11</v>
      </c>
      <c r="AC194" s="14" t="s">
        <v>25</v>
      </c>
      <c r="AD194" s="34" t="s">
        <v>16</v>
      </c>
      <c r="AE194" s="111">
        <f t="shared" si="40"/>
        <v>0</v>
      </c>
      <c r="AF194" s="111">
        <f t="shared" si="41"/>
        <v>0</v>
      </c>
      <c r="AG194" s="111">
        <f t="shared" si="42"/>
        <v>0</v>
      </c>
      <c r="AH194" s="111">
        <f t="shared" si="43"/>
        <v>0</v>
      </c>
      <c r="AI194" s="111">
        <f t="shared" si="44"/>
        <v>0</v>
      </c>
      <c r="AJ194" s="182">
        <f t="shared" si="55"/>
        <v>0</v>
      </c>
      <c r="AL194" s="10">
        <v>11</v>
      </c>
      <c r="AM194" s="14" t="s">
        <v>25</v>
      </c>
      <c r="AN194" s="34" t="s">
        <v>16</v>
      </c>
      <c r="AO194" s="111">
        <f t="shared" si="45"/>
        <v>0</v>
      </c>
      <c r="AP194" s="111">
        <f t="shared" si="46"/>
        <v>0</v>
      </c>
      <c r="AQ194" s="111">
        <f t="shared" si="47"/>
        <v>0</v>
      </c>
      <c r="AR194" s="111">
        <f t="shared" si="48"/>
        <v>0</v>
      </c>
      <c r="AS194" s="111">
        <f t="shared" si="49"/>
        <v>0</v>
      </c>
      <c r="AT194" s="182">
        <f t="shared" si="56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7"/>
        <v>0</v>
      </c>
    </row>
    <row r="195" spans="2:56" ht="15.75" thickBot="1" x14ac:dyDescent="0.3">
      <c r="B195" s="337"/>
      <c r="C195" s="338"/>
      <c r="Q195" s="10">
        <v>12</v>
      </c>
      <c r="R195" s="14" t="s">
        <v>26</v>
      </c>
      <c r="S195" s="34" t="s">
        <v>16</v>
      </c>
      <c r="T195" s="111">
        <f t="shared" si="34"/>
        <v>0</v>
      </c>
      <c r="U195" s="111">
        <f t="shared" si="35"/>
        <v>0</v>
      </c>
      <c r="V195" s="111">
        <f t="shared" si="36"/>
        <v>0</v>
      </c>
      <c r="W195" s="111">
        <f t="shared" si="37"/>
        <v>0</v>
      </c>
      <c r="X195" s="111">
        <f t="shared" si="38"/>
        <v>0</v>
      </c>
      <c r="Y195" s="182" t="e">
        <f t="shared" si="39"/>
        <v>#DIV/0!</v>
      </c>
      <c r="AB195" s="10">
        <v>12</v>
      </c>
      <c r="AC195" s="14" t="s">
        <v>26</v>
      </c>
      <c r="AD195" s="34" t="s">
        <v>16</v>
      </c>
      <c r="AE195" s="111">
        <f t="shared" si="40"/>
        <v>0</v>
      </c>
      <c r="AF195" s="111">
        <f t="shared" si="41"/>
        <v>0</v>
      </c>
      <c r="AG195" s="111">
        <f t="shared" si="42"/>
        <v>0</v>
      </c>
      <c r="AH195" s="111">
        <f t="shared" si="43"/>
        <v>0</v>
      </c>
      <c r="AI195" s="111">
        <f t="shared" si="44"/>
        <v>0</v>
      </c>
      <c r="AJ195" s="182">
        <f t="shared" si="55"/>
        <v>0</v>
      </c>
      <c r="AL195" s="10">
        <v>12</v>
      </c>
      <c r="AM195" s="14" t="s">
        <v>26</v>
      </c>
      <c r="AN195" s="34" t="s">
        <v>16</v>
      </c>
      <c r="AO195" s="111">
        <f t="shared" si="45"/>
        <v>0</v>
      </c>
      <c r="AP195" s="111">
        <f t="shared" si="46"/>
        <v>0</v>
      </c>
      <c r="AQ195" s="111">
        <f t="shared" si="47"/>
        <v>0</v>
      </c>
      <c r="AR195" s="111">
        <f t="shared" si="48"/>
        <v>0</v>
      </c>
      <c r="AS195" s="111">
        <f t="shared" si="49"/>
        <v>0</v>
      </c>
      <c r="AT195" s="182">
        <f t="shared" si="56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7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4"/>
        <v>0</v>
      </c>
      <c r="U196" s="111">
        <f t="shared" si="35"/>
        <v>0</v>
      </c>
      <c r="V196" s="111">
        <f t="shared" si="36"/>
        <v>0</v>
      </c>
      <c r="W196" s="111">
        <f t="shared" si="37"/>
        <v>0</v>
      </c>
      <c r="X196" s="111">
        <f t="shared" si="38"/>
        <v>0</v>
      </c>
      <c r="Y196" s="182" t="e">
        <f t="shared" si="39"/>
        <v>#DIV/0!</v>
      </c>
      <c r="AB196" s="10">
        <v>13</v>
      </c>
      <c r="AC196" s="14" t="s">
        <v>27</v>
      </c>
      <c r="AD196" s="34" t="s">
        <v>16</v>
      </c>
      <c r="AE196" s="111">
        <f t="shared" si="40"/>
        <v>0</v>
      </c>
      <c r="AF196" s="111">
        <f t="shared" si="41"/>
        <v>0</v>
      </c>
      <c r="AG196" s="111">
        <f t="shared" si="42"/>
        <v>0</v>
      </c>
      <c r="AH196" s="111">
        <f t="shared" si="43"/>
        <v>0</v>
      </c>
      <c r="AI196" s="111">
        <f t="shared" si="44"/>
        <v>0</v>
      </c>
      <c r="AJ196" s="182">
        <f t="shared" si="55"/>
        <v>0</v>
      </c>
      <c r="AL196" s="10">
        <v>13</v>
      </c>
      <c r="AM196" s="14" t="s">
        <v>27</v>
      </c>
      <c r="AN196" s="34" t="s">
        <v>16</v>
      </c>
      <c r="AO196" s="111">
        <f t="shared" si="45"/>
        <v>0</v>
      </c>
      <c r="AP196" s="111">
        <f t="shared" si="46"/>
        <v>0</v>
      </c>
      <c r="AQ196" s="111">
        <f t="shared" si="47"/>
        <v>0</v>
      </c>
      <c r="AR196" s="111">
        <f t="shared" si="48"/>
        <v>0</v>
      </c>
      <c r="AS196" s="111">
        <f t="shared" si="49"/>
        <v>0</v>
      </c>
      <c r="AT196" s="182">
        <f t="shared" si="56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7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4"/>
        <v>0</v>
      </c>
      <c r="U197" s="111">
        <f t="shared" si="35"/>
        <v>0</v>
      </c>
      <c r="V197" s="111">
        <f t="shared" si="36"/>
        <v>0</v>
      </c>
      <c r="W197" s="111">
        <f t="shared" si="37"/>
        <v>0</v>
      </c>
      <c r="X197" s="111">
        <f t="shared" si="38"/>
        <v>0</v>
      </c>
      <c r="Y197" s="182" t="e">
        <f t="shared" si="39"/>
        <v>#DIV/0!</v>
      </c>
      <c r="AB197" s="10">
        <v>14</v>
      </c>
      <c r="AC197" s="14" t="s">
        <v>28</v>
      </c>
      <c r="AD197" s="34" t="s">
        <v>16</v>
      </c>
      <c r="AE197" s="111">
        <f t="shared" si="40"/>
        <v>0</v>
      </c>
      <c r="AF197" s="111">
        <f t="shared" si="41"/>
        <v>0</v>
      </c>
      <c r="AG197" s="111">
        <f t="shared" si="42"/>
        <v>0</v>
      </c>
      <c r="AH197" s="111">
        <f t="shared" si="43"/>
        <v>0</v>
      </c>
      <c r="AI197" s="111">
        <f t="shared" si="44"/>
        <v>0</v>
      </c>
      <c r="AJ197" s="182">
        <f t="shared" si="55"/>
        <v>0</v>
      </c>
      <c r="AL197" s="10">
        <v>14</v>
      </c>
      <c r="AM197" s="14" t="s">
        <v>28</v>
      </c>
      <c r="AN197" s="34" t="s">
        <v>16</v>
      </c>
      <c r="AO197" s="111">
        <f t="shared" si="45"/>
        <v>0</v>
      </c>
      <c r="AP197" s="111">
        <f t="shared" si="46"/>
        <v>0</v>
      </c>
      <c r="AQ197" s="111">
        <f t="shared" si="47"/>
        <v>0</v>
      </c>
      <c r="AR197" s="111">
        <f t="shared" si="48"/>
        <v>0</v>
      </c>
      <c r="AS197" s="111">
        <f t="shared" si="49"/>
        <v>0</v>
      </c>
      <c r="AT197" s="182">
        <f t="shared" si="56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7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4"/>
        <v>0</v>
      </c>
      <c r="U198" s="111">
        <f t="shared" si="35"/>
        <v>0</v>
      </c>
      <c r="V198" s="111">
        <f t="shared" si="36"/>
        <v>0</v>
      </c>
      <c r="W198" s="111">
        <f t="shared" si="37"/>
        <v>0</v>
      </c>
      <c r="X198" s="111">
        <f t="shared" si="38"/>
        <v>0</v>
      </c>
      <c r="Y198" s="182" t="e">
        <f t="shared" si="39"/>
        <v>#DIV/0!</v>
      </c>
      <c r="AB198" s="10">
        <v>15</v>
      </c>
      <c r="AC198" s="14" t="s">
        <v>29</v>
      </c>
      <c r="AD198" s="34" t="s">
        <v>16</v>
      </c>
      <c r="AE198" s="111">
        <f t="shared" si="40"/>
        <v>0</v>
      </c>
      <c r="AF198" s="111">
        <f t="shared" si="41"/>
        <v>0</v>
      </c>
      <c r="AG198" s="111">
        <f t="shared" si="42"/>
        <v>0</v>
      </c>
      <c r="AH198" s="111">
        <f t="shared" si="43"/>
        <v>0</v>
      </c>
      <c r="AI198" s="111">
        <f t="shared" si="44"/>
        <v>0</v>
      </c>
      <c r="AJ198" s="182">
        <f t="shared" si="55"/>
        <v>0</v>
      </c>
      <c r="AL198" s="10">
        <v>15</v>
      </c>
      <c r="AM198" s="14" t="s">
        <v>29</v>
      </c>
      <c r="AN198" s="34" t="s">
        <v>16</v>
      </c>
      <c r="AO198" s="111">
        <f t="shared" si="45"/>
        <v>0</v>
      </c>
      <c r="AP198" s="111">
        <f t="shared" si="46"/>
        <v>0</v>
      </c>
      <c r="AQ198" s="111">
        <f t="shared" si="47"/>
        <v>0</v>
      </c>
      <c r="AR198" s="111">
        <f t="shared" si="48"/>
        <v>0</v>
      </c>
      <c r="AS198" s="111">
        <f t="shared" si="49"/>
        <v>0</v>
      </c>
      <c r="AT198" s="182">
        <f t="shared" si="56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7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4"/>
        <v>0</v>
      </c>
      <c r="U199" s="111">
        <f t="shared" si="35"/>
        <v>0</v>
      </c>
      <c r="V199" s="111">
        <f t="shared" si="36"/>
        <v>0</v>
      </c>
      <c r="W199" s="111">
        <f t="shared" si="37"/>
        <v>0</v>
      </c>
      <c r="X199" s="111">
        <f t="shared" si="38"/>
        <v>0</v>
      </c>
      <c r="Y199" s="182" t="e">
        <f t="shared" si="39"/>
        <v>#DIV/0!</v>
      </c>
      <c r="AB199" s="10">
        <v>16</v>
      </c>
      <c r="AC199" s="14" t="s">
        <v>30</v>
      </c>
      <c r="AD199" s="34" t="s">
        <v>16</v>
      </c>
      <c r="AE199" s="111">
        <f t="shared" si="40"/>
        <v>0</v>
      </c>
      <c r="AF199" s="111">
        <f t="shared" si="41"/>
        <v>0</v>
      </c>
      <c r="AG199" s="111">
        <f t="shared" si="42"/>
        <v>0</v>
      </c>
      <c r="AH199" s="111">
        <f t="shared" si="43"/>
        <v>0</v>
      </c>
      <c r="AI199" s="111">
        <f t="shared" si="44"/>
        <v>0</v>
      </c>
      <c r="AJ199" s="182">
        <f t="shared" si="55"/>
        <v>0</v>
      </c>
      <c r="AL199" s="10">
        <v>16</v>
      </c>
      <c r="AM199" s="14" t="s">
        <v>30</v>
      </c>
      <c r="AN199" s="34" t="s">
        <v>16</v>
      </c>
      <c r="AO199" s="111">
        <f t="shared" si="45"/>
        <v>0</v>
      </c>
      <c r="AP199" s="111">
        <f t="shared" si="46"/>
        <v>0</v>
      </c>
      <c r="AQ199" s="111">
        <f t="shared" si="47"/>
        <v>0</v>
      </c>
      <c r="AR199" s="111">
        <f t="shared" si="48"/>
        <v>0</v>
      </c>
      <c r="AS199" s="111">
        <f t="shared" si="49"/>
        <v>0</v>
      </c>
      <c r="AT199" s="182">
        <f t="shared" si="56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7"/>
        <v>0</v>
      </c>
    </row>
    <row r="200" spans="2:56" ht="15.75" thickBot="1" x14ac:dyDescent="0.3">
      <c r="B200" s="206" t="s">
        <v>350</v>
      </c>
      <c r="C200" s="230" t="s">
        <v>297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4"/>
        <v>0</v>
      </c>
      <c r="U200" s="111">
        <f t="shared" si="35"/>
        <v>0</v>
      </c>
      <c r="V200" s="111">
        <f t="shared" si="36"/>
        <v>0</v>
      </c>
      <c r="W200" s="111">
        <f t="shared" si="37"/>
        <v>0</v>
      </c>
      <c r="X200" s="111">
        <f t="shared" si="38"/>
        <v>0</v>
      </c>
      <c r="Y200" s="182" t="e">
        <f t="shared" si="39"/>
        <v>#DIV/0!</v>
      </c>
      <c r="AB200" s="10">
        <v>17</v>
      </c>
      <c r="AC200" s="14" t="s">
        <v>31</v>
      </c>
      <c r="AD200" s="34" t="s">
        <v>16</v>
      </c>
      <c r="AE200" s="111">
        <f t="shared" si="40"/>
        <v>0</v>
      </c>
      <c r="AF200" s="111">
        <f t="shared" si="41"/>
        <v>0</v>
      </c>
      <c r="AG200" s="111">
        <f t="shared" si="42"/>
        <v>0</v>
      </c>
      <c r="AH200" s="111">
        <f t="shared" si="43"/>
        <v>0</v>
      </c>
      <c r="AI200" s="111">
        <f t="shared" si="44"/>
        <v>0</v>
      </c>
      <c r="AJ200" s="182">
        <f t="shared" si="55"/>
        <v>0</v>
      </c>
      <c r="AL200" s="10">
        <v>17</v>
      </c>
      <c r="AM200" s="14" t="s">
        <v>31</v>
      </c>
      <c r="AN200" s="34" t="s">
        <v>16</v>
      </c>
      <c r="AO200" s="111">
        <f t="shared" si="45"/>
        <v>0</v>
      </c>
      <c r="AP200" s="111">
        <f t="shared" si="46"/>
        <v>0</v>
      </c>
      <c r="AQ200" s="111">
        <f t="shared" si="47"/>
        <v>0</v>
      </c>
      <c r="AR200" s="111">
        <f t="shared" si="48"/>
        <v>0</v>
      </c>
      <c r="AS200" s="111">
        <f t="shared" si="49"/>
        <v>0</v>
      </c>
      <c r="AT200" s="182">
        <f t="shared" si="56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7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4"/>
        <v>0</v>
      </c>
      <c r="U201" s="111">
        <f t="shared" si="35"/>
        <v>0</v>
      </c>
      <c r="V201" s="111">
        <f t="shared" si="36"/>
        <v>0</v>
      </c>
      <c r="W201" s="111">
        <f t="shared" si="37"/>
        <v>0</v>
      </c>
      <c r="X201" s="111">
        <f t="shared" si="38"/>
        <v>0</v>
      </c>
      <c r="Y201" s="182" t="e">
        <f t="shared" si="39"/>
        <v>#DIV/0!</v>
      </c>
      <c r="AB201" s="10">
        <v>18</v>
      </c>
      <c r="AC201" s="14" t="s">
        <v>32</v>
      </c>
      <c r="AD201" s="34" t="s">
        <v>16</v>
      </c>
      <c r="AE201" s="111">
        <f t="shared" si="40"/>
        <v>0</v>
      </c>
      <c r="AF201" s="111">
        <f t="shared" si="41"/>
        <v>0</v>
      </c>
      <c r="AG201" s="111">
        <f t="shared" si="42"/>
        <v>0</v>
      </c>
      <c r="AH201" s="111">
        <f t="shared" si="43"/>
        <v>0</v>
      </c>
      <c r="AI201" s="111">
        <f t="shared" si="44"/>
        <v>0</v>
      </c>
      <c r="AJ201" s="182">
        <f t="shared" si="55"/>
        <v>0</v>
      </c>
      <c r="AL201" s="10">
        <v>18</v>
      </c>
      <c r="AM201" s="14" t="s">
        <v>32</v>
      </c>
      <c r="AN201" s="34" t="s">
        <v>16</v>
      </c>
      <c r="AO201" s="111">
        <f t="shared" si="45"/>
        <v>0</v>
      </c>
      <c r="AP201" s="111">
        <f t="shared" si="46"/>
        <v>0</v>
      </c>
      <c r="AQ201" s="111">
        <f t="shared" si="47"/>
        <v>0</v>
      </c>
      <c r="AR201" s="111">
        <f t="shared" si="48"/>
        <v>0</v>
      </c>
      <c r="AS201" s="111">
        <f t="shared" si="49"/>
        <v>0</v>
      </c>
      <c r="AT201" s="182">
        <f t="shared" si="56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7"/>
        <v>0</v>
      </c>
    </row>
    <row r="202" spans="2:56" ht="15.75" thickBot="1" x14ac:dyDescent="0.3">
      <c r="B202" s="354" t="s">
        <v>642</v>
      </c>
      <c r="C202" s="355"/>
      <c r="D202" s="355"/>
      <c r="E202" s="355"/>
      <c r="F202" s="355"/>
      <c r="G202" s="355"/>
      <c r="H202" s="356"/>
      <c r="Q202" s="10">
        <v>19</v>
      </c>
      <c r="R202" s="14" t="s">
        <v>37</v>
      </c>
      <c r="S202" s="34" t="s">
        <v>16</v>
      </c>
      <c r="T202" s="111">
        <f t="shared" si="34"/>
        <v>0</v>
      </c>
      <c r="U202" s="111">
        <f t="shared" si="35"/>
        <v>0</v>
      </c>
      <c r="V202" s="111">
        <f t="shared" si="36"/>
        <v>0</v>
      </c>
      <c r="W202" s="111">
        <f t="shared" si="37"/>
        <v>0</v>
      </c>
      <c r="X202" s="111">
        <f t="shared" si="38"/>
        <v>0</v>
      </c>
      <c r="Y202" s="182" t="e">
        <f t="shared" si="39"/>
        <v>#DIV/0!</v>
      </c>
      <c r="AB202" s="10">
        <v>19</v>
      </c>
      <c r="AC202" s="14" t="s">
        <v>37</v>
      </c>
      <c r="AD202" s="34" t="s">
        <v>16</v>
      </c>
      <c r="AE202" s="111">
        <f t="shared" si="40"/>
        <v>0</v>
      </c>
      <c r="AF202" s="111">
        <f t="shared" si="41"/>
        <v>0</v>
      </c>
      <c r="AG202" s="111">
        <f t="shared" si="42"/>
        <v>0</v>
      </c>
      <c r="AH202" s="111">
        <f t="shared" si="43"/>
        <v>0</v>
      </c>
      <c r="AI202" s="111">
        <f t="shared" si="44"/>
        <v>0</v>
      </c>
      <c r="AJ202" s="182">
        <f t="shared" si="55"/>
        <v>0</v>
      </c>
      <c r="AL202" s="10">
        <v>19</v>
      </c>
      <c r="AM202" s="14" t="s">
        <v>37</v>
      </c>
      <c r="AN202" s="34" t="s">
        <v>16</v>
      </c>
      <c r="AO202" s="111">
        <f t="shared" si="45"/>
        <v>0</v>
      </c>
      <c r="AP202" s="111">
        <f t="shared" si="46"/>
        <v>0</v>
      </c>
      <c r="AQ202" s="111">
        <f t="shared" si="47"/>
        <v>0</v>
      </c>
      <c r="AR202" s="111">
        <f t="shared" si="48"/>
        <v>0</v>
      </c>
      <c r="AS202" s="111">
        <f t="shared" si="49"/>
        <v>0</v>
      </c>
      <c r="AT202" s="182">
        <f t="shared" si="56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7"/>
        <v>0</v>
      </c>
    </row>
    <row r="203" spans="2:56" x14ac:dyDescent="0.25">
      <c r="B203" s="208" t="str">
        <f>AC11</f>
        <v>Area (A)</v>
      </c>
      <c r="C203" s="210">
        <f>AO11</f>
        <v>7.2831999999999999</v>
      </c>
      <c r="D203" s="155" t="str">
        <f>AP11</f>
        <v>in^2</v>
      </c>
      <c r="E203" s="214" t="str">
        <f t="shared" ref="E203:E210" si="58">AR11</f>
        <v>Moment of Inertia - y (Iy)</v>
      </c>
      <c r="F203" s="155"/>
      <c r="G203" s="210">
        <f>AT11</f>
        <v>17.058911573333333</v>
      </c>
      <c r="H203" s="166" t="str">
        <f t="shared" ref="G203:H206" si="59">AU11</f>
        <v>in^4</v>
      </c>
      <c r="Q203" s="10">
        <v>20</v>
      </c>
      <c r="R203" s="14" t="s">
        <v>38</v>
      </c>
      <c r="S203" s="34" t="s">
        <v>16</v>
      </c>
      <c r="T203" s="111">
        <f t="shared" si="34"/>
        <v>0</v>
      </c>
      <c r="U203" s="111">
        <f t="shared" si="35"/>
        <v>0</v>
      </c>
      <c r="V203" s="111">
        <f t="shared" si="36"/>
        <v>0</v>
      </c>
      <c r="W203" s="111">
        <f t="shared" si="37"/>
        <v>0</v>
      </c>
      <c r="X203" s="111">
        <f t="shared" si="38"/>
        <v>0</v>
      </c>
      <c r="Y203" s="182" t="e">
        <f t="shared" si="39"/>
        <v>#DIV/0!</v>
      </c>
      <c r="AB203" s="10">
        <v>20</v>
      </c>
      <c r="AC203" s="14" t="s">
        <v>38</v>
      </c>
      <c r="AD203" s="34" t="s">
        <v>16</v>
      </c>
      <c r="AE203" s="111">
        <f t="shared" si="40"/>
        <v>0</v>
      </c>
      <c r="AF203" s="111">
        <f t="shared" si="41"/>
        <v>0</v>
      </c>
      <c r="AG203" s="111">
        <f t="shared" si="42"/>
        <v>0</v>
      </c>
      <c r="AH203" s="111">
        <f t="shared" si="43"/>
        <v>0</v>
      </c>
      <c r="AI203" s="111">
        <f t="shared" si="44"/>
        <v>0</v>
      </c>
      <c r="AJ203" s="182">
        <f t="shared" si="55"/>
        <v>0</v>
      </c>
      <c r="AL203" s="10">
        <v>20</v>
      </c>
      <c r="AM203" s="14" t="s">
        <v>38</v>
      </c>
      <c r="AN203" s="34" t="s">
        <v>16</v>
      </c>
      <c r="AO203" s="111">
        <f t="shared" si="45"/>
        <v>0</v>
      </c>
      <c r="AP203" s="111">
        <f t="shared" si="46"/>
        <v>0</v>
      </c>
      <c r="AQ203" s="111">
        <f t="shared" si="47"/>
        <v>0</v>
      </c>
      <c r="AR203" s="111">
        <f t="shared" si="48"/>
        <v>0</v>
      </c>
      <c r="AS203" s="111">
        <f t="shared" si="49"/>
        <v>0</v>
      </c>
      <c r="AT203" s="182">
        <f t="shared" si="56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7"/>
        <v>0</v>
      </c>
    </row>
    <row r="204" spans="2:56" x14ac:dyDescent="0.25">
      <c r="B204" s="209" t="str">
        <f t="shared" ref="B204:B211" si="60">AC12</f>
        <v>Depth (d)</v>
      </c>
      <c r="C204" s="211">
        <f t="shared" ref="C204:C212" si="61">AO12</f>
        <v>6.38</v>
      </c>
      <c r="D204" t="str">
        <f t="shared" ref="D204:D212" si="62">AP12</f>
        <v>in</v>
      </c>
      <c r="E204" s="19" t="str">
        <f t="shared" si="58"/>
        <v>Elastic Section Modulus - y (Sy)</v>
      </c>
      <c r="G204" s="211">
        <f t="shared" si="59"/>
        <v>5.6114840701754387</v>
      </c>
      <c r="H204" s="159" t="str">
        <f t="shared" si="59"/>
        <v>in^3</v>
      </c>
      <c r="Q204" s="10">
        <v>21</v>
      </c>
      <c r="R204" s="14" t="s">
        <v>39</v>
      </c>
      <c r="S204" s="34" t="s">
        <v>16</v>
      </c>
      <c r="T204" s="111">
        <f t="shared" si="34"/>
        <v>0</v>
      </c>
      <c r="U204" s="111">
        <f t="shared" si="35"/>
        <v>0</v>
      </c>
      <c r="V204" s="111">
        <f t="shared" si="36"/>
        <v>0</v>
      </c>
      <c r="W204" s="111">
        <f t="shared" si="37"/>
        <v>0</v>
      </c>
      <c r="X204" s="111">
        <f t="shared" si="38"/>
        <v>0</v>
      </c>
      <c r="Y204" s="182" t="e">
        <f t="shared" si="39"/>
        <v>#DIV/0!</v>
      </c>
      <c r="AB204" s="10">
        <v>21</v>
      </c>
      <c r="AC204" s="14" t="s">
        <v>39</v>
      </c>
      <c r="AD204" s="34" t="s">
        <v>16</v>
      </c>
      <c r="AE204" s="111">
        <f t="shared" si="40"/>
        <v>0</v>
      </c>
      <c r="AF204" s="111">
        <f t="shared" si="41"/>
        <v>0</v>
      </c>
      <c r="AG204" s="111">
        <f t="shared" si="42"/>
        <v>0</v>
      </c>
      <c r="AH204" s="111">
        <f t="shared" si="43"/>
        <v>0</v>
      </c>
      <c r="AI204" s="111">
        <f t="shared" si="44"/>
        <v>0</v>
      </c>
      <c r="AJ204" s="182">
        <f t="shared" si="55"/>
        <v>0</v>
      </c>
      <c r="AL204" s="10">
        <v>21</v>
      </c>
      <c r="AM204" s="14" t="s">
        <v>39</v>
      </c>
      <c r="AN204" s="34" t="s">
        <v>16</v>
      </c>
      <c r="AO204" s="111">
        <f t="shared" si="45"/>
        <v>0</v>
      </c>
      <c r="AP204" s="111">
        <f t="shared" si="46"/>
        <v>0</v>
      </c>
      <c r="AQ204" s="111">
        <f t="shared" si="47"/>
        <v>0</v>
      </c>
      <c r="AR204" s="111">
        <f t="shared" si="48"/>
        <v>0</v>
      </c>
      <c r="AS204" s="111">
        <f t="shared" si="49"/>
        <v>0</v>
      </c>
      <c r="AT204" s="182">
        <f t="shared" si="56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7"/>
        <v>0</v>
      </c>
    </row>
    <row r="205" spans="2:56" ht="15.75" thickBot="1" x14ac:dyDescent="0.3">
      <c r="B205" s="209" t="str">
        <f t="shared" si="60"/>
        <v>Web Thickness (tw)</v>
      </c>
      <c r="C205" s="211">
        <f t="shared" si="61"/>
        <v>0.32</v>
      </c>
      <c r="D205" t="str">
        <f t="shared" si="62"/>
        <v>in</v>
      </c>
      <c r="E205" s="19" t="str">
        <f t="shared" si="58"/>
        <v>Radius of Gyration - y (ry)</v>
      </c>
      <c r="G205" s="211">
        <f t="shared" si="59"/>
        <v>1.52</v>
      </c>
      <c r="H205" s="159" t="str">
        <f t="shared" si="59"/>
        <v>in^3</v>
      </c>
      <c r="Q205" s="13">
        <v>22</v>
      </c>
      <c r="R205" s="15" t="s">
        <v>40</v>
      </c>
      <c r="S205" s="36" t="s">
        <v>16</v>
      </c>
      <c r="T205" s="106">
        <f t="shared" si="34"/>
        <v>0</v>
      </c>
      <c r="U205" s="106">
        <f t="shared" si="35"/>
        <v>0</v>
      </c>
      <c r="V205" s="106">
        <f t="shared" si="36"/>
        <v>0</v>
      </c>
      <c r="W205" s="106">
        <f t="shared" si="37"/>
        <v>0</v>
      </c>
      <c r="X205" s="106">
        <f t="shared" si="38"/>
        <v>0</v>
      </c>
      <c r="Y205" s="183" t="e">
        <f t="shared" si="39"/>
        <v>#DIV/0!</v>
      </c>
      <c r="AB205" s="13">
        <v>22</v>
      </c>
      <c r="AC205" s="15" t="s">
        <v>40</v>
      </c>
      <c r="AD205" s="36" t="s">
        <v>16</v>
      </c>
      <c r="AE205" s="106">
        <f t="shared" si="40"/>
        <v>0</v>
      </c>
      <c r="AF205" s="106">
        <f t="shared" si="41"/>
        <v>0</v>
      </c>
      <c r="AG205" s="106">
        <f t="shared" si="42"/>
        <v>0</v>
      </c>
      <c r="AH205" s="106">
        <f t="shared" si="43"/>
        <v>0</v>
      </c>
      <c r="AI205" s="106">
        <f t="shared" si="44"/>
        <v>0</v>
      </c>
      <c r="AJ205" s="183">
        <f t="shared" si="55"/>
        <v>0</v>
      </c>
      <c r="AL205" s="13">
        <v>22</v>
      </c>
      <c r="AM205" s="15" t="s">
        <v>40</v>
      </c>
      <c r="AN205" s="36" t="s">
        <v>16</v>
      </c>
      <c r="AO205" s="106">
        <f t="shared" si="45"/>
        <v>0</v>
      </c>
      <c r="AP205" s="106">
        <f t="shared" si="46"/>
        <v>0</v>
      </c>
      <c r="AQ205" s="106">
        <f t="shared" si="47"/>
        <v>0</v>
      </c>
      <c r="AR205" s="106">
        <f t="shared" si="48"/>
        <v>0</v>
      </c>
      <c r="AS205" s="106">
        <f t="shared" si="49"/>
        <v>0</v>
      </c>
      <c r="AT205" s="183">
        <f t="shared" si="56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7"/>
        <v>0</v>
      </c>
    </row>
    <row r="206" spans="2:56" x14ac:dyDescent="0.25">
      <c r="B206" s="209" t="str">
        <f t="shared" si="60"/>
        <v>Flange Thickness (tf)</v>
      </c>
      <c r="C206" s="211">
        <f t="shared" si="61"/>
        <v>0.45500000000000002</v>
      </c>
      <c r="D206" t="str">
        <f t="shared" si="62"/>
        <v>in</v>
      </c>
      <c r="E206" s="19" t="str">
        <f t="shared" si="58"/>
        <v>Plastic Section Modulus - y (Zy)</v>
      </c>
      <c r="G206" s="211">
        <f t="shared" si="59"/>
        <v>8.5498879999999993</v>
      </c>
      <c r="H206" s="159" t="str">
        <f t="shared" si="59"/>
        <v>in^3</v>
      </c>
    </row>
    <row r="207" spans="2:56" x14ac:dyDescent="0.25">
      <c r="B207" s="209" t="str">
        <f t="shared" si="60"/>
        <v>Flange Width (bf)</v>
      </c>
      <c r="C207" s="211">
        <f t="shared" si="61"/>
        <v>6.08</v>
      </c>
      <c r="D207" t="str">
        <f t="shared" si="62"/>
        <v>in</v>
      </c>
      <c r="E207" s="19" t="str">
        <f t="shared" si="58"/>
        <v>ho</v>
      </c>
      <c r="G207" s="211">
        <f>AT15</f>
        <v>5.9249999999999998</v>
      </c>
      <c r="H207" s="159"/>
    </row>
    <row r="208" spans="2:56" x14ac:dyDescent="0.25">
      <c r="B208" s="209" t="str">
        <f t="shared" si="60"/>
        <v>Moment of Inertia x (Ix)</v>
      </c>
      <c r="C208" s="211">
        <f t="shared" si="61"/>
        <v>53.018014773333327</v>
      </c>
      <c r="D208" t="str">
        <f t="shared" si="62"/>
        <v>in^4</v>
      </c>
      <c r="E208" s="19" t="str">
        <f t="shared" si="58"/>
        <v>Effective Radius of Gyration (rts)</v>
      </c>
      <c r="G208" s="211">
        <f>AT16</f>
        <v>1.7437669781105718</v>
      </c>
      <c r="H208" s="159" t="str">
        <f>AU16</f>
        <v>in^3</v>
      </c>
    </row>
    <row r="209" spans="2:49" x14ac:dyDescent="0.25">
      <c r="B209" s="209" t="str">
        <f t="shared" si="60"/>
        <v>Elastic Section Modulus x (Sx)</v>
      </c>
      <c r="C209" s="211">
        <f t="shared" si="61"/>
        <v>16.62006732706374</v>
      </c>
      <c r="D209" t="str">
        <f t="shared" si="62"/>
        <v>in^3</v>
      </c>
      <c r="E209" s="19" t="str">
        <f t="shared" si="58"/>
        <v>Torsional Constant - (J)</v>
      </c>
      <c r="G209" s="211">
        <f>AT17</f>
        <v>0.44652610666666676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60"/>
        <v>Radius of Gyration about X (rx)</v>
      </c>
      <c r="C210" s="211">
        <f t="shared" si="61"/>
        <v>2.6980538466027935</v>
      </c>
      <c r="D210" t="str">
        <f t="shared" si="62"/>
        <v>in</v>
      </c>
      <c r="E210" s="19" t="str">
        <f t="shared" si="58"/>
        <v>h/tw</v>
      </c>
      <c r="G210" s="211">
        <f>AT18</f>
        <v>17.09375</v>
      </c>
      <c r="H210" s="159"/>
    </row>
    <row r="211" spans="2:49" x14ac:dyDescent="0.25">
      <c r="B211" s="209" t="str">
        <f t="shared" si="60"/>
        <v>Plastic Section Modulus - X (Zx)</v>
      </c>
      <c r="C211" s="211">
        <f t="shared" si="61"/>
        <v>18.784591999999996</v>
      </c>
      <c r="D211" t="str">
        <f t="shared" si="62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61"/>
        <v>5.47</v>
      </c>
      <c r="D212" s="162" t="str">
        <f t="shared" si="62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201.20004202158574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562.41293413173639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255.98467065868263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36.67544910179641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99.391616766467081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562.41293413173639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'DRIVE REACTIONS Zone 1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ht="15" customHeight="1" x14ac:dyDescent="0.25">
      <c r="B243" s="335" t="s">
        <v>380</v>
      </c>
      <c r="C243" s="336"/>
    </row>
    <row r="244" spans="2:8" ht="15.75" customHeight="1" thickBot="1" x14ac:dyDescent="0.3">
      <c r="B244" s="337"/>
      <c r="C244" s="338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4" t="s">
        <v>642</v>
      </c>
      <c r="C251" s="355"/>
      <c r="D251" s="355"/>
      <c r="E251" s="355"/>
      <c r="F251" s="355"/>
      <c r="G251" s="355"/>
      <c r="H251" s="356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3">BB11</f>
        <v>Moment of Inertia - y (Iy)</v>
      </c>
      <c r="F252" s="155"/>
      <c r="G252" s="210">
        <f t="shared" ref="G252:H255" si="64">BD11</f>
        <v>17.058911573333333</v>
      </c>
      <c r="H252" s="166" t="str">
        <f t="shared" si="64"/>
        <v>in^4</v>
      </c>
    </row>
    <row r="253" spans="2:8" x14ac:dyDescent="0.25">
      <c r="B253" s="209" t="str">
        <f t="shared" ref="B253:B261" si="65">AW12</f>
        <v>Depth (d)</v>
      </c>
      <c r="C253" s="211">
        <f t="shared" ref="C253:D261" si="66">AY12</f>
        <v>6.38</v>
      </c>
      <c r="D253" t="str">
        <f t="shared" si="66"/>
        <v>in</v>
      </c>
      <c r="E253" s="19" t="str">
        <f t="shared" si="63"/>
        <v>Elastic Section Modulus - y (Sy)</v>
      </c>
      <c r="G253" s="211">
        <f t="shared" si="64"/>
        <v>5.6114840701754387</v>
      </c>
      <c r="H253" s="159" t="str">
        <f t="shared" si="64"/>
        <v>in^3</v>
      </c>
    </row>
    <row r="254" spans="2:8" x14ac:dyDescent="0.25">
      <c r="B254" s="209" t="str">
        <f t="shared" si="65"/>
        <v>Web Thickness (tw)</v>
      </c>
      <c r="C254" s="211">
        <f t="shared" si="66"/>
        <v>0.32</v>
      </c>
      <c r="D254" t="str">
        <f t="shared" si="66"/>
        <v>in</v>
      </c>
      <c r="E254" s="19" t="str">
        <f t="shared" si="63"/>
        <v>Radius of Gyration - y (ry)</v>
      </c>
      <c r="G254" s="211">
        <f t="shared" si="64"/>
        <v>1.52</v>
      </c>
      <c r="H254" s="159" t="str">
        <f t="shared" si="64"/>
        <v>in^3</v>
      </c>
    </row>
    <row r="255" spans="2:8" x14ac:dyDescent="0.25">
      <c r="B255" s="209" t="str">
        <f t="shared" si="65"/>
        <v>Flange Thickness (tf)</v>
      </c>
      <c r="C255" s="211">
        <f t="shared" si="66"/>
        <v>0.45500000000000002</v>
      </c>
      <c r="D255" t="str">
        <f t="shared" si="66"/>
        <v>in</v>
      </c>
      <c r="E255" s="19" t="str">
        <f t="shared" si="63"/>
        <v>Plastic Section Modulus - y (Zy)</v>
      </c>
      <c r="G255" s="211">
        <f t="shared" si="64"/>
        <v>8.5498879999999993</v>
      </c>
      <c r="H255" s="159" t="str">
        <f t="shared" si="64"/>
        <v>in^3</v>
      </c>
    </row>
    <row r="256" spans="2:8" x14ac:dyDescent="0.25">
      <c r="B256" s="209" t="str">
        <f t="shared" si="65"/>
        <v>Flange Width (bf)</v>
      </c>
      <c r="C256" s="211">
        <f t="shared" si="66"/>
        <v>6.08</v>
      </c>
      <c r="D256" t="str">
        <f t="shared" si="66"/>
        <v>in</v>
      </c>
      <c r="E256" s="19" t="str">
        <f t="shared" si="63"/>
        <v>ho</v>
      </c>
      <c r="G256" s="211">
        <f>BD15</f>
        <v>5.9249999999999998</v>
      </c>
      <c r="H256" s="159"/>
    </row>
    <row r="257" spans="2:9" x14ac:dyDescent="0.25">
      <c r="B257" s="209" t="str">
        <f t="shared" si="65"/>
        <v>Moment of Inertia x (Ix)</v>
      </c>
      <c r="C257" s="211">
        <f t="shared" si="66"/>
        <v>53.018014773333327</v>
      </c>
      <c r="D257" t="str">
        <f t="shared" si="66"/>
        <v>in^4</v>
      </c>
      <c r="E257" s="19" t="str">
        <f t="shared" si="63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5"/>
        <v>Elastic Section Modulus x (Sx)</v>
      </c>
      <c r="C258" s="211">
        <f t="shared" si="66"/>
        <v>16.62006732706374</v>
      </c>
      <c r="D258" t="str">
        <f t="shared" si="66"/>
        <v>in^3</v>
      </c>
      <c r="E258" s="19" t="str">
        <f t="shared" si="63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5"/>
        <v>Radius of Gyration about X (rx)</v>
      </c>
      <c r="C259" s="211">
        <f t="shared" si="66"/>
        <v>2.6980538466027935</v>
      </c>
      <c r="D259" t="str">
        <f t="shared" si="66"/>
        <v>in</v>
      </c>
      <c r="E259" s="19" t="str">
        <f t="shared" si="63"/>
        <v>h/tw</v>
      </c>
      <c r="G259" s="211">
        <f>BD18</f>
        <v>17.09375</v>
      </c>
      <c r="H259" s="159"/>
    </row>
    <row r="260" spans="2:9" x14ac:dyDescent="0.25">
      <c r="B260" s="209" t="str">
        <f t="shared" si="65"/>
        <v>Plastic Section Modulus - X (Zx)</v>
      </c>
      <c r="C260" s="211">
        <f t="shared" si="66"/>
        <v>18.784591999999996</v>
      </c>
      <c r="D260" t="str">
        <f t="shared" si="66"/>
        <v>in^3</v>
      </c>
      <c r="E260" s="19"/>
      <c r="G260" s="211"/>
      <c r="H260" s="159"/>
    </row>
    <row r="261" spans="2:9" ht="15.75" thickBot="1" x14ac:dyDescent="0.3">
      <c r="B261" s="213" t="str">
        <f t="shared" si="65"/>
        <v>Wh</v>
      </c>
      <c r="C261" s="212">
        <f t="shared" si="66"/>
        <v>5.47</v>
      </c>
      <c r="D261" s="162" t="str">
        <f t="shared" si="66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'DRIVE REACTIONS Zone 1 DL'!C284</f>
        <v>0</v>
      </c>
      <c r="D286" s="162"/>
      <c r="E286" s="162"/>
      <c r="F286" s="162"/>
      <c r="G286" s="162"/>
      <c r="H286" s="162"/>
      <c r="I286" s="163"/>
    </row>
  </sheetData>
  <mergeCells count="174">
    <mergeCell ref="O16:P16"/>
    <mergeCell ref="W28:X28"/>
    <mergeCell ref="AH28:AI28"/>
    <mergeCell ref="AR28:AS28"/>
    <mergeCell ref="BB28:BC28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R95:S95"/>
    <mergeCell ref="AC95:AD95"/>
    <mergeCell ref="AM95:AN95"/>
    <mergeCell ref="AW95:AX95"/>
    <mergeCell ref="R99:S99"/>
    <mergeCell ref="AC99:AD99"/>
    <mergeCell ref="AM99:AN99"/>
    <mergeCell ref="AW99:AX99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7:S17"/>
    <mergeCell ref="W17:X17"/>
    <mergeCell ref="AC17:AD17"/>
    <mergeCell ref="AH17:AI17"/>
    <mergeCell ref="AM17:AN17"/>
    <mergeCell ref="AR15:AS15"/>
    <mergeCell ref="AW15:AX15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R15:S15"/>
    <mergeCell ref="W15:X15"/>
    <mergeCell ref="AC15:AD15"/>
    <mergeCell ref="AH15:AI15"/>
    <mergeCell ref="AM15:AN15"/>
    <mergeCell ref="AR13:AS13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3:X13"/>
    <mergeCell ref="AC13:AD13"/>
    <mergeCell ref="AH13:AI13"/>
    <mergeCell ref="AM13:AN13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R11:S11"/>
    <mergeCell ref="W11:X11"/>
    <mergeCell ref="AC11:AD11"/>
    <mergeCell ref="AH11:AI11"/>
    <mergeCell ref="AM11:AN11"/>
    <mergeCell ref="G76:H76"/>
    <mergeCell ref="C79:E79"/>
    <mergeCell ref="C80:C81"/>
    <mergeCell ref="D80:D81"/>
    <mergeCell ref="E80:E81"/>
    <mergeCell ref="C82:C83"/>
    <mergeCell ref="D82:D83"/>
    <mergeCell ref="E82:E83"/>
    <mergeCell ref="C76:C77"/>
    <mergeCell ref="D76:D77"/>
    <mergeCell ref="E76:E77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2:D2"/>
    <mergeCell ref="B9:I9"/>
    <mergeCell ref="B10:I10"/>
    <mergeCell ref="B35:I35"/>
    <mergeCell ref="B36:I36"/>
    <mergeCell ref="C61:E61"/>
    <mergeCell ref="C62:E62"/>
    <mergeCell ref="C63:E63"/>
    <mergeCell ref="F6:G7"/>
    <mergeCell ref="C3:D4"/>
  </mergeCells>
  <phoneticPr fontId="13" type="noConversion"/>
  <conditionalFormatting sqref="E12:E33 F13:H14 E38:H59">
    <cfRule type="expression" dxfId="528" priority="52">
      <formula>ABS(E12)=MAX(ABS($E$12:$E$33),ABS($E$38:$E$59))</formula>
    </cfRule>
  </conditionalFormatting>
  <conditionalFormatting sqref="F12:F33 F38:F59 G12:H12">
    <cfRule type="expression" dxfId="527" priority="51">
      <formula>ABS(F12)=MAX(ABS($F$12:$F$33),ABS($F$38:$F$59))</formula>
    </cfRule>
  </conditionalFormatting>
  <conditionalFormatting sqref="G12:G33 G38:G59">
    <cfRule type="expression" dxfId="526" priority="50">
      <formula>ABS(G12)=MAX(ABS($G$12:$G$33),ABS($G$38:$G$59))</formula>
    </cfRule>
  </conditionalFormatting>
  <conditionalFormatting sqref="H12:H33 H38:H59">
    <cfRule type="expression" dxfId="525" priority="49">
      <formula>ABS(H12)=MAX(ABS($H$12:$H$33),ABS($H$38:$H$59))</formula>
    </cfRule>
  </conditionalFormatting>
  <conditionalFormatting sqref="I38:I59 I12:I35">
    <cfRule type="expression" dxfId="524" priority="48">
      <formula>ABS(I12)=MAX(ABS($I$12:$I$33),ABS($I$38:$I$59))</formula>
    </cfRule>
  </conditionalFormatting>
  <conditionalFormatting sqref="E12:I35 E38:I59">
    <cfRule type="expression" priority="47" stopIfTrue="1">
      <formula>E12=0</formula>
    </cfRule>
  </conditionalFormatting>
  <conditionalFormatting sqref="V4">
    <cfRule type="expression" dxfId="523" priority="41">
      <formula>$F$9="Zone 5"</formula>
    </cfRule>
    <cfRule type="expression" dxfId="522" priority="42">
      <formula>$F$9="Zone 4"</formula>
    </cfRule>
    <cfRule type="expression" dxfId="521" priority="43">
      <formula>$F$9="Zone 3"</formula>
    </cfRule>
    <cfRule type="expression" dxfId="520" priority="44">
      <formula>$F$9="Zone 2"</formula>
    </cfRule>
    <cfRule type="expression" dxfId="519" priority="45">
      <formula>$F$9="Zone 1"</formula>
    </cfRule>
    <cfRule type="expression" dxfId="518" priority="46">
      <formula>$F$9="Zone 1 - Drive"</formula>
    </cfRule>
  </conditionalFormatting>
  <conditionalFormatting sqref="Y41:Y150 AJ41:AJ150 AT41:AT150 BD41:BD150">
    <cfRule type="expression" dxfId="517" priority="40">
      <formula>Y41="Satisfactory"</formula>
    </cfRule>
  </conditionalFormatting>
  <conditionalFormatting sqref="AG4">
    <cfRule type="expression" dxfId="516" priority="32">
      <formula>$F$9="Zone 5"</formula>
    </cfRule>
    <cfRule type="expression" dxfId="515" priority="33">
      <formula>$F$9="Zone 4"</formula>
    </cfRule>
    <cfRule type="expression" dxfId="514" priority="34">
      <formula>$F$9="Zone 3"</formula>
    </cfRule>
    <cfRule type="expression" dxfId="513" priority="35">
      <formula>$F$9="Zone 2"</formula>
    </cfRule>
    <cfRule type="expression" dxfId="512" priority="36">
      <formula>$F$9="Zone 1"</formula>
    </cfRule>
    <cfRule type="expression" dxfId="511" priority="37">
      <formula>$F$9="Zone 1 - Drive"</formula>
    </cfRule>
  </conditionalFormatting>
  <conditionalFormatting sqref="AQ4">
    <cfRule type="expression" dxfId="510" priority="24">
      <formula>$F$9="Zone 5"</formula>
    </cfRule>
    <cfRule type="expression" dxfId="509" priority="25">
      <formula>$F$9="Zone 4"</formula>
    </cfRule>
    <cfRule type="expression" dxfId="508" priority="26">
      <formula>$F$9="Zone 3"</formula>
    </cfRule>
    <cfRule type="expression" dxfId="507" priority="27">
      <formula>$F$9="Zone 2"</formula>
    </cfRule>
    <cfRule type="expression" dxfId="506" priority="28">
      <formula>$F$9="Zone 1"</formula>
    </cfRule>
    <cfRule type="expression" dxfId="505" priority="29">
      <formula>$F$9="Zone 1 - Drive"</formula>
    </cfRule>
  </conditionalFormatting>
  <conditionalFormatting sqref="BA4">
    <cfRule type="expression" dxfId="504" priority="16">
      <formula>$F$9="Zone 5"</formula>
    </cfRule>
    <cfRule type="expression" dxfId="503" priority="17">
      <formula>$F$9="Zone 4"</formula>
    </cfRule>
    <cfRule type="expression" dxfId="502" priority="18">
      <formula>$F$9="Zone 3"</formula>
    </cfRule>
    <cfRule type="expression" dxfId="501" priority="19">
      <formula>$F$9="Zone 2"</formula>
    </cfRule>
    <cfRule type="expression" dxfId="500" priority="20">
      <formula>$F$9="Zone 1"</formula>
    </cfRule>
    <cfRule type="expression" dxfId="499" priority="21">
      <formula>$F$9="Zone 1 - Drive"</formula>
    </cfRule>
  </conditionalFormatting>
  <conditionalFormatting sqref="C132 C186 C235 C284">
    <cfRule type="cellIs" dxfId="498" priority="13" operator="greaterThan">
      <formula>1</formula>
    </cfRule>
  </conditionalFormatting>
  <conditionalFormatting sqref="Y31:Y40 AJ31:AJ40 AT31:AT40 BD31:BD40">
    <cfRule type="expression" dxfId="497" priority="9">
      <formula>Y31="Satisfactory"</formula>
    </cfRule>
  </conditionalFormatting>
  <conditionalFormatting sqref="Y158:Y179">
    <cfRule type="top10" dxfId="496" priority="8" rank="1"/>
  </conditionalFormatting>
  <conditionalFormatting sqref="Y184:Y205">
    <cfRule type="top10" dxfId="495" priority="7" rank="1"/>
  </conditionalFormatting>
  <conditionalFormatting sqref="AJ158:AJ179">
    <cfRule type="top10" dxfId="494" priority="6" rank="1"/>
  </conditionalFormatting>
  <conditionalFormatting sqref="AJ184:AJ205">
    <cfRule type="top10" dxfId="493" priority="5" rank="1"/>
  </conditionalFormatting>
  <conditionalFormatting sqref="AT158:AT179">
    <cfRule type="top10" dxfId="492" priority="4" rank="1"/>
  </conditionalFormatting>
  <conditionalFormatting sqref="AT184:AT205">
    <cfRule type="top10" dxfId="491" priority="3" rank="1"/>
  </conditionalFormatting>
  <conditionalFormatting sqref="BD158:BD179">
    <cfRule type="top10" dxfId="490" priority="2" rank="1"/>
  </conditionalFormatting>
  <conditionalFormatting sqref="BD184:BD205">
    <cfRule type="top10" dxfId="489" priority="1" rank="1"/>
  </conditionalFormatting>
  <dataValidations disablePrompts="1" count="1">
    <dataValidation type="list" allowBlank="1" showInputMessage="1" showErrorMessage="1" sqref="P17" xr:uid="{46519597-BB56-4C41-9716-6C0C1C3AB044}">
      <formula1>"No,Yes"</formula1>
    </dataValidation>
  </dataValidations>
  <pageMargins left="0.7" right="0.7" top="0.75" bottom="0.75" header="0.3" footer="0.3"/>
  <pageSetup scale="38" orientation="portrait" r:id="rId1"/>
  <colBreaks count="1" manualBreakCount="1"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FFE3980-FD48-43AB-B32D-313DF377B1EA}">
          <x14:formula1>
            <xm:f>'Load Combinations'!$A$1:$D$1</xm:f>
          </x14:formula1>
          <xm:sqref>C11</xm:sqref>
        </x14:dataValidation>
        <x14:dataValidation type="list" allowBlank="1" showInputMessage="1" showErrorMessage="1" xr:uid="{A1ACDDFB-E1E2-4424-A931-F0DB33A55017}">
          <x14:formula1>
            <xm:f>Shapes!$A$2:$A$17</xm:f>
          </x14:formula1>
          <xm:sqref>C97 C200 C151 C249</xm:sqref>
        </x14:dataValidation>
        <x14:dataValidation type="list" allowBlank="1" showInputMessage="1" showErrorMessage="1" xr:uid="{012836E1-2256-42F7-9B5F-CD9857C6DE13}">
          <x14:formula1>
            <xm:f>List!$D$2:$D$5</xm:f>
          </x14:formula1>
          <xm:sqref>P21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D76B-0D14-4BF2-8904-7F4EF5D4517C}">
  <sheetPr codeName="Sheet14">
    <pageSetUpPr fitToPage="1"/>
  </sheetPr>
  <dimension ref="B2:BF284"/>
  <sheetViews>
    <sheetView showGridLines="0" view="pageBreakPreview" topLeftCell="A3" zoomScale="70" zoomScaleNormal="100" zoomScaleSheetLayoutView="70" workbookViewId="0">
      <selection activeCell="AX150" sqref="AX150"/>
    </sheetView>
  </sheetViews>
  <sheetFormatPr defaultRowHeight="15" x14ac:dyDescent="0.25"/>
  <cols>
    <col min="2" max="2" width="37.28515625" bestFit="1" customWidth="1"/>
    <col min="3" max="3" width="45.5703125" bestFit="1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25"/>
      <c r="D2" s="325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5" t="s">
        <v>100</v>
      </c>
      <c r="D3" s="336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37"/>
      <c r="D4" s="338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W6X20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W6X25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100"/>
      <c r="D6" s="100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34"/>
      <c r="G7" s="334"/>
      <c r="N7" t="s">
        <v>370</v>
      </c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85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">
        <v>60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0" t="s">
        <v>171</v>
      </c>
      <c r="S11" s="340"/>
      <c r="T11" s="164">
        <f>2*(T15*T14)+((T12-(2*T14))*T13)</f>
        <v>5.3930289599999996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12.274338640417513</v>
      </c>
      <c r="Z11" s="166" t="s">
        <v>173</v>
      </c>
      <c r="AC11" s="341" t="s">
        <v>171</v>
      </c>
      <c r="AD11" s="340"/>
      <c r="AE11" s="164">
        <f>2*(AE15*AE14)+((AE12-(2*AE14))*AE13)</f>
        <v>5.3930289599999996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12.274338640417513</v>
      </c>
      <c r="AK11" s="166" t="s">
        <v>173</v>
      </c>
      <c r="AM11" s="341" t="s">
        <v>171</v>
      </c>
      <c r="AN11" s="340"/>
      <c r="AO11" s="164">
        <f>2*(AO15*AO14)+((AO12-(2*AO14))*AO13)</f>
        <v>6.8537649599999995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15.984407914553836</v>
      </c>
      <c r="AU11" s="166" t="s">
        <v>173</v>
      </c>
      <c r="AW11" s="341" t="s">
        <v>171</v>
      </c>
      <c r="AX11" s="340"/>
      <c r="AY11" s="164">
        <f>2*(AY15*AY14)+((AY12-(2*AY14))*AY13)</f>
        <v>6.8537649599999995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52">
        <v>1</v>
      </c>
      <c r="C12" s="28" t="str">
        <f>IF($C$11='Load Combinations'!$A$1,'Load Combinations'!A2,IF($C$11='Load Combinations'!$B$1,'Load Combinations'!B2,IF($C$11='Load Combinations'!$C$1,'Load Combinations'!C2,IF($C$11='Load Combinations'!$D$1,'Load Combinations'!D2," Error "))))</f>
        <v>DL</v>
      </c>
      <c r="D12" s="253" t="s">
        <v>16</v>
      </c>
      <c r="E12" s="21">
        <f>'0 Degree Loads'!E13</f>
        <v>0</v>
      </c>
      <c r="F12" s="21">
        <f>'0 Degree Loads'!F13</f>
        <v>0</v>
      </c>
      <c r="G12" s="21">
        <f>'0 Degree Loads'!G13</f>
        <v>0</v>
      </c>
      <c r="H12" s="21">
        <f>'0 Degree Loads'!H13</f>
        <v>0</v>
      </c>
      <c r="I12" s="22">
        <f>'0 Degree Loads'!I13</f>
        <v>0</v>
      </c>
      <c r="O12" s="202" t="str">
        <f>N7</f>
        <v xml:space="preserve">3' Adeer </v>
      </c>
      <c r="P12" s="162">
        <f>(P7*12)-C263</f>
        <v>-36</v>
      </c>
      <c r="Q12" s="163"/>
      <c r="R12" s="342" t="s">
        <v>174</v>
      </c>
      <c r="S12" s="342"/>
      <c r="T12" s="167">
        <f>INDEX(Shapes!$D$2:$D$17,MATCH(Profile_Zone_1_STD_D,Shapes!$A$2:$A$17,0))-T9</f>
        <v>6.1764000000000001</v>
      </c>
      <c r="U12" t="s">
        <v>170</v>
      </c>
      <c r="V12" s="168"/>
      <c r="W12" s="342" t="s">
        <v>405</v>
      </c>
      <c r="X12" s="342"/>
      <c r="Y12" s="8">
        <f>(2*Y11)/T15</f>
        <v>4.0939025550055081</v>
      </c>
      <c r="Z12" s="159" t="s">
        <v>175</v>
      </c>
      <c r="AC12" s="343" t="s">
        <v>174</v>
      </c>
      <c r="AD12" s="342"/>
      <c r="AE12" s="167">
        <f>INDEX(Shapes!$D$2:$D$17,MATCH(Profile_Zone_1_1_D,Shapes!$A$2:$A$17,0))-AE9</f>
        <v>6.1764000000000001</v>
      </c>
      <c r="AF12" t="s">
        <v>170</v>
      </c>
      <c r="AG12" s="168"/>
      <c r="AH12" s="342" t="s">
        <v>405</v>
      </c>
      <c r="AI12" s="342"/>
      <c r="AJ12" s="8">
        <f>(2*AJ11)/AE15</f>
        <v>4.0939025550055081</v>
      </c>
      <c r="AK12" s="159" t="s">
        <v>175</v>
      </c>
      <c r="AM12" s="343" t="s">
        <v>174</v>
      </c>
      <c r="AN12" s="342"/>
      <c r="AO12" s="167">
        <f>INDEX(Shapes!$D$2:$D$17,MATCH(Profile_Zone_1_2_D,Shapes!$A$2:$A$17,0))-AO9</f>
        <v>6.3563999999999998</v>
      </c>
      <c r="AP12" t="s">
        <v>170</v>
      </c>
      <c r="AQ12" s="168"/>
      <c r="AR12" s="342" t="s">
        <v>405</v>
      </c>
      <c r="AS12" s="342"/>
      <c r="AT12" s="8">
        <f>(2*AT11)/AO15</f>
        <v>5.2785179032276055</v>
      </c>
      <c r="AU12" s="159" t="s">
        <v>175</v>
      </c>
      <c r="AW12" s="343" t="s">
        <v>174</v>
      </c>
      <c r="AX12" s="342"/>
      <c r="AY12" s="167">
        <f>INDEX(Shapes!$D$2:$D$17,MATCH(Profile_Zone_1_3_D,Shapes!$A$2:$A$17,0))-AY9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240">
        <v>2</v>
      </c>
      <c r="C13" s="14" t="str">
        <f>IF($C$11='Load Combinations'!$A$1,'Load Combinations'!A3,IF($C$11='Load Combinations'!$B$1,'Load Combinations'!B3,IF($C$11='Load Combinations'!$C$1,'Load Combinations'!C3,IF($C$11='Load Combinations'!$D$1,'Load Combinations'!D3," Error "))))</f>
        <v>DL + SL</v>
      </c>
      <c r="D13" s="241" t="s">
        <v>16</v>
      </c>
      <c r="E13" s="23">
        <f>'0 Degree Loads'!E14</f>
        <v>0</v>
      </c>
      <c r="F13" s="23">
        <f>'0 Degree Loads'!F14</f>
        <v>0</v>
      </c>
      <c r="G13" s="23">
        <f>'0 Degree Loads'!G14</f>
        <v>0</v>
      </c>
      <c r="H13" s="23">
        <f>'0 Degree Loads'!H14</f>
        <v>0</v>
      </c>
      <c r="I13" s="24">
        <f>'0 Degree Loads'!I14</f>
        <v>0</v>
      </c>
      <c r="R13" s="343" t="s">
        <v>176</v>
      </c>
      <c r="S13" s="342"/>
      <c r="T13" s="167">
        <f>INDEX(Shapes!$H$2:$H$17,MATCH(Profile_Zone_1_STD_D,Shapes!$A$2:$A$17,0))-T9</f>
        <v>0.2364</v>
      </c>
      <c r="U13" t="s">
        <v>170</v>
      </c>
      <c r="V13" s="168"/>
      <c r="W13" s="342" t="s">
        <v>177</v>
      </c>
      <c r="X13" s="342"/>
      <c r="Y13" s="8">
        <f>INDEX(Shapes!$Y$2:$Y$17,MATCH(Profile_Zone_1_STD_D,Shapes!$A$2:$A$17,0))</f>
        <v>1.5</v>
      </c>
      <c r="Z13" s="159" t="s">
        <v>175</v>
      </c>
      <c r="AC13" s="343" t="s">
        <v>176</v>
      </c>
      <c r="AD13" s="342"/>
      <c r="AE13" s="167">
        <f>INDEX(Shapes!$H$2:$H$17,MATCH(Profile_Zone_1_1_D,Shapes!$A$2:$A$17,0))-AE9</f>
        <v>0.2364</v>
      </c>
      <c r="AF13" t="s">
        <v>170</v>
      </c>
      <c r="AG13" s="168"/>
      <c r="AH13" s="342" t="s">
        <v>177</v>
      </c>
      <c r="AI13" s="342"/>
      <c r="AJ13" s="8">
        <f>INDEX(Shapes!$Y$2:$Y$17,MATCH(Profile_Zone_1_1_D,Shapes!$A$2:$A$17,0))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INDEX(Shapes!$H$2:$H$17,MATCH(Profile_Zone_1_2_D,Shapes!$A$2:$A$17,0))-AO9</f>
        <v>0.2964</v>
      </c>
      <c r="AP13" t="s">
        <v>170</v>
      </c>
      <c r="AQ13" s="168"/>
      <c r="AR13" s="342" t="s">
        <v>177</v>
      </c>
      <c r="AS13" s="342"/>
      <c r="AT13" s="8">
        <f>INDEX(Shapes!$Y$2:$Y$17,MATCH(Profile_Zone_1_2_D,Shapes!$A$2:$A$17,0))</f>
        <v>1.52</v>
      </c>
      <c r="AU13" s="159" t="s">
        <v>175</v>
      </c>
      <c r="AW13" s="343" t="s">
        <v>176</v>
      </c>
      <c r="AX13" s="342"/>
      <c r="AY13" s="167">
        <f>INDEX(Shapes!$H$2:$H$17,MATCH(Profile_Zone_1_3_D,Shapes!$A$2:$A$17,0))-AY9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INDEX(Shapes!$Y$2:$Y$17,MATCH(Profile_Zone_1_3_D,Shapes!$A$2:$A$17,0))</f>
        <v>1.52</v>
      </c>
      <c r="BE13" s="159" t="s">
        <v>175</v>
      </c>
    </row>
    <row r="14" spans="2:58" x14ac:dyDescent="0.25">
      <c r="B14" s="240">
        <v>3</v>
      </c>
      <c r="C14" s="14" t="str">
        <f>IF($C$11='Load Combinations'!$A$1,'Load Combinations'!A4,IF($C$11='Load Combinations'!$B$1,'Load Combinations'!B4,IF($C$11='Load Combinations'!$C$1,'Load Combinations'!C4,IF($C$11='Load Combinations'!$D$1,'Load Combinations'!D4," Error "))))</f>
        <v>DL + 0.6 WL+X</v>
      </c>
      <c r="D14" s="241" t="s">
        <v>16</v>
      </c>
      <c r="E14" s="23">
        <f>'0 Degree Loads'!E15</f>
        <v>0</v>
      </c>
      <c r="F14" s="23">
        <f>'0 Degree Loads'!F15</f>
        <v>0</v>
      </c>
      <c r="G14" s="23">
        <f>'0 Degree Loads'!G15</f>
        <v>0</v>
      </c>
      <c r="H14" s="23">
        <f>'0 Degree Loads'!H15</f>
        <v>0</v>
      </c>
      <c r="I14" s="24">
        <f>'0 Degree Loads'!I15</f>
        <v>0</v>
      </c>
      <c r="R14" s="343" t="s">
        <v>178</v>
      </c>
      <c r="S14" s="342"/>
      <c r="T14" s="167">
        <f>INDEX(Shapes!$K$2:$K$17,MATCH(Profile_Zone_1_STD_D,Shapes!$A$2:$A$17,0))-T9</f>
        <v>0.34139999999999998</v>
      </c>
      <c r="U14" t="s">
        <v>170</v>
      </c>
      <c r="V14" s="168"/>
      <c r="W14" s="342" t="s">
        <v>406</v>
      </c>
      <c r="X14" s="342"/>
      <c r="Y14" s="8">
        <f>((T15^2*T14)/2)+((T13^2)*(T20))/4</f>
        <v>6.2145803763359986</v>
      </c>
      <c r="Z14" s="159" t="s">
        <v>175</v>
      </c>
      <c r="AC14" s="343" t="s">
        <v>178</v>
      </c>
      <c r="AD14" s="342"/>
      <c r="AE14" s="167">
        <f>INDEX(Shapes!$K$2:$K$17,MATCH(Profile_Zone_1_1_D,Shapes!$A$2:$A$17,0))-AE9</f>
        <v>0.34139999999999998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6.2145803763359986</v>
      </c>
      <c r="AK14" s="159" t="s">
        <v>175</v>
      </c>
      <c r="AM14" s="343" t="s">
        <v>178</v>
      </c>
      <c r="AN14" s="342"/>
      <c r="AO14" s="167">
        <f>INDEX(Shapes!$K$2:$K$17,MATCH(Profile_Zone_1_2_D,Shapes!$A$2:$A$17,0))-AO9</f>
        <v>0.43140000000000001</v>
      </c>
      <c r="AP14" t="s">
        <v>170</v>
      </c>
      <c r="AQ14" s="168"/>
      <c r="AR14" s="342" t="s">
        <v>406</v>
      </c>
      <c r="AS14" s="342"/>
      <c r="AT14" s="8">
        <f>((AO15^2*AO14)/2)+((AO13^2)*(AO20))/4</f>
        <v>8.0325291483360015</v>
      </c>
      <c r="AU14" s="159" t="s">
        <v>175</v>
      </c>
      <c r="AW14" s="343" t="s">
        <v>178</v>
      </c>
      <c r="AX14" s="342"/>
      <c r="AY14" s="167">
        <f>INDEX(Shapes!$K$2:$K$17,MATCH(Profile_Zone_1_3_D,Shapes!$A$2:$A$17,0))-AY9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240">
        <v>4</v>
      </c>
      <c r="C15" s="14" t="str">
        <f>IF($C$11='Load Combinations'!$A$1,'Load Combinations'!A5,IF($C$11='Load Combinations'!$B$1,'Load Combinations'!B5,IF($C$11='Load Combinations'!$C$1,'Load Combinations'!C5,IF($C$11='Load Combinations'!$D$1,'Load Combinations'!D5," Error "))))</f>
        <v>DL + 0.6 WL-X</v>
      </c>
      <c r="D15" s="241" t="s">
        <v>16</v>
      </c>
      <c r="E15" s="23">
        <f>'0 Degree Loads'!E16</f>
        <v>0</v>
      </c>
      <c r="F15" s="23">
        <f>'0 Degree Loads'!F16</f>
        <v>0</v>
      </c>
      <c r="G15" s="23">
        <f>'0 Degree Loads'!G16</f>
        <v>0</v>
      </c>
      <c r="H15" s="23">
        <f>'0 Degree Loads'!H16</f>
        <v>0</v>
      </c>
      <c r="I15" s="24">
        <f>'0 Degree Loads'!I16</f>
        <v>0</v>
      </c>
      <c r="R15" s="343" t="s">
        <v>179</v>
      </c>
      <c r="S15" s="342"/>
      <c r="T15" s="167">
        <f>INDEX(Shapes!$F$2:$F$17,MATCH(Profile_Zone_1_STD_D,Shapes!$A$2:$A$17,0))-T9</f>
        <v>5.9963999999999995</v>
      </c>
      <c r="U15" t="s">
        <v>170</v>
      </c>
      <c r="V15" s="168"/>
      <c r="W15" s="342" t="s">
        <v>180</v>
      </c>
      <c r="X15" s="342"/>
      <c r="Y15" s="167">
        <f>T12-(T14)</f>
        <v>5.835</v>
      </c>
      <c r="Z15" s="159"/>
      <c r="AC15" s="343" t="s">
        <v>179</v>
      </c>
      <c r="AD15" s="342"/>
      <c r="AE15" s="167">
        <f>INDEX(Shapes!$F$2:$F$17,MATCH(Profile_Zone_1_1_D,Shapes!$A$2:$A$17,0))-AE9</f>
        <v>5.9963999999999995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INDEX(Shapes!$F$2:$F$17,MATCH(Profile_Zone_1_2_D,Shapes!$A$2:$A$17,0))-AO9</f>
        <v>6.0564</v>
      </c>
      <c r="AP15" t="s">
        <v>170</v>
      </c>
      <c r="AQ15" s="168"/>
      <c r="AR15" s="342" t="s">
        <v>180</v>
      </c>
      <c r="AS15" s="342"/>
      <c r="AT15" s="167">
        <f>AO12-(AO14)</f>
        <v>5.9249999999999998</v>
      </c>
      <c r="AU15" s="159"/>
      <c r="AW15" s="343" t="s">
        <v>179</v>
      </c>
      <c r="AX15" s="342"/>
      <c r="AY15" s="167">
        <f>INDEX(Shapes!$F$2:$F$17,MATCH(Profile_Zone_1_3_D,Shapes!$A$2:$A$17,0))-AY9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240">
        <v>5</v>
      </c>
      <c r="C16" s="14" t="str">
        <f>IF($C$11='Load Combinations'!$A$1,'Load Combinations'!A6,IF($C$11='Load Combinations'!$B$1,'Load Combinations'!B6,IF($C$11='Load Combinations'!$C$1,'Load Combinations'!C6,IF($C$11='Load Combinations'!$D$1,'Load Combinations'!D6," Error "))))</f>
        <v>DL + 0.45 OL1 + 0.75 SL + 0.75 LL</v>
      </c>
      <c r="D16" s="241" t="s">
        <v>16</v>
      </c>
      <c r="E16" s="23">
        <f>'0 Degree Loads'!E17</f>
        <v>0</v>
      </c>
      <c r="F16" s="23">
        <f>'0 Degree Loads'!F17</f>
        <v>0</v>
      </c>
      <c r="G16" s="23">
        <f>'0 Degree Loads'!G17</f>
        <v>0</v>
      </c>
      <c r="H16" s="23">
        <f>'0 Degree Loads'!H17</f>
        <v>0</v>
      </c>
      <c r="I16" s="24">
        <f>'0 Degree Loads'!I17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38.156171840207598</v>
      </c>
      <c r="U16" t="s">
        <v>173</v>
      </c>
      <c r="V16" s="168"/>
      <c r="W16" s="342" t="s">
        <v>182</v>
      </c>
      <c r="X16" s="342"/>
      <c r="Y16" s="8">
        <f>SQRT((Y11*Y15)/(2*T17))</f>
        <v>1.7024516792693745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38.156171840207598</v>
      </c>
      <c r="AF16" t="s">
        <v>173</v>
      </c>
      <c r="AG16" s="168"/>
      <c r="AH16" s="342" t="s">
        <v>182</v>
      </c>
      <c r="AI16" s="342"/>
      <c r="AJ16" s="8">
        <f>SQRT((AJ11*AJ15)/(2*AE17))</f>
        <v>1.7024516792693745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50.036950881186783</v>
      </c>
      <c r="AP16" t="s">
        <v>173</v>
      </c>
      <c r="AQ16" s="168"/>
      <c r="AR16" s="342" t="s">
        <v>182</v>
      </c>
      <c r="AS16" s="342"/>
      <c r="AT16" s="8">
        <f>SQRT((AT11*AT15)/(2*AO17))</f>
        <v>1.7342937126157818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240">
        <v>6</v>
      </c>
      <c r="C17" s="14" t="str">
        <f>IF($C$11='Load Combinations'!$A$1,'Load Combinations'!A7,IF($C$11='Load Combinations'!$B$1,'Load Combinations'!B7,IF($C$11='Load Combinations'!$C$1,'Load Combinations'!C7,IF($C$11='Load Combinations'!$D$1,'Load Combinations'!D7," Error "))))</f>
        <v>DL + 0.45 OL2 + 0.75 SL + 0.75 LL</v>
      </c>
      <c r="D17" s="241" t="s">
        <v>16</v>
      </c>
      <c r="E17" s="23">
        <f>'0 Degree Loads'!E18</f>
        <v>0</v>
      </c>
      <c r="F17" s="23">
        <f>'0 Degree Loads'!F18</f>
        <v>0</v>
      </c>
      <c r="G17" s="23">
        <f>'0 Degree Loads'!G18</f>
        <v>0</v>
      </c>
      <c r="H17" s="23">
        <f>'0 Degree Loads'!H18</f>
        <v>0</v>
      </c>
      <c r="I17" s="24">
        <f>'0 Degree Loads'!I18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12.355473039378149</v>
      </c>
      <c r="U17" t="s">
        <v>175</v>
      </c>
      <c r="V17" s="168"/>
      <c r="W17" s="342" t="s">
        <v>184</v>
      </c>
      <c r="X17" s="342"/>
      <c r="Y17" s="8">
        <f>((2*T15*T14^3)+(Y15*T13^3))/3</f>
        <v>0.18476638096141437</v>
      </c>
      <c r="Z17" s="159" t="s">
        <v>173</v>
      </c>
      <c r="AC17" s="343" t="s">
        <v>183</v>
      </c>
      <c r="AD17" s="342"/>
      <c r="AE17" s="8">
        <f>(2*AE16)/((AE20+2*AE14))</f>
        <v>12.355473039378149</v>
      </c>
      <c r="AF17" t="s">
        <v>175</v>
      </c>
      <c r="AG17" s="168"/>
      <c r="AH17" s="342" t="s">
        <v>184</v>
      </c>
      <c r="AI17" s="342"/>
      <c r="AJ17" s="8">
        <f>((2*AE15*AE14^3)+(AJ15*AE13^3))/3</f>
        <v>0.18476638096141437</v>
      </c>
      <c r="AK17" s="159" t="s">
        <v>173</v>
      </c>
      <c r="AM17" s="343" t="s">
        <v>183</v>
      </c>
      <c r="AN17" s="342"/>
      <c r="AO17" s="8">
        <f>(2*AO16)/((AO20+2*AO14))</f>
        <v>15.743801800134285</v>
      </c>
      <c r="AP17" t="s">
        <v>175</v>
      </c>
      <c r="AQ17" s="168"/>
      <c r="AR17" s="342" t="s">
        <v>184</v>
      </c>
      <c r="AS17" s="342"/>
      <c r="AT17" s="8">
        <f>((2*AO15*AO14^3)+(AT15*AO13^3))/3</f>
        <v>0.37559144660941451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240">
        <v>7</v>
      </c>
      <c r="C18" s="14" t="str">
        <f>IF($C$11='Load Combinations'!$A$1,'Load Combinations'!A8,IF($C$11='Load Combinations'!$B$1,'Load Combinations'!B8,IF($C$11='Load Combinations'!$C$1,'Load Combinations'!C8,IF($C$11='Load Combinations'!$D$1,'Load Combinations'!D8," Error "))))</f>
        <v>DL + 0.45 WL+X + 0.25 SL + 0.75 LL</v>
      </c>
      <c r="D18" s="241" t="s">
        <v>16</v>
      </c>
      <c r="E18" s="23">
        <f>'0 Degree Loads'!E19</f>
        <v>0</v>
      </c>
      <c r="F18" s="23">
        <f>'0 Degree Loads'!F19</f>
        <v>0</v>
      </c>
      <c r="G18" s="23">
        <f>'0 Degree Loads'!G19</f>
        <v>0</v>
      </c>
      <c r="H18" s="23">
        <f>'0 Degree Loads'!H19</f>
        <v>0</v>
      </c>
      <c r="I18" s="24">
        <f>'0 Degree Loads'!I19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2.6599043628066652</v>
      </c>
      <c r="U18" t="s">
        <v>170</v>
      </c>
      <c r="V18" s="168"/>
      <c r="W18" s="342" t="s">
        <v>186</v>
      </c>
      <c r="X18" s="342"/>
      <c r="Y18" s="8">
        <f>T20/T13</f>
        <v>23.238578680203045</v>
      </c>
      <c r="Z18" s="159"/>
      <c r="AC18" s="343" t="s">
        <v>185</v>
      </c>
      <c r="AD18" s="342"/>
      <c r="AE18" s="8">
        <f>(AE16/AE11)^0.5</f>
        <v>2.6599043628066652</v>
      </c>
      <c r="AF18" t="s">
        <v>170</v>
      </c>
      <c r="AG18" s="168"/>
      <c r="AH18" s="342" t="s">
        <v>186</v>
      </c>
      <c r="AI18" s="342"/>
      <c r="AJ18" s="8">
        <f>AE20/AE13</f>
        <v>23.238578680203045</v>
      </c>
      <c r="AK18" s="159"/>
      <c r="AM18" s="343" t="s">
        <v>185</v>
      </c>
      <c r="AN18" s="342"/>
      <c r="AO18" s="8">
        <f>(AO16/AO11)^0.5</f>
        <v>2.701971819038651</v>
      </c>
      <c r="AP18" t="s">
        <v>170</v>
      </c>
      <c r="AQ18" s="168"/>
      <c r="AR18" s="342" t="s">
        <v>186</v>
      </c>
      <c r="AS18" s="342"/>
      <c r="AT18" s="8">
        <f>AO20/AO13</f>
        <v>18.534412955465587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240">
        <v>8</v>
      </c>
      <c r="C19" s="14" t="str">
        <f>IF($C$11='Load Combinations'!$A$1,'Load Combinations'!A9,IF($C$11='Load Combinations'!$B$1,'Load Combinations'!B9,IF($C$11='Load Combinations'!$C$1,'Load Combinations'!C9,IF($C$11='Load Combinations'!$D$1,'Load Combinations'!D9," Error "))))</f>
        <v>DL + 0.45 WL-X + 0.25 SL + 0.75 LL</v>
      </c>
      <c r="D19" s="241" t="s">
        <v>16</v>
      </c>
      <c r="E19" s="23">
        <f>'0 Degree Loads'!E20</f>
        <v>0</v>
      </c>
      <c r="F19" s="23">
        <f>'0 Degree Loads'!F20</f>
        <v>0</v>
      </c>
      <c r="G19" s="23">
        <f>'0 Degree Loads'!G20</f>
        <v>0</v>
      </c>
      <c r="H19" s="23">
        <f>'0 Degree Loads'!H20</f>
        <v>0</v>
      </c>
      <c r="I19" s="24">
        <f>'0 Degree Loads'!I20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13.728859332336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13.728859332336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17.716742333136001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240">
        <v>9</v>
      </c>
      <c r="C20" s="14" t="str">
        <f>IF($C$11='Load Combinations'!$A$1,'Load Combinations'!A10,IF($C$11='Load Combinations'!$B$1,'Load Combinations'!B10,IF($C$11='Load Combinations'!$C$1,'Load Combinations'!C10,IF($C$11='Load Combinations'!$D$1,'Load Combinations'!D10," Error "))))</f>
        <v>0.6 DL + 0.6 WL+X</v>
      </c>
      <c r="D20" s="241" t="s">
        <v>16</v>
      </c>
      <c r="E20" s="23">
        <f>'0 Degree Loads'!E21</f>
        <v>0</v>
      </c>
      <c r="F20" s="23">
        <f>'0 Degree Loads'!F21</f>
        <v>0</v>
      </c>
      <c r="G20" s="23">
        <f>'0 Degree Loads'!G21</f>
        <v>0</v>
      </c>
      <c r="H20" s="23">
        <f>'0 Degree Loads'!H21</f>
        <v>0</v>
      </c>
      <c r="I20" s="24">
        <f>'0 Degree Loads'!I21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240">
        <v>10</v>
      </c>
      <c r="C21" s="14" t="str">
        <f>IF($C$11='Load Combinations'!$A$1,'Load Combinations'!A11,IF($C$11='Load Combinations'!$B$1,'Load Combinations'!B11,IF($C$11='Load Combinations'!$C$1,'Load Combinations'!C11,IF($C$11='Load Combinations'!$D$1,'Load Combinations'!D11," Error "))))</f>
        <v>0.6 DL + 0.6 WL-X</v>
      </c>
      <c r="D21" s="241" t="s">
        <v>16</v>
      </c>
      <c r="E21" s="23">
        <f>'0 Degree Loads'!E22</f>
        <v>0</v>
      </c>
      <c r="F21" s="23">
        <f>'0 Degree Loads'!F22</f>
        <v>0</v>
      </c>
      <c r="G21" s="23">
        <f>'0 Degree Loads'!G22</f>
        <v>0</v>
      </c>
      <c r="H21" s="23">
        <f>'0 Degree Loads'!H22</f>
        <v>0</v>
      </c>
      <c r="I21" s="24">
        <f>'0 Degree Loads'!I22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240">
        <v>11</v>
      </c>
      <c r="C22" s="14" t="str">
        <f>IF($C$11='Load Combinations'!$A$1,'Load Combinations'!A12,IF($C$11='Load Combinations'!$B$1,'Load Combinations'!B12,IF($C$11='Load Combinations'!$C$1,'Load Combinations'!C12,IF($C$11='Load Combinations'!$D$1,'Load Combinations'!D12," Error "))))</f>
        <v>DL + 0.7 ELX</v>
      </c>
      <c r="D22" s="241" t="s">
        <v>16</v>
      </c>
      <c r="E22" s="23">
        <f>'0 Degree Loads'!E23</f>
        <v>0</v>
      </c>
      <c r="F22" s="23">
        <f>'0 Degree Loads'!F23</f>
        <v>0</v>
      </c>
      <c r="G22" s="23">
        <f>'0 Degree Loads'!G23</f>
        <v>0</v>
      </c>
      <c r="H22" s="23">
        <f>'0 Degree Loads'!H23</f>
        <v>0</v>
      </c>
      <c r="I22" s="24">
        <f>'0 Degree Loads'!I23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240">
        <v>12</v>
      </c>
      <c r="C23" s="14" t="str">
        <f>IF($C$11='Load Combinations'!$A$1,'Load Combinations'!A13,IF($C$11='Load Combinations'!$B$1,'Load Combinations'!B13,IF($C$11='Load Combinations'!$C$1,'Load Combinations'!C13,IF($C$11='Load Combinations'!$D$1,'Load Combinations'!D13," Error "))))</f>
        <v>DL - 0.7 ELX</v>
      </c>
      <c r="D23" s="241" t="s">
        <v>16</v>
      </c>
      <c r="E23" s="23">
        <f>'0 Degree Loads'!E24</f>
        <v>0</v>
      </c>
      <c r="F23" s="23">
        <f>'0 Degree Loads'!F24</f>
        <v>0</v>
      </c>
      <c r="G23" s="23">
        <f>'0 Degree Loads'!G24</f>
        <v>0</v>
      </c>
      <c r="H23" s="23">
        <f>'0 Degree Loads'!H24</f>
        <v>0</v>
      </c>
      <c r="I23" s="24">
        <f>'0 Degree Loads'!I24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240">
        <v>13</v>
      </c>
      <c r="C24" s="14" t="str">
        <f>IF($C$11='Load Combinations'!$A$1,'Load Combinations'!A14,IF($C$11='Load Combinations'!$B$1,'Load Combinations'!B14,IF($C$11='Load Combinations'!$C$1,'Load Combinations'!C14,IF($C$11='Load Combinations'!$D$1,'Load Combinations'!D14," Error "))))</f>
        <v>DL + 0.7 ELZ</v>
      </c>
      <c r="D24" s="241" t="s">
        <v>16</v>
      </c>
      <c r="E24" s="23">
        <f>'0 Degree Loads'!E25</f>
        <v>0</v>
      </c>
      <c r="F24" s="23">
        <f>'0 Degree Loads'!F25</f>
        <v>0</v>
      </c>
      <c r="G24" s="23">
        <f>'0 Degree Loads'!G25</f>
        <v>0</v>
      </c>
      <c r="H24" s="23">
        <f>'0 Degree Loads'!H25</f>
        <v>0</v>
      </c>
      <c r="I24" s="24">
        <f>'0 Degree Loads'!I25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240">
        <v>14</v>
      </c>
      <c r="C25" s="14" t="str">
        <f>IF($C$11='Load Combinations'!$A$1,'Load Combinations'!A15,IF($C$11='Load Combinations'!$B$1,'Load Combinations'!B15,IF($C$11='Load Combinations'!$C$1,'Load Combinations'!C15,IF($C$11='Load Combinations'!$D$1,'Load Combinations'!D15," Error "))))</f>
        <v>DL - 0.7 ELZ</v>
      </c>
      <c r="D25" s="241" t="s">
        <v>16</v>
      </c>
      <c r="E25" s="23">
        <f>'0 Degree Loads'!E26</f>
        <v>0</v>
      </c>
      <c r="F25" s="23">
        <f>'0 Degree Loads'!F26</f>
        <v>0</v>
      </c>
      <c r="G25" s="23">
        <f>'0 Degree Loads'!G26</f>
        <v>0</v>
      </c>
      <c r="H25" s="23">
        <f>'0 Degree Loads'!H26</f>
        <v>0</v>
      </c>
      <c r="I25" s="24">
        <f>'0 Degree Loads'!I26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240">
        <v>15</v>
      </c>
      <c r="C26" s="14" t="str">
        <f>IF($C$11='Load Combinations'!$A$1,'Load Combinations'!A16,IF($C$11='Load Combinations'!$B$1,'Load Combinations'!B16,IF($C$11='Load Combinations'!$C$1,'Load Combinations'!C16,IF($C$11='Load Combinations'!$D$1,'Load Combinations'!D16," Error "))))</f>
        <v>DL + 0.525 ELX + 0.75 SL + 0.75 LL</v>
      </c>
      <c r="D26" s="241" t="s">
        <v>16</v>
      </c>
      <c r="E26" s="23">
        <f>'0 Degree Loads'!E27</f>
        <v>0</v>
      </c>
      <c r="F26" s="23">
        <f>'0 Degree Loads'!F27</f>
        <v>0</v>
      </c>
      <c r="G26" s="23">
        <f>'0 Degree Loads'!G27</f>
        <v>0</v>
      </c>
      <c r="H26" s="23">
        <f>'0 Degree Loads'!H27</f>
        <v>0</v>
      </c>
      <c r="I26" s="24">
        <f>'0 Degree Loads'!I27</f>
        <v>0</v>
      </c>
    </row>
    <row r="27" spans="2:57" x14ac:dyDescent="0.25">
      <c r="B27" s="240">
        <v>16</v>
      </c>
      <c r="C27" s="14" t="str">
        <f>IF($C$11='Load Combinations'!$A$1,'Load Combinations'!A17,IF($C$11='Load Combinations'!$B$1,'Load Combinations'!B17,IF($C$11='Load Combinations'!$C$1,'Load Combinations'!C17,IF($C$11='Load Combinations'!$D$1,'Load Combinations'!D17," Error "))))</f>
        <v>DL - 0.525 ELX + 0.75 SL + 0.75 LL</v>
      </c>
      <c r="D27" s="241" t="s">
        <v>16</v>
      </c>
      <c r="E27" s="23">
        <f>'0 Degree Loads'!E28</f>
        <v>0</v>
      </c>
      <c r="F27" s="23">
        <f>'0 Degree Loads'!F28</f>
        <v>0</v>
      </c>
      <c r="G27" s="23">
        <f>'0 Degree Loads'!G28</f>
        <v>0</v>
      </c>
      <c r="H27" s="23">
        <f>'0 Degree Loads'!H28</f>
        <v>0</v>
      </c>
      <c r="I27" s="24">
        <f>'0 Degree Loads'!I28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240">
        <v>17</v>
      </c>
      <c r="C28" s="14" t="str">
        <f>IF($C$11='Load Combinations'!$A$1,'Load Combinations'!A18,IF($C$11='Load Combinations'!$B$1,'Load Combinations'!B18,IF($C$11='Load Combinations'!$C$1,'Load Combinations'!C18,IF($C$11='Load Combinations'!$D$1,'Load Combinations'!D18," Error "))))</f>
        <v>DL + 0.525 ELZ + 0.75 SL + 0.75 LL</v>
      </c>
      <c r="D28" s="241" t="s">
        <v>16</v>
      </c>
      <c r="E28" s="23">
        <f>'0 Degree Loads'!E29</f>
        <v>0</v>
      </c>
      <c r="F28" s="23">
        <f>'0 Degree Loads'!F29</f>
        <v>0</v>
      </c>
      <c r="G28" s="23">
        <f>'0 Degree Loads'!G29</f>
        <v>0</v>
      </c>
      <c r="H28" s="23">
        <f>'0 Degree Loads'!H29</f>
        <v>0</v>
      </c>
      <c r="I28" s="24">
        <f>'0 Degree Loads'!I29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240">
        <v>18</v>
      </c>
      <c r="C29" s="14" t="str">
        <f>IF($C$11='Load Combinations'!$A$1,'Load Combinations'!A19,IF($C$11='Load Combinations'!$B$1,'Load Combinations'!B19,IF($C$11='Load Combinations'!$C$1,'Load Combinations'!C19,IF($C$11='Load Combinations'!$D$1,'Load Combinations'!D19," Error "))))</f>
        <v>DL - 0.525 ELZ + 0.75 SL + 0.75 LL</v>
      </c>
      <c r="D29" s="241" t="s">
        <v>16</v>
      </c>
      <c r="E29" s="23">
        <f>'0 Degree Loads'!E30</f>
        <v>0</v>
      </c>
      <c r="F29" s="23">
        <f>'0 Degree Loads'!F30</f>
        <v>0</v>
      </c>
      <c r="G29" s="23">
        <f>'0 Degree Loads'!G30</f>
        <v>0</v>
      </c>
      <c r="H29" s="23">
        <f>'0 Degree Loads'!H30</f>
        <v>0</v>
      </c>
      <c r="I29" s="24">
        <f>'0 Degree Loads'!I30</f>
        <v>0</v>
      </c>
      <c r="R29" t="s">
        <v>195</v>
      </c>
      <c r="S29">
        <f>(T15/2)/T14</f>
        <v>8.7820738137082603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8.7820738137082603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7.0194714881780254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240">
        <v>19</v>
      </c>
      <c r="C30" s="14" t="str">
        <f>IF($C$11='Load Combinations'!$A$1,'Load Combinations'!A20,IF($C$11='Load Combinations'!$B$1,'Load Combinations'!B20,IF($C$11='Load Combinations'!$C$1,'Load Combinations'!C20,IF($C$11='Load Combinations'!$D$1,'Load Combinations'!D20," Error "))))</f>
        <v>0.6 DL + 0.7 ELX</v>
      </c>
      <c r="D30" s="241" t="s">
        <v>16</v>
      </c>
      <c r="E30" s="23">
        <f>'0 Degree Loads'!E31</f>
        <v>0</v>
      </c>
      <c r="F30" s="23">
        <f>'0 Degree Loads'!F31</f>
        <v>0</v>
      </c>
      <c r="G30" s="23">
        <f>'0 Degree Loads'!G31</f>
        <v>0</v>
      </c>
      <c r="H30" s="23">
        <f>'0 Degree Loads'!H31</f>
        <v>0</v>
      </c>
      <c r="I30" s="24">
        <f>'0 Degree Loads'!I31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240">
        <v>20</v>
      </c>
      <c r="C31" s="14" t="str">
        <f>IF($C$11='Load Combinations'!$A$1,'Load Combinations'!A21,IF($C$11='Load Combinations'!$B$1,'Load Combinations'!B21,IF($C$11='Load Combinations'!$C$1,'Load Combinations'!C21,IF($C$11='Load Combinations'!$D$1,'Load Combinations'!D21," Error "))))</f>
        <v>0.6 DL - 0.7 ELX</v>
      </c>
      <c r="D31" s="241" t="s">
        <v>16</v>
      </c>
      <c r="E31" s="23">
        <f>'0 Degree Loads'!E32</f>
        <v>0</v>
      </c>
      <c r="F31" s="23">
        <f>'0 Degree Loads'!F32</f>
        <v>0</v>
      </c>
      <c r="G31" s="23">
        <f>'0 Degree Loads'!G32</f>
        <v>0</v>
      </c>
      <c r="H31" s="23">
        <f>'0 Degree Loads'!H32</f>
        <v>0</v>
      </c>
      <c r="I31" s="24">
        <f>'0 Degree Loads'!I32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240">
        <v>21</v>
      </c>
      <c r="C32" s="14" t="str">
        <f>IF($C$11='Load Combinations'!$A$1,'Load Combinations'!A22,IF($C$11='Load Combinations'!$B$1,'Load Combinations'!B22,IF($C$11='Load Combinations'!$C$1,'Load Combinations'!C22,IF($C$11='Load Combinations'!$D$1,'Load Combinations'!D22," Error "))))</f>
        <v>0.6 DL + 0.7 ELZ</v>
      </c>
      <c r="D32" s="241" t="s">
        <v>16</v>
      </c>
      <c r="E32" s="23">
        <f>'0 Degree Loads'!E33</f>
        <v>0</v>
      </c>
      <c r="F32" s="23">
        <f>'0 Degree Loads'!F33</f>
        <v>0</v>
      </c>
      <c r="G32" s="23">
        <f>'0 Degree Loads'!G33</f>
        <v>0</v>
      </c>
      <c r="H32" s="23">
        <f>'0 Degree Loads'!H33</f>
        <v>0</v>
      </c>
      <c r="I32" s="24">
        <f>'0 Degree Loads'!I33</f>
        <v>0</v>
      </c>
      <c r="R32" t="s">
        <v>186</v>
      </c>
      <c r="S32">
        <f>Y18</f>
        <v>23.238578680203045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23.238578680203045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18.534412955465587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242">
        <v>22</v>
      </c>
      <c r="C33" s="15" t="str">
        <f>IF($C$11='Load Combinations'!$A$1,'Load Combinations'!A23,IF($C$11='Load Combinations'!$B$1,'Load Combinations'!B23,IF($C$11='Load Combinations'!$C$1,'Load Combinations'!C23,IF($C$11='Load Combinations'!$D$1,'Load Combinations'!D23," Error "))))</f>
        <v>0.6 DL - 0.7 ELZ</v>
      </c>
      <c r="D33" s="243" t="s">
        <v>16</v>
      </c>
      <c r="E33" s="31">
        <f>'0 Degree Loads'!E34</f>
        <v>0</v>
      </c>
      <c r="F33" s="31">
        <f>'0 Degree Loads'!F34</f>
        <v>0</v>
      </c>
      <c r="G33" s="31">
        <f>'0 Degree Loads'!G34</f>
        <v>0</v>
      </c>
      <c r="H33" s="31">
        <f>'0 Degree Loads'!H34</f>
        <v>0</v>
      </c>
      <c r="I33" s="32">
        <f>'0 Degree Loads'!I34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26" t="s">
        <v>86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29"/>
      <c r="C36" s="330"/>
      <c r="D36" s="330"/>
      <c r="E36" s="330"/>
      <c r="F36" s="330"/>
      <c r="G36" s="330"/>
      <c r="H36" s="330"/>
      <c r="I36" s="331"/>
      <c r="R36" t="s">
        <v>195</v>
      </c>
      <c r="S36">
        <f>S29</f>
        <v>8.7820738137082603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8.7820738137082603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7.0194714881780254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 t="shared" ref="C38:C59" si="0">C12</f>
        <v>DL</v>
      </c>
      <c r="D38" s="35" t="s">
        <v>16</v>
      </c>
      <c r="E38" s="21">
        <f>'55 Degree Loads'!E13</f>
        <v>0</v>
      </c>
      <c r="F38" s="21">
        <f>'55 Degree Loads'!F13</f>
        <v>0</v>
      </c>
      <c r="G38" s="21">
        <f>'55 Degree Loads'!G13</f>
        <v>0</v>
      </c>
      <c r="H38" s="21">
        <f>'55 Degree Loads'!H13</f>
        <v>0</v>
      </c>
      <c r="I38" s="22">
        <f>'55 Degree Loads'!I13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 t="shared" si="0"/>
        <v>DL + SL</v>
      </c>
      <c r="D39" s="34" t="s">
        <v>16</v>
      </c>
      <c r="E39" s="23">
        <f>'55 Degree Loads'!E14</f>
        <v>0</v>
      </c>
      <c r="F39" s="23">
        <f>'55 Degree Loads'!F14</f>
        <v>0</v>
      </c>
      <c r="G39" s="23">
        <f>'55 Degree Loads'!G14</f>
        <v>0</v>
      </c>
      <c r="H39" s="23">
        <f>'55 Degree Loads'!H14</f>
        <v>0</v>
      </c>
      <c r="I39" s="24">
        <f>'55 Degree Loads'!I14</f>
        <v>0</v>
      </c>
      <c r="R39" t="s">
        <v>186</v>
      </c>
      <c r="S39">
        <f>S32</f>
        <v>23.238578680203045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23.238578680203045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18.534412955465587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 t="shared" si="0"/>
        <v>DL + 0.6 WL+X</v>
      </c>
      <c r="D40" s="34" t="s">
        <v>16</v>
      </c>
      <c r="E40" s="23">
        <f>'55 Degree Loads'!E15</f>
        <v>0</v>
      </c>
      <c r="F40" s="23">
        <f>'55 Degree Loads'!F15</f>
        <v>0</v>
      </c>
      <c r="G40" s="23">
        <f>'55 Degree Loads'!G15</f>
        <v>0</v>
      </c>
      <c r="H40" s="23">
        <f>'55 Degree Loads'!H15</f>
        <v>0</v>
      </c>
      <c r="I40" s="24">
        <f>'55 Degree Loads'!I15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 t="shared" si="0"/>
        <v>DL + 0.6 WL-X</v>
      </c>
      <c r="D41" s="34" t="s">
        <v>16</v>
      </c>
      <c r="E41" s="23">
        <f>'55 Degree Loads'!E16</f>
        <v>0</v>
      </c>
      <c r="F41" s="23">
        <f>'55 Degree Loads'!F16</f>
        <v>0</v>
      </c>
      <c r="G41" s="23">
        <f>'55 Degree Loads'!G16</f>
        <v>0</v>
      </c>
      <c r="H41" s="23">
        <f>'55 Degree Loads'!H16</f>
        <v>0</v>
      </c>
      <c r="I41" s="24">
        <f>'55 Degree Loads'!I16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 t="shared" si="0"/>
        <v>DL + 0.45 OL1 + 0.75 SL + 0.75 LL</v>
      </c>
      <c r="D42" s="34" t="s">
        <v>16</v>
      </c>
      <c r="E42" s="23">
        <f>'55 Degree Loads'!E17</f>
        <v>0</v>
      </c>
      <c r="F42" s="23">
        <f>'55 Degree Loads'!F17</f>
        <v>0</v>
      </c>
      <c r="G42" s="23">
        <f>'55 Degree Loads'!G17</f>
        <v>0</v>
      </c>
      <c r="H42" s="23">
        <f>'55 Degree Loads'!H17</f>
        <v>0</v>
      </c>
      <c r="I42" s="24">
        <f>'55 Degree Loads'!I17</f>
        <v>0</v>
      </c>
    </row>
    <row r="43" spans="2:58" x14ac:dyDescent="0.25">
      <c r="B43" s="10">
        <v>6</v>
      </c>
      <c r="C43" s="14" t="str">
        <f t="shared" si="0"/>
        <v>DL + 0.45 OL2 + 0.75 SL + 0.75 LL</v>
      </c>
      <c r="D43" s="34" t="s">
        <v>16</v>
      </c>
      <c r="E43" s="23">
        <f>'55 Degree Loads'!E18</f>
        <v>0</v>
      </c>
      <c r="F43" s="23">
        <f>'55 Degree Loads'!F18</f>
        <v>0</v>
      </c>
      <c r="G43" s="23">
        <f>'55 Degree Loads'!G18</f>
        <v>0</v>
      </c>
      <c r="H43" s="23">
        <f>'55 Degree Loads'!H18</f>
        <v>0</v>
      </c>
      <c r="I43" s="24">
        <f>'55 Degree Loads'!I18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 t="shared" si="0"/>
        <v>DL + 0.45 WL+X + 0.25 SL + 0.75 LL</v>
      </c>
      <c r="D44" s="34" t="s">
        <v>16</v>
      </c>
      <c r="E44" s="23">
        <f>'55 Degree Loads'!E19</f>
        <v>0</v>
      </c>
      <c r="F44" s="23">
        <f>'55 Degree Loads'!F19</f>
        <v>0</v>
      </c>
      <c r="G44" s="23">
        <f>'55 Degree Loads'!G19</f>
        <v>0</v>
      </c>
      <c r="H44" s="23">
        <f>'55 Degree Loads'!H19</f>
        <v>0</v>
      </c>
      <c r="I44" s="24">
        <f>'55 Degree Loads'!I19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 t="shared" si="0"/>
        <v>DL + 0.45 WL-X + 0.25 SL + 0.75 LL</v>
      </c>
      <c r="D45" s="34" t="s">
        <v>16</v>
      </c>
      <c r="E45" s="23">
        <f>'55 Degree Loads'!E20</f>
        <v>0</v>
      </c>
      <c r="F45" s="23">
        <f>'55 Degree Loads'!F20</f>
        <v>0</v>
      </c>
      <c r="G45" s="23">
        <f>'55 Degree Loads'!G20</f>
        <v>0</v>
      </c>
      <c r="H45" s="23">
        <f>'55 Degree Loads'!H20</f>
        <v>0</v>
      </c>
      <c r="I45" s="24">
        <f>'55 Degree Loads'!I20</f>
        <v>0</v>
      </c>
    </row>
    <row r="46" spans="2:58" x14ac:dyDescent="0.25">
      <c r="B46" s="10">
        <v>9</v>
      </c>
      <c r="C46" s="14" t="str">
        <f t="shared" si="0"/>
        <v>0.6 DL + 0.6 WL+X</v>
      </c>
      <c r="D46" s="34" t="s">
        <v>16</v>
      </c>
      <c r="E46" s="23">
        <f>'55 Degree Loads'!E21</f>
        <v>0</v>
      </c>
      <c r="F46" s="23">
        <f>'55 Degree Loads'!F21</f>
        <v>0</v>
      </c>
      <c r="G46" s="23">
        <f>'55 Degree Loads'!G21</f>
        <v>0</v>
      </c>
      <c r="H46" s="23">
        <f>'55 Degree Loads'!H21</f>
        <v>0</v>
      </c>
      <c r="I46" s="24">
        <f>'55 Degree Loads'!I21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9.4740248380244729</v>
      </c>
      <c r="AM46" t="s">
        <v>209</v>
      </c>
      <c r="AN46" s="173">
        <f>(AN44*AP25)/AO18</f>
        <v>18.65304428598078</v>
      </c>
      <c r="AW46" t="s">
        <v>209</v>
      </c>
      <c r="AX46" s="173">
        <f>(AX44*AZ25)/AY18</f>
        <v>27.979566428971172</v>
      </c>
    </row>
    <row r="47" spans="2:58" x14ac:dyDescent="0.25">
      <c r="B47" s="10">
        <v>10</v>
      </c>
      <c r="C47" s="14" t="str">
        <f t="shared" si="0"/>
        <v>0.6 DL + 0.6 WL-X</v>
      </c>
      <c r="D47" s="34" t="s">
        <v>16</v>
      </c>
      <c r="E47" s="23">
        <f>'55 Degree Loads'!E22</f>
        <v>0</v>
      </c>
      <c r="F47" s="23">
        <f>'55 Degree Loads'!F22</f>
        <v>0</v>
      </c>
      <c r="G47" s="23">
        <f>'55 Degree Loads'!G22</f>
        <v>0</v>
      </c>
      <c r="H47" s="23">
        <f>'55 Degree Loads'!H22</f>
        <v>0</v>
      </c>
      <c r="I47" s="24">
        <f>'55 Degree Loads'!I22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 t="shared" si="0"/>
        <v>DL + 0.7 ELX</v>
      </c>
      <c r="D48" s="34" t="s">
        <v>16</v>
      </c>
      <c r="E48" s="23">
        <f>'55 Degree Loads'!E23</f>
        <v>0</v>
      </c>
      <c r="F48" s="23">
        <f>'55 Degree Loads'!F23</f>
        <v>0</v>
      </c>
      <c r="G48" s="23">
        <f>'55 Degree Loads'!G23</f>
        <v>0</v>
      </c>
      <c r="H48" s="23">
        <f>'55 Degree Loads'!H23</f>
        <v>0</v>
      </c>
      <c r="I48" s="24">
        <f>'55 Degree Loads'!I23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33.15789473684211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 t="shared" si="0"/>
        <v>DL - 0.7 ELX</v>
      </c>
      <c r="D49" s="34" t="s">
        <v>16</v>
      </c>
      <c r="E49" s="23">
        <f>'55 Degree Loads'!E24</f>
        <v>0</v>
      </c>
      <c r="F49" s="23">
        <f>'55 Degree Loads'!F24</f>
        <v>0</v>
      </c>
      <c r="G49" s="23">
        <f>'55 Degree Loads'!G24</f>
        <v>0</v>
      </c>
      <c r="H49" s="23">
        <f>'55 Degree Loads'!H24</f>
        <v>0</v>
      </c>
      <c r="I49" s="24">
        <f>'55 Degree Loads'!I24</f>
        <v>0</v>
      </c>
    </row>
    <row r="50" spans="2:51" x14ac:dyDescent="0.25">
      <c r="B50" s="10">
        <v>13</v>
      </c>
      <c r="C50" s="14" t="str">
        <f t="shared" si="0"/>
        <v>DL + 0.7 ELZ</v>
      </c>
      <c r="D50" s="34" t="s">
        <v>16</v>
      </c>
      <c r="E50" s="23">
        <f>'55 Degree Loads'!E25</f>
        <v>0</v>
      </c>
      <c r="F50" s="23">
        <f>'55 Degree Loads'!F25</f>
        <v>0</v>
      </c>
      <c r="G50" s="23">
        <f>'55 Degree Loads'!G25</f>
        <v>0</v>
      </c>
      <c r="H50" s="23">
        <f>'55 Degree Loads'!H25</f>
        <v>0</v>
      </c>
      <c r="I50" s="24">
        <f>'55 Degree Loads'!I25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33.15789473684211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 t="shared" si="0"/>
        <v>DL - 0.7 ELZ</v>
      </c>
      <c r="D51" s="34" t="s">
        <v>16</v>
      </c>
      <c r="E51" s="23">
        <f>'55 Degree Loads'!E26</f>
        <v>0</v>
      </c>
      <c r="F51" s="23">
        <f>'55 Degree Loads'!F26</f>
        <v>0</v>
      </c>
      <c r="G51" s="23">
        <f>'55 Degree Loads'!G26</f>
        <v>0</v>
      </c>
      <c r="H51" s="23">
        <f>'55 Degree Loads'!H26</f>
        <v>0</v>
      </c>
      <c r="I51" s="24">
        <f>'55 Degree Loads'!I26</f>
        <v>0</v>
      </c>
    </row>
    <row r="52" spans="2:51" x14ac:dyDescent="0.25">
      <c r="B52" s="10">
        <v>15</v>
      </c>
      <c r="C52" s="14" t="str">
        <f t="shared" si="0"/>
        <v>DL + 0.525 ELX + 0.75 SL + 0.75 LL</v>
      </c>
      <c r="D52" s="34" t="s">
        <v>16</v>
      </c>
      <c r="E52" s="23">
        <f>'55 Degree Loads'!E27</f>
        <v>0</v>
      </c>
      <c r="F52" s="23">
        <f>'55 Degree Loads'!F27</f>
        <v>0</v>
      </c>
      <c r="G52" s="23">
        <f>'55 Degree Loads'!G27</f>
        <v>0</v>
      </c>
      <c r="H52" s="23">
        <f>'55 Degree Loads'!H27</f>
        <v>0</v>
      </c>
      <c r="I52" s="24">
        <f>'55 Degree Loads'!I27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260.06589166036781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 t="shared" si="0"/>
        <v>DL - 0.525 ELX + 0.75 SL + 0.75 LL</v>
      </c>
      <c r="D53" s="34" t="s">
        <v>16</v>
      </c>
      <c r="E53" s="23">
        <f>'55 Degree Loads'!E28</f>
        <v>0</v>
      </c>
      <c r="F53" s="23">
        <f>'55 Degree Loads'!F28</f>
        <v>0</v>
      </c>
      <c r="G53" s="23">
        <f>'55 Degree Loads'!G28</f>
        <v>0</v>
      </c>
      <c r="H53" s="23">
        <f>'55 Degree Loads'!H28</f>
        <v>0</v>
      </c>
      <c r="I53" s="24">
        <f>'55 Degree Loads'!I28</f>
        <v>0</v>
      </c>
    </row>
    <row r="54" spans="2:51" x14ac:dyDescent="0.25">
      <c r="B54" s="10">
        <v>17</v>
      </c>
      <c r="C54" s="14" t="str">
        <f t="shared" si="0"/>
        <v>DL + 0.525 ELZ + 0.75 SL + 0.75 LL</v>
      </c>
      <c r="D54" s="34" t="s">
        <v>16</v>
      </c>
      <c r="E54" s="23">
        <f>'55 Degree Loads'!E29</f>
        <v>0</v>
      </c>
      <c r="F54" s="23">
        <f>'55 Degree Loads'!F29</f>
        <v>0</v>
      </c>
      <c r="G54" s="23">
        <f>'55 Degree Loads'!G29</f>
        <v>0</v>
      </c>
      <c r="H54" s="23">
        <f>'55 Degree Loads'!H29</f>
        <v>0</v>
      </c>
      <c r="I54" s="24">
        <f>'55 Degree Loads'!I29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 t="shared" si="0"/>
        <v>DL - 0.525 ELZ + 0.75 SL + 0.75 LL</v>
      </c>
      <c r="D55" s="34" t="s">
        <v>16</v>
      </c>
      <c r="E55" s="23">
        <f>'55 Degree Loads'!E30</f>
        <v>0</v>
      </c>
      <c r="F55" s="23">
        <f>'55 Degree Loads'!F30</f>
        <v>0</v>
      </c>
      <c r="G55" s="23">
        <f>'55 Degree Loads'!G30</f>
        <v>0</v>
      </c>
      <c r="H55" s="23">
        <f>'55 Degree Loads'!H30</f>
        <v>0</v>
      </c>
      <c r="I55" s="24">
        <f>'55 Degree Loads'!I30</f>
        <v>0</v>
      </c>
    </row>
    <row r="56" spans="2:51" x14ac:dyDescent="0.25">
      <c r="B56" s="10">
        <v>19</v>
      </c>
      <c r="C56" s="14" t="str">
        <f t="shared" si="0"/>
        <v>0.6 DL + 0.7 ELX</v>
      </c>
      <c r="D56" s="34" t="s">
        <v>16</v>
      </c>
      <c r="E56" s="23">
        <f>'55 Degree Loads'!E31</f>
        <v>0</v>
      </c>
      <c r="F56" s="23">
        <f>'55 Degree Loads'!F31</f>
        <v>0</v>
      </c>
      <c r="G56" s="23">
        <f>'55 Degree Loads'!G31</f>
        <v>0</v>
      </c>
      <c r="H56" s="23">
        <f>'55 Degree Loads'!H31</f>
        <v>0</v>
      </c>
      <c r="I56" s="24">
        <f>'55 Degree Loads'!I31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46.134126507036491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 t="shared" si="0"/>
        <v>0.6 DL - 0.7 ELX</v>
      </c>
      <c r="D57" s="34" t="s">
        <v>16</v>
      </c>
      <c r="E57" s="23">
        <f>'55 Degree Loads'!E32</f>
        <v>0</v>
      </c>
      <c r="F57" s="23">
        <f>'55 Degree Loads'!F32</f>
        <v>0</v>
      </c>
      <c r="G57" s="23">
        <f>'55 Degree Loads'!G32</f>
        <v>0</v>
      </c>
      <c r="H57" s="23">
        <f>'55 Degree Loads'!H32</f>
        <v>0</v>
      </c>
      <c r="I57" s="24">
        <f>'55 Degree Loads'!I32</f>
        <v>0</v>
      </c>
    </row>
    <row r="58" spans="2:51" x14ac:dyDescent="0.25">
      <c r="B58" s="10">
        <v>21</v>
      </c>
      <c r="C58" s="14" t="str">
        <f t="shared" si="0"/>
        <v>0.6 DL + 0.7 ELZ</v>
      </c>
      <c r="D58" s="34" t="s">
        <v>16</v>
      </c>
      <c r="E58" s="23">
        <f>'55 Degree Loads'!E33</f>
        <v>0</v>
      </c>
      <c r="F58" s="23">
        <f>'55 Degree Loads'!F33</f>
        <v>0</v>
      </c>
      <c r="G58" s="23">
        <f>'55 Degree Loads'!G33</f>
        <v>0</v>
      </c>
      <c r="H58" s="23">
        <f>'55 Degree Loads'!H33</f>
        <v>0</v>
      </c>
      <c r="I58" s="24">
        <f>'55 Degree Loads'!I33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264.13824825036295</v>
      </c>
      <c r="AE58" t="s">
        <v>217</v>
      </c>
      <c r="AM58" t="s">
        <v>216</v>
      </c>
      <c r="AN58">
        <f>IF(AN56&gt;Fy,(Fy*AO11)/1.67,(AN56*AO11))</f>
        <v>316.19245971413386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15" t="str">
        <f t="shared" si="0"/>
        <v>0.6 DL - 0.7 ELZ</v>
      </c>
      <c r="D59" s="36" t="s">
        <v>16</v>
      </c>
      <c r="E59" s="31">
        <f>'55 Degree Loads'!E34</f>
        <v>0</v>
      </c>
      <c r="F59" s="31">
        <f>'55 Degree Loads'!F34</f>
        <v>0</v>
      </c>
      <c r="G59" s="31">
        <f>'55 Degree Loads'!G34</f>
        <v>0</v>
      </c>
      <c r="H59" s="31">
        <f>'55 Degree Loads'!H34</f>
        <v>0</v>
      </c>
      <c r="I59" s="32">
        <f>'55 Degree Loads'!I34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14.616713211412341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261.78961995775973</v>
      </c>
      <c r="AC66" s="174" t="s">
        <v>222</v>
      </c>
      <c r="AD66">
        <f>(AD65*(AD30/AD29))^2*Fy</f>
        <v>261.78961995775973</v>
      </c>
      <c r="AM66" s="174" t="s">
        <v>222</v>
      </c>
      <c r="AN66">
        <f>(AN65*(AN30/AN29))^2*Fy</f>
        <v>409.7677358041401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5.9963999999999995</v>
      </c>
      <c r="AE67" t="s">
        <v>170</v>
      </c>
      <c r="AM67" s="174" t="s">
        <v>223</v>
      </c>
      <c r="AN67">
        <f>IF(AN29&lt;=AN63,AO15,AO15*(1-(AN64*SQRT(AN66/AN56)))*SQRT(AN66/AN56))</f>
        <v>6.0564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37.357182690053662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264.68171939470284</v>
      </c>
      <c r="AC71" s="174" t="s">
        <v>222</v>
      </c>
      <c r="AD71">
        <f>(AD65*(AD33/AD32))^2*Fy</f>
        <v>264.68171939470284</v>
      </c>
      <c r="AM71" s="174" t="s">
        <v>222</v>
      </c>
      <c r="AN71">
        <f>(AN65*(AN33/AN32))^2*Fy</f>
        <v>416.08820166846402</v>
      </c>
      <c r="AW71" s="174" t="s">
        <v>222</v>
      </c>
      <c r="AX71">
        <f>(AX65*(AX33/AX32))^2*Fy</f>
        <v>416.08820166846402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6.1764000000000001</v>
      </c>
      <c r="AE72" t="s">
        <v>225</v>
      </c>
      <c r="AM72" s="174" t="s">
        <v>224</v>
      </c>
      <c r="AN72">
        <f>IF(AN32&lt;=AN70,AO12,AO12*(1-(AN64*SQRT(AN71/AN56)))*SQRT(AN71/AN56))</f>
        <v>6.3563999999999998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5.3930289599999996</v>
      </c>
      <c r="AE73" t="s">
        <v>225</v>
      </c>
      <c r="AM73" t="s">
        <v>226</v>
      </c>
      <c r="AN73">
        <f>2*(AN67*AO14)+((AN72-(2*AO14))*AO13)</f>
        <v>6.8537649599999995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264.13824825036295</v>
      </c>
      <c r="AE75" t="s">
        <v>217</v>
      </c>
      <c r="AM75" t="s">
        <v>216</v>
      </c>
      <c r="AN75">
        <f>(AN56*AN73)</f>
        <v>316.19245971413386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23"/>
      <c r="D76" s="324"/>
      <c r="E76" s="323"/>
      <c r="G76" s="339" t="s">
        <v>48</v>
      </c>
      <c r="H76" s="339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176.09216550024198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210.79497314275591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686.44296661680005</v>
      </c>
      <c r="T82" t="s">
        <v>234</v>
      </c>
      <c r="AC82" t="s">
        <v>233</v>
      </c>
      <c r="AD82">
        <f>Fy*AE19</f>
        <v>686.44296661680005</v>
      </c>
      <c r="AE82" t="s">
        <v>234</v>
      </c>
      <c r="AM82" t="s">
        <v>233</v>
      </c>
      <c r="AN82">
        <f>Fy*AO19</f>
        <v>885.83711665680005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63.579619376023324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64.427347634370307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223.70899132631803</v>
      </c>
      <c r="AC87" t="s">
        <v>239</v>
      </c>
      <c r="AD87">
        <f>(1.95*AJ16*(E/(0.7*Fy)))*SQRT((AJ17/(AE17*AJ15))+SQRT((AJ17/(AE17*AJ15))^2+6.76*((0.7*Fy)/E)^2))</f>
        <v>223.70899132631803</v>
      </c>
      <c r="AM87" t="s">
        <v>239</v>
      </c>
      <c r="AN87">
        <f>(1.95*AT16*(E/(0.7*Fy)))*SQRT((AT17/(AO17*AT15))+SQRT((AT17/(AO17*AT15))^2+6.76*((0.7*Fy)/E)^2))</f>
        <v>267.76287009367252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5789.5962921696173</v>
      </c>
      <c r="AM89" t="s">
        <v>241</v>
      </c>
      <c r="AN89">
        <f>(AN88*9.87*E)/((AN85/AT16)^2)*SQRT(1+0.078*((AT17/(AO17*AT15))*((AN85/AT16)^2)))</f>
        <v>1538.9351419170503</v>
      </c>
      <c r="AW89" t="s">
        <v>241</v>
      </c>
      <c r="AX89">
        <f>(AX88*9.87*E)/((AX85/BD16)^2)*SQRT(1+0.078*((BD17/(AY17*BD15))*((AX85/BD16)^2)))</f>
        <v>707.80755022462586</v>
      </c>
    </row>
    <row r="90" spans="2:51" ht="15" customHeight="1" x14ac:dyDescent="0.25">
      <c r="B90" s="335" t="s">
        <v>382</v>
      </c>
      <c r="C90" s="336"/>
    </row>
    <row r="91" spans="2:51" ht="15.75" customHeight="1" thickBot="1" x14ac:dyDescent="0.3">
      <c r="B91" s="337"/>
      <c r="C91" s="338"/>
      <c r="R91" t="s">
        <v>242</v>
      </c>
      <c r="S91">
        <f>IF(S85&lt;=S86,Fy*T19,IF(S85&lt;S87,S88*(S82-(S82-0.7*Fy*T17)*((S85-S86)/(S87-S86))),S89*T17))</f>
        <v>686.44296661680005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686.44296661680005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885.83711665680005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0.82976518756327555</v>
      </c>
      <c r="AC96" t="s">
        <v>245</v>
      </c>
      <c r="AD96">
        <f>4/(SQRT(AD39))</f>
        <v>0.82976518756327555</v>
      </c>
      <c r="AM96" t="s">
        <v>245</v>
      </c>
      <c r="AN96">
        <f>4/(SQRT(AN39))</f>
        <v>0.92911735808450358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'DRIVE REACTIONS Zone 1'!C97</f>
        <v>W6X20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1">R11</f>
        <v>Area (A)</v>
      </c>
      <c r="C100" s="210">
        <f t="shared" ref="C100:D109" si="2">T11</f>
        <v>5.3930289599999996</v>
      </c>
      <c r="D100" s="155" t="str">
        <f t="shared" si="2"/>
        <v>in^2</v>
      </c>
      <c r="E100" s="214" t="str">
        <f t="shared" ref="E100:E107" si="3">W11</f>
        <v>Moment of Inertia - y (Iy)</v>
      </c>
      <c r="F100" s="155"/>
      <c r="G100" s="210">
        <f t="shared" ref="G100:H107" si="4">Y11</f>
        <v>12.274338640417513</v>
      </c>
      <c r="H100" s="166" t="str">
        <f t="shared" si="4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1"/>
        <v>Depth (d)</v>
      </c>
      <c r="C101" s="211">
        <f t="shared" si="2"/>
        <v>6.1764000000000001</v>
      </c>
      <c r="D101" t="str">
        <f t="shared" si="2"/>
        <v>in</v>
      </c>
      <c r="E101" s="19" t="str">
        <f t="shared" si="3"/>
        <v>Elastic Section Modulus - y (Sy)</v>
      </c>
      <c r="G101" s="211">
        <f t="shared" si="4"/>
        <v>4.0939025550055081</v>
      </c>
      <c r="H101" s="159" t="str">
        <f t="shared" si="4"/>
        <v>in^3</v>
      </c>
      <c r="R101" s="19" t="s">
        <v>249</v>
      </c>
      <c r="S101" s="8">
        <f>(S100*T13)/(T15*T14)</f>
        <v>0.63438133178676981</v>
      </c>
      <c r="AC101" s="19" t="s">
        <v>249</v>
      </c>
      <c r="AD101" s="8">
        <f>(AD100*AE13)/(AE15*AE14)</f>
        <v>0.63438133178676981</v>
      </c>
      <c r="AM101" s="19" t="s">
        <v>249</v>
      </c>
      <c r="AN101" s="8">
        <f>(AN100*AO13)/(AO15*AO14)</f>
        <v>0.62321879478934183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1"/>
        <v>Web Thickness (tw)</v>
      </c>
      <c r="C102" s="211">
        <f t="shared" si="2"/>
        <v>0.2364</v>
      </c>
      <c r="D102" t="str">
        <f t="shared" si="2"/>
        <v>in</v>
      </c>
      <c r="E102" s="19" t="str">
        <f t="shared" si="3"/>
        <v>Radius of Gyration - y (ry)</v>
      </c>
      <c r="G102" s="211">
        <f t="shared" si="4"/>
        <v>1.5</v>
      </c>
      <c r="H102" s="159" t="str">
        <f t="shared" si="4"/>
        <v>in^3</v>
      </c>
      <c r="R102" s="19" t="s">
        <v>250</v>
      </c>
      <c r="S102" s="8">
        <f>1-((S101/(1200+300*S101))*((S100/T13)-5.7*SQRT(E/Fy)))</f>
        <v>1.0520328750946488</v>
      </c>
      <c r="AC102" s="19" t="s">
        <v>250</v>
      </c>
      <c r="AD102" s="8">
        <f>1-((AD101/(1200+300*AD101))*((AD100/AE13)-5.7*SQRT(E/Fy)))</f>
        <v>1.0520328750946488</v>
      </c>
      <c r="AM102" s="19" t="s">
        <v>250</v>
      </c>
      <c r="AN102" s="8">
        <f>1-((AN101/(1200+300*AN101))*((AN100/AO13)-5.7*SQRT(E/Fy)))</f>
        <v>1.0533544965624166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1"/>
        <v>Flange Thickness (tf)</v>
      </c>
      <c r="C103" s="211">
        <f t="shared" si="2"/>
        <v>0.34139999999999998</v>
      </c>
      <c r="D103" t="str">
        <f t="shared" si="2"/>
        <v>in</v>
      </c>
      <c r="E103" s="19" t="str">
        <f t="shared" si="3"/>
        <v>Plastic Section Modulus - y (Zy)</v>
      </c>
      <c r="G103" s="211">
        <f t="shared" si="4"/>
        <v>6.2145803763359986</v>
      </c>
      <c r="H103" s="159" t="str">
        <f t="shared" si="4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1"/>
        <v>Flange Width (bf)</v>
      </c>
      <c r="C104" s="211">
        <f t="shared" si="2"/>
        <v>5.9963999999999995</v>
      </c>
      <c r="D104" t="str">
        <f t="shared" si="2"/>
        <v>in</v>
      </c>
      <c r="E104" s="19" t="str">
        <f t="shared" si="3"/>
        <v>ho</v>
      </c>
      <c r="G104" s="211">
        <f t="shared" si="4"/>
        <v>5.835</v>
      </c>
      <c r="H104" s="159"/>
    </row>
    <row r="105" spans="2:51" x14ac:dyDescent="0.25">
      <c r="B105" s="209" t="str">
        <f t="shared" si="1"/>
        <v>Moment of Inertia x (Ix)</v>
      </c>
      <c r="C105" s="211">
        <f t="shared" si="2"/>
        <v>38.156171840207598</v>
      </c>
      <c r="D105" t="str">
        <f t="shared" si="2"/>
        <v>in^4</v>
      </c>
      <c r="E105" s="19" t="str">
        <f t="shared" si="3"/>
        <v>Effective Radius of Gyration (rts)</v>
      </c>
      <c r="G105" s="211">
        <f t="shared" si="4"/>
        <v>1.7024516792693745</v>
      </c>
      <c r="H105" s="159" t="str">
        <f t="shared" si="4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1"/>
        <v>Elastic Section Modulus x (Sx)</v>
      </c>
      <c r="C106" s="211">
        <f t="shared" si="2"/>
        <v>12.355473039378149</v>
      </c>
      <c r="D106" t="str">
        <f t="shared" si="2"/>
        <v>in^3</v>
      </c>
      <c r="E106" s="19" t="str">
        <f t="shared" si="3"/>
        <v>Torsional Constant - (J)</v>
      </c>
      <c r="G106" s="211">
        <f t="shared" si="4"/>
        <v>0.18476638096141437</v>
      </c>
      <c r="H106" s="159" t="str">
        <f t="shared" si="4"/>
        <v>in^4</v>
      </c>
    </row>
    <row r="107" spans="2:51" x14ac:dyDescent="0.25">
      <c r="B107" s="209" t="str">
        <f t="shared" si="1"/>
        <v>Radius of Gyration about X (rx)</v>
      </c>
      <c r="C107" s="211">
        <f t="shared" si="2"/>
        <v>2.6599043628066652</v>
      </c>
      <c r="D107" t="str">
        <f t="shared" si="2"/>
        <v>in</v>
      </c>
      <c r="E107" s="19" t="str">
        <f t="shared" si="3"/>
        <v>h/tw</v>
      </c>
      <c r="G107" s="211">
        <f t="shared" si="4"/>
        <v>23.238578680203045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1"/>
        <v>Plastic Section Modulus - X (Zx)</v>
      </c>
      <c r="C108" s="211">
        <f t="shared" si="2"/>
        <v>13.728859332336</v>
      </c>
      <c r="D108" t="str">
        <f t="shared" si="2"/>
        <v>in^3</v>
      </c>
      <c r="E108" s="19"/>
      <c r="G108" s="8"/>
      <c r="H108" s="159"/>
      <c r="R108" s="19" t="s">
        <v>254</v>
      </c>
      <c r="S108" s="8">
        <f>T15/SQRT(12*(1+0.1667*S101))</f>
        <v>1.6461569116644132</v>
      </c>
      <c r="AC108" s="19" t="s">
        <v>254</v>
      </c>
      <c r="AD108" s="8">
        <f>AE15/SQRT(12*(1+0.1667*AD101))</f>
        <v>1.6461569116644132</v>
      </c>
      <c r="AM108" s="19" t="s">
        <v>254</v>
      </c>
      <c r="AN108" s="8">
        <f>AO15/SQRT(12*(1+0.1667*AN101))</f>
        <v>1.6640290947555842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1"/>
        <v>Wh</v>
      </c>
      <c r="C109" s="212">
        <f t="shared" si="2"/>
        <v>5.4935999999999998</v>
      </c>
      <c r="D109" s="162" t="str">
        <f t="shared" si="2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457.62864441120001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457.62864441120001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590.55807777120003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4" t="s">
        <v>363</v>
      </c>
      <c r="C117" s="355"/>
      <c r="D117" s="355"/>
      <c r="E117" s="355"/>
      <c r="F117" s="355"/>
      <c r="G117" s="355"/>
      <c r="H117" s="355"/>
      <c r="I117" s="356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259.44955045871228</v>
      </c>
      <c r="AC119" t="s">
        <v>255</v>
      </c>
      <c r="AD119">
        <f>(0.69*E)/(AD36^2)</f>
        <v>259.44955045871228</v>
      </c>
      <c r="AM119" t="s">
        <v>255</v>
      </c>
      <c r="AN119">
        <f>(0.69*E)/(AN36^2)</f>
        <v>406.10492831618961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457.62864441120001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310.72901881679991</v>
      </c>
      <c r="T120" t="s">
        <v>234</v>
      </c>
      <c r="AC120" t="s">
        <v>263</v>
      </c>
      <c r="AD120">
        <f>Fy*AJ14</f>
        <v>310.72901881679991</v>
      </c>
      <c r="AE120" t="s">
        <v>234</v>
      </c>
      <c r="AM120" t="s">
        <v>263</v>
      </c>
      <c r="AN120">
        <f>Fy*AT14</f>
        <v>401.62645741680006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327.51220440044062</v>
      </c>
      <c r="T121" t="s">
        <v>265</v>
      </c>
      <c r="AC121" t="s">
        <v>264</v>
      </c>
      <c r="AD121">
        <f>1.6*Fy*AJ12</f>
        <v>327.51220440044062</v>
      </c>
      <c r="AE121" t="s">
        <v>265</v>
      </c>
      <c r="AM121" t="s">
        <v>264</v>
      </c>
      <c r="AN121">
        <f>1.6*Fy*AT12</f>
        <v>422.28143225820844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207.15267921119994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310.72901881679991</v>
      </c>
      <c r="T122" t="s">
        <v>234</v>
      </c>
      <c r="AC122" t="s">
        <v>266</v>
      </c>
      <c r="AD122">
        <f>MIN(AD120:AD121)</f>
        <v>310.72901881679991</v>
      </c>
      <c r="AE122" t="s">
        <v>234</v>
      </c>
      <c r="AM122" t="s">
        <v>266</v>
      </c>
      <c r="AN122">
        <f>MIN(AN120:AN121)</f>
        <v>401.62645741680006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310.72901881679991</v>
      </c>
      <c r="T123" t="s">
        <v>234</v>
      </c>
      <c r="AC123" t="s">
        <v>242</v>
      </c>
      <c r="AD123">
        <f>IF(AE37="Compact",AD122,IF(AE37="Non-Compact",AD122-(0.7*Fy*AJ12)*((AD36-AD37)/(AD38-AD37)),AD119*AJ12))</f>
        <v>310.72901881679991</v>
      </c>
      <c r="AE123" t="s">
        <v>234</v>
      </c>
      <c r="AM123" t="s">
        <v>242</v>
      </c>
      <c r="AN123">
        <f>IF(AO37="Compact",AN122,IF(AO37="Non-Compact",AN122-(0.7*Fy*AT12)*((AN36-AN37)/(AN38-AN37)),AN119*AT12))</f>
        <v>401.62645741680006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29.202019200000006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207.15267921119994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207.15267921119994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267.75097161120004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81.886838400000002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411.04369258491022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1.4601009600000001</v>
      </c>
      <c r="AC134" t="s">
        <v>270</v>
      </c>
      <c r="AD134">
        <f>AE12*AE13</f>
        <v>1.4601009600000001</v>
      </c>
      <c r="AM134" t="s">
        <v>270</v>
      </c>
      <c r="AN134">
        <f>AO12*AO13</f>
        <v>1.88403696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23.238578680203045</v>
      </c>
      <c r="AC135" t="s">
        <v>186</v>
      </c>
      <c r="AD135">
        <f>AD32</f>
        <v>23.238578680203045</v>
      </c>
      <c r="AM135" t="s">
        <v>186</v>
      </c>
      <c r="AN135">
        <f>AN32</f>
        <v>18.534412955465587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29.202019200000006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29.202019200000006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37.680739199999998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ht="15" customHeight="1" x14ac:dyDescent="0.25">
      <c r="B145" s="335" t="s">
        <v>381</v>
      </c>
      <c r="C145" s="33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customHeight="1" thickBot="1" x14ac:dyDescent="0.3">
      <c r="B146" s="337"/>
      <c r="C146" s="33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81.886838400000002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81.886838400000002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104.5092384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'DRIVE REACTIONS Zone 1'!C151</f>
        <v>W6X20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4" t="s">
        <v>366</v>
      </c>
      <c r="C153" s="355"/>
      <c r="D153" s="355"/>
      <c r="E153" s="355"/>
      <c r="F153" s="355"/>
      <c r="G153" s="355"/>
      <c r="H153" s="356"/>
    </row>
    <row r="154" spans="2:56" ht="15.75" thickBot="1" x14ac:dyDescent="0.3">
      <c r="B154" s="208" t="str">
        <f>AC11</f>
        <v>Area (A)</v>
      </c>
      <c r="C154" s="210">
        <f>AE11</f>
        <v>5.3930289599999996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12.274338640417513</v>
      </c>
      <c r="H154" s="166" t="str">
        <f>AK11</f>
        <v>in^4</v>
      </c>
    </row>
    <row r="155" spans="2:56" x14ac:dyDescent="0.25">
      <c r="B155" s="209" t="str">
        <f t="shared" ref="B155:B163" si="5">AC12</f>
        <v>Depth (d)</v>
      </c>
      <c r="C155" s="211">
        <f t="shared" ref="C155:D163" si="6">AE12</f>
        <v>6.1764000000000001</v>
      </c>
      <c r="D155" t="str">
        <f t="shared" si="6"/>
        <v>in</v>
      </c>
      <c r="E155" s="19" t="str">
        <f t="shared" ref="E155:E161" si="7">AH12</f>
        <v>Elastic Section Modulus - y (Sy)</v>
      </c>
      <c r="G155" s="211">
        <f t="shared" ref="G155:H161" si="8">AJ12</f>
        <v>4.0939025550055081</v>
      </c>
      <c r="H155" s="159" t="str">
        <f t="shared" si="8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5"/>
        <v>Web Thickness (tw)</v>
      </c>
      <c r="C156" s="211">
        <f t="shared" si="6"/>
        <v>0.2364</v>
      </c>
      <c r="D156" t="str">
        <f t="shared" si="6"/>
        <v>in</v>
      </c>
      <c r="E156" s="19" t="str">
        <f t="shared" si="7"/>
        <v>Radius of Gyration - y (ry)</v>
      </c>
      <c r="G156" s="211">
        <f t="shared" si="8"/>
        <v>1.5</v>
      </c>
      <c r="H156" s="159" t="str">
        <f t="shared" si="8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5"/>
        <v>Flange Thickness (tf)</v>
      </c>
      <c r="C157" s="211">
        <f t="shared" si="6"/>
        <v>0.34139999999999998</v>
      </c>
      <c r="D157" t="str">
        <f t="shared" si="6"/>
        <v>in</v>
      </c>
      <c r="E157" s="19" t="str">
        <f t="shared" si="7"/>
        <v>Plastic Section Modulus - y (Zy)</v>
      </c>
      <c r="G157" s="211">
        <f t="shared" si="8"/>
        <v>6.2145803763359986</v>
      </c>
      <c r="H157" s="159" t="str">
        <f t="shared" si="8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5"/>
        <v>Flange Width (bf)</v>
      </c>
      <c r="C158" s="211">
        <f t="shared" si="6"/>
        <v>5.9963999999999995</v>
      </c>
      <c r="D158" t="str">
        <f t="shared" si="6"/>
        <v>in</v>
      </c>
      <c r="E158" s="19" t="str">
        <f t="shared" si="7"/>
        <v>ho</v>
      </c>
      <c r="G158" s="211">
        <f t="shared" si="8"/>
        <v>5.835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5"/>
        <v>Moment of Inertia x (Ix)</v>
      </c>
      <c r="C159" s="211">
        <f t="shared" si="6"/>
        <v>38.156171840207598</v>
      </c>
      <c r="D159" t="str">
        <f t="shared" si="6"/>
        <v>in^4</v>
      </c>
      <c r="E159" s="19" t="str">
        <f t="shared" si="7"/>
        <v>Effective Radius of Gyration (rts)</v>
      </c>
      <c r="G159" s="211">
        <f t="shared" si="8"/>
        <v>1.7024516792693745</v>
      </c>
      <c r="H159" s="159" t="str">
        <f t="shared" si="8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9">IF($E13&gt;=0,$E13/1000+$X$36,$E13/1000-$X$36)</f>
        <v>0</v>
      </c>
      <c r="U159" s="111">
        <f t="shared" ref="U159:U179" si="10">$F13/1000+$X$31/1000</f>
        <v>0</v>
      </c>
      <c r="V159" s="111">
        <f t="shared" ref="V159:V179" si="11">IF($G13&gt;=0,$G13/1000+$X$37,$G13/1000-$X$37)</f>
        <v>0</v>
      </c>
      <c r="W159" s="111">
        <f t="shared" ref="W159:W179" si="12">IF(($H13/1000)-($G13/1000)*$S$24&gt;=0,($H13/1000)-($G13/1000)*$S$24+($X$39),($H13/1000)-($G13/1000)*$S$24-($X$39))</f>
        <v>0</v>
      </c>
      <c r="X159" s="111">
        <f t="shared" ref="X159:X179" si="13">IF(($I13/1000)-($E13/1000)*$S$24&gt;=0,($I13/1000)-($E13/1000)*$S$24+($X$38),($I13/1000)-($E13/1000)*$S$24-($X$38))</f>
        <v>0</v>
      </c>
      <c r="Y159" s="182" t="e">
        <f t="shared" ref="Y159:Y179" si="14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5">IF($E13&gt;=0,$E13/1000+$AI$36,$E13/1000-$AI$36)</f>
        <v>0</v>
      </c>
      <c r="AF159" s="111">
        <f t="shared" ref="AF159:AF179" si="16">$F13/1000+$AI$31/1000</f>
        <v>0</v>
      </c>
      <c r="AG159" s="111">
        <f t="shared" ref="AG159:AG179" si="17">IF($G13&gt;=0,$G13/1000+$AI$37,$G13/1000-$AI$37)</f>
        <v>0</v>
      </c>
      <c r="AH159" s="111">
        <f t="shared" ref="AH159:AH179" si="18">IF(($H13/1000)-($G13/1000)*$AD$24&gt;=0,($H13/1000)-($G13/1000)*$AD$24+($AI$39),($H13/1000)-($G13/1000)*$AD$24-($AI$39))</f>
        <v>0</v>
      </c>
      <c r="AI159" s="111">
        <f t="shared" ref="AI159:AI179" si="19">IF(($I13/1000)-($E13/1000)*$AD$24&gt;=0,($I13/1000)-($E13/1000)*$AD$24+($AI$38),($I13/1000)-($E13/1000)*$AD$24-($AI$38))</f>
        <v>0</v>
      </c>
      <c r="AJ159" s="182">
        <f t="shared" ref="AJ159:AJ179" si="20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1">IF($E13&gt;=0,$E13/1000+$AS$36,$E13/1000-$AS$36)</f>
        <v>0</v>
      </c>
      <c r="AP159" s="111">
        <f t="shared" ref="AP159:AP179" si="22">$F13/1000+$AS$31/1000</f>
        <v>0</v>
      </c>
      <c r="AQ159" s="111">
        <f t="shared" ref="AQ159:AQ179" si="23">IF($G13&gt;=0,$G13/1000+$AS$37,$G13/1000-$AS$37)</f>
        <v>0</v>
      </c>
      <c r="AR159" s="111">
        <f t="shared" ref="AR159:AR179" si="24">IF(($H13/1000)-($G13/1000)*$AN$24&gt;=0,($H13/1000)-($G13/1000)*$AN$24+($AS$39),($H13/1000)-($G13/1000)*$AN$24-($AS$39))</f>
        <v>0</v>
      </c>
      <c r="AS159" s="111">
        <f t="shared" ref="AS159:AS179" si="25">IF(($I13/1000)-($E13/1000)*$AN$24&gt;=0,($I13/1000)-($E13/1000)*$AN$24+($AS$38),($I13/1000)-($E13/1000)*$AN$24-($AS$38))</f>
        <v>0</v>
      </c>
      <c r="AT159" s="182">
        <f t="shared" ref="AT159:AT179" si="26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7">IF($E13&gt;=0,$E13/1000+$BC$36,$E13/1000-$BC$36)</f>
        <v>0</v>
      </c>
      <c r="AZ159" s="111">
        <f t="shared" ref="AZ159:AZ179" si="28">$F13/1000+$BC$31/1000</f>
        <v>0</v>
      </c>
      <c r="BA159" s="111">
        <f t="shared" ref="BA159:BA179" si="29">IF($G13&gt;=0,$G13/1000+$BC$37,$G13/1000-$BC$37)</f>
        <v>0</v>
      </c>
      <c r="BB159" s="111">
        <f t="shared" ref="BB159:BB179" si="30">IF(($H13/1000)-($G13/1000)*$AX$24&gt;=0,($H13/1000)-($G13/1000)*$AX$24+($BC$39),($H13/1000)-($G13/1000)*$AX$24-($BC$39))</f>
        <v>0</v>
      </c>
      <c r="BC159" s="111">
        <f t="shared" ref="BC159:BC179" si="31">IF(($I13/1000)-($E13/1000)*$AX$24&gt;=0,($I13/1000)-($E13/1000)*$AX$24+($BC$38),($I13/1000)-($E13/1000)*$AX$24-($BC$38))</f>
        <v>0</v>
      </c>
      <c r="BD159" s="182">
        <f t="shared" ref="BD159:BD179" si="32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5"/>
        <v>Elastic Section Modulus x (Sx)</v>
      </c>
      <c r="C160" s="211">
        <f t="shared" si="6"/>
        <v>12.355473039378149</v>
      </c>
      <c r="D160" t="str">
        <f t="shared" si="6"/>
        <v>in^3</v>
      </c>
      <c r="E160" s="19" t="str">
        <f t="shared" si="7"/>
        <v>Torsional Constant - (J)</v>
      </c>
      <c r="G160" s="211">
        <f t="shared" si="8"/>
        <v>0.18476638096141437</v>
      </c>
      <c r="H160" s="159" t="str">
        <f t="shared" si="8"/>
        <v>in^4</v>
      </c>
      <c r="Q160" s="10">
        <v>3</v>
      </c>
      <c r="R160" s="14" t="s">
        <v>21</v>
      </c>
      <c r="S160" s="34" t="s">
        <v>16</v>
      </c>
      <c r="T160" s="111">
        <f t="shared" si="9"/>
        <v>0</v>
      </c>
      <c r="U160" s="111">
        <f t="shared" si="10"/>
        <v>0</v>
      </c>
      <c r="V160" s="111">
        <f t="shared" si="11"/>
        <v>0</v>
      </c>
      <c r="W160" s="111">
        <f t="shared" si="12"/>
        <v>0</v>
      </c>
      <c r="X160" s="111">
        <f t="shared" si="13"/>
        <v>0</v>
      </c>
      <c r="Y160" s="182" t="e">
        <f t="shared" si="14"/>
        <v>#DIV/0!</v>
      </c>
      <c r="AB160" s="10">
        <v>3</v>
      </c>
      <c r="AC160" s="14" t="s">
        <v>21</v>
      </c>
      <c r="AD160" s="34" t="s">
        <v>16</v>
      </c>
      <c r="AE160" s="111">
        <f t="shared" si="15"/>
        <v>0</v>
      </c>
      <c r="AF160" s="111">
        <f t="shared" si="16"/>
        <v>0</v>
      </c>
      <c r="AG160" s="111">
        <f t="shared" si="17"/>
        <v>0</v>
      </c>
      <c r="AH160" s="111">
        <f t="shared" si="18"/>
        <v>0</v>
      </c>
      <c r="AI160" s="111">
        <f t="shared" si="19"/>
        <v>0</v>
      </c>
      <c r="AJ160" s="182">
        <f t="shared" si="20"/>
        <v>0</v>
      </c>
      <c r="AL160" s="10">
        <v>3</v>
      </c>
      <c r="AM160" s="14" t="s">
        <v>21</v>
      </c>
      <c r="AN160" s="34" t="s">
        <v>16</v>
      </c>
      <c r="AO160" s="111">
        <f t="shared" si="21"/>
        <v>0</v>
      </c>
      <c r="AP160" s="111">
        <f t="shared" si="22"/>
        <v>0</v>
      </c>
      <c r="AQ160" s="111">
        <f t="shared" si="23"/>
        <v>0</v>
      </c>
      <c r="AR160" s="111">
        <f t="shared" si="24"/>
        <v>0</v>
      </c>
      <c r="AS160" s="111">
        <f t="shared" si="25"/>
        <v>0</v>
      </c>
      <c r="AT160" s="182">
        <f t="shared" si="26"/>
        <v>0</v>
      </c>
      <c r="AV160" s="10">
        <v>3</v>
      </c>
      <c r="AW160" s="14" t="s">
        <v>21</v>
      </c>
      <c r="AX160" s="34" t="s">
        <v>16</v>
      </c>
      <c r="AY160" s="111">
        <f t="shared" si="27"/>
        <v>0</v>
      </c>
      <c r="AZ160" s="111">
        <f t="shared" si="28"/>
        <v>0</v>
      </c>
      <c r="BA160" s="111">
        <f t="shared" si="29"/>
        <v>0</v>
      </c>
      <c r="BB160" s="111">
        <f t="shared" si="30"/>
        <v>0</v>
      </c>
      <c r="BC160" s="111">
        <f t="shared" si="31"/>
        <v>0</v>
      </c>
      <c r="BD160" s="182">
        <f t="shared" si="32"/>
        <v>0</v>
      </c>
    </row>
    <row r="161" spans="2:56" x14ac:dyDescent="0.25">
      <c r="B161" s="209" t="str">
        <f t="shared" si="5"/>
        <v>Radius of Gyration about X (rx)</v>
      </c>
      <c r="C161" s="211">
        <f t="shared" si="6"/>
        <v>2.6599043628066652</v>
      </c>
      <c r="D161" t="str">
        <f t="shared" si="6"/>
        <v>in</v>
      </c>
      <c r="E161" s="19" t="str">
        <f t="shared" si="7"/>
        <v>h/tw</v>
      </c>
      <c r="G161" s="211">
        <f t="shared" si="8"/>
        <v>23.238578680203045</v>
      </c>
      <c r="H161" s="159"/>
      <c r="Q161" s="10">
        <v>4</v>
      </c>
      <c r="R161" s="14" t="s">
        <v>22</v>
      </c>
      <c r="S161" s="34" t="s">
        <v>16</v>
      </c>
      <c r="T161" s="111">
        <f t="shared" si="9"/>
        <v>0</v>
      </c>
      <c r="U161" s="111">
        <f t="shared" si="10"/>
        <v>0</v>
      </c>
      <c r="V161" s="111">
        <f t="shared" si="11"/>
        <v>0</v>
      </c>
      <c r="W161" s="111">
        <f t="shared" si="12"/>
        <v>0</v>
      </c>
      <c r="X161" s="111">
        <f t="shared" si="13"/>
        <v>0</v>
      </c>
      <c r="Y161" s="182" t="e">
        <f t="shared" si="14"/>
        <v>#DIV/0!</v>
      </c>
      <c r="AB161" s="10">
        <v>4</v>
      </c>
      <c r="AC161" s="14" t="s">
        <v>22</v>
      </c>
      <c r="AD161" s="34" t="s">
        <v>16</v>
      </c>
      <c r="AE161" s="111">
        <f t="shared" si="15"/>
        <v>0</v>
      </c>
      <c r="AF161" s="111">
        <f t="shared" si="16"/>
        <v>0</v>
      </c>
      <c r="AG161" s="111">
        <f t="shared" si="17"/>
        <v>0</v>
      </c>
      <c r="AH161" s="111">
        <f t="shared" si="18"/>
        <v>0</v>
      </c>
      <c r="AI161" s="111">
        <f t="shared" si="19"/>
        <v>0</v>
      </c>
      <c r="AJ161" s="182">
        <f t="shared" si="20"/>
        <v>0</v>
      </c>
      <c r="AL161" s="10">
        <v>4</v>
      </c>
      <c r="AM161" s="14" t="s">
        <v>22</v>
      </c>
      <c r="AN161" s="34" t="s">
        <v>16</v>
      </c>
      <c r="AO161" s="111">
        <f t="shared" si="21"/>
        <v>0</v>
      </c>
      <c r="AP161" s="111">
        <f t="shared" si="22"/>
        <v>0</v>
      </c>
      <c r="AQ161" s="111">
        <f t="shared" si="23"/>
        <v>0</v>
      </c>
      <c r="AR161" s="111">
        <f t="shared" si="24"/>
        <v>0</v>
      </c>
      <c r="AS161" s="111">
        <f t="shared" si="25"/>
        <v>0</v>
      </c>
      <c r="AT161" s="182">
        <f t="shared" si="26"/>
        <v>0</v>
      </c>
      <c r="AV161" s="10">
        <v>4</v>
      </c>
      <c r="AW161" s="14" t="s">
        <v>22</v>
      </c>
      <c r="AX161" s="34" t="s">
        <v>16</v>
      </c>
      <c r="AY161" s="111">
        <f t="shared" si="27"/>
        <v>0</v>
      </c>
      <c r="AZ161" s="111">
        <f t="shared" si="28"/>
        <v>0</v>
      </c>
      <c r="BA161" s="111">
        <f t="shared" si="29"/>
        <v>0</v>
      </c>
      <c r="BB161" s="111">
        <f t="shared" si="30"/>
        <v>0</v>
      </c>
      <c r="BC161" s="111">
        <f t="shared" si="31"/>
        <v>0</v>
      </c>
      <c r="BD161" s="182">
        <f t="shared" si="32"/>
        <v>0</v>
      </c>
    </row>
    <row r="162" spans="2:56" x14ac:dyDescent="0.25">
      <c r="B162" s="209" t="str">
        <f t="shared" si="5"/>
        <v>Plastic Section Modulus - X (Zx)</v>
      </c>
      <c r="C162" s="211">
        <f t="shared" si="6"/>
        <v>13.728859332336</v>
      </c>
      <c r="D162" t="str">
        <f t="shared" si="6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9"/>
        <v>0</v>
      </c>
      <c r="U162" s="111">
        <f t="shared" si="10"/>
        <v>0</v>
      </c>
      <c r="V162" s="111">
        <f t="shared" si="11"/>
        <v>0</v>
      </c>
      <c r="W162" s="111">
        <f t="shared" si="12"/>
        <v>0</v>
      </c>
      <c r="X162" s="111">
        <f t="shared" si="13"/>
        <v>0</v>
      </c>
      <c r="Y162" s="182" t="e">
        <f t="shared" si="14"/>
        <v>#DIV/0!</v>
      </c>
      <c r="AB162" s="10">
        <v>5</v>
      </c>
      <c r="AC162" s="14" t="s">
        <v>35</v>
      </c>
      <c r="AD162" s="34" t="s">
        <v>16</v>
      </c>
      <c r="AE162" s="111">
        <f t="shared" si="15"/>
        <v>0</v>
      </c>
      <c r="AF162" s="111">
        <f t="shared" si="16"/>
        <v>0</v>
      </c>
      <c r="AG162" s="111">
        <f t="shared" si="17"/>
        <v>0</v>
      </c>
      <c r="AH162" s="111">
        <f t="shared" si="18"/>
        <v>0</v>
      </c>
      <c r="AI162" s="111">
        <f t="shared" si="19"/>
        <v>0</v>
      </c>
      <c r="AJ162" s="182">
        <f t="shared" si="20"/>
        <v>0</v>
      </c>
      <c r="AL162" s="10">
        <v>5</v>
      </c>
      <c r="AM162" s="14" t="s">
        <v>35</v>
      </c>
      <c r="AN162" s="34" t="s">
        <v>16</v>
      </c>
      <c r="AO162" s="111">
        <f t="shared" si="21"/>
        <v>0</v>
      </c>
      <c r="AP162" s="111">
        <f t="shared" si="22"/>
        <v>0</v>
      </c>
      <c r="AQ162" s="111">
        <f t="shared" si="23"/>
        <v>0</v>
      </c>
      <c r="AR162" s="111">
        <f t="shared" si="24"/>
        <v>0</v>
      </c>
      <c r="AS162" s="111">
        <f t="shared" si="25"/>
        <v>0</v>
      </c>
      <c r="AT162" s="182">
        <f t="shared" si="26"/>
        <v>0</v>
      </c>
      <c r="AV162" s="10">
        <v>5</v>
      </c>
      <c r="AW162" s="14" t="s">
        <v>35</v>
      </c>
      <c r="AX162" s="34" t="s">
        <v>16</v>
      </c>
      <c r="AY162" s="111">
        <f t="shared" si="27"/>
        <v>0</v>
      </c>
      <c r="AZ162" s="111">
        <f t="shared" si="28"/>
        <v>0</v>
      </c>
      <c r="BA162" s="111">
        <f t="shared" si="29"/>
        <v>0</v>
      </c>
      <c r="BB162" s="111">
        <f t="shared" si="30"/>
        <v>0</v>
      </c>
      <c r="BC162" s="111">
        <f t="shared" si="31"/>
        <v>0</v>
      </c>
      <c r="BD162" s="182">
        <f t="shared" si="32"/>
        <v>0</v>
      </c>
    </row>
    <row r="163" spans="2:56" ht="15.75" thickBot="1" x14ac:dyDescent="0.3">
      <c r="B163" s="213" t="str">
        <f t="shared" si="5"/>
        <v>Wh</v>
      </c>
      <c r="C163" s="212">
        <f t="shared" si="6"/>
        <v>5.4935999999999998</v>
      </c>
      <c r="D163" s="162" t="str">
        <f t="shared" si="6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9"/>
        <v>0</v>
      </c>
      <c r="U163" s="111">
        <f t="shared" si="10"/>
        <v>0</v>
      </c>
      <c r="V163" s="111">
        <f t="shared" si="11"/>
        <v>0</v>
      </c>
      <c r="W163" s="111">
        <f t="shared" si="12"/>
        <v>0</v>
      </c>
      <c r="X163" s="111">
        <f t="shared" si="13"/>
        <v>0</v>
      </c>
      <c r="Y163" s="182" t="e">
        <f t="shared" si="14"/>
        <v>#DIV/0!</v>
      </c>
      <c r="AB163" s="10">
        <v>6</v>
      </c>
      <c r="AC163" s="14" t="s">
        <v>36</v>
      </c>
      <c r="AD163" s="34" t="s">
        <v>16</v>
      </c>
      <c r="AE163" s="111">
        <f t="shared" si="15"/>
        <v>0</v>
      </c>
      <c r="AF163" s="111">
        <f t="shared" si="16"/>
        <v>0</v>
      </c>
      <c r="AG163" s="111">
        <f t="shared" si="17"/>
        <v>0</v>
      </c>
      <c r="AH163" s="111">
        <f t="shared" si="18"/>
        <v>0</v>
      </c>
      <c r="AI163" s="111">
        <f t="shared" si="19"/>
        <v>0</v>
      </c>
      <c r="AJ163" s="182">
        <f t="shared" si="20"/>
        <v>0</v>
      </c>
      <c r="AL163" s="10">
        <v>6</v>
      </c>
      <c r="AM163" s="14" t="s">
        <v>36</v>
      </c>
      <c r="AN163" s="34" t="s">
        <v>16</v>
      </c>
      <c r="AO163" s="111">
        <f t="shared" si="21"/>
        <v>0</v>
      </c>
      <c r="AP163" s="111">
        <f t="shared" si="22"/>
        <v>0</v>
      </c>
      <c r="AQ163" s="111">
        <f t="shared" si="23"/>
        <v>0</v>
      </c>
      <c r="AR163" s="111">
        <f t="shared" si="24"/>
        <v>0</v>
      </c>
      <c r="AS163" s="111">
        <f t="shared" si="25"/>
        <v>0</v>
      </c>
      <c r="AT163" s="182">
        <f t="shared" si="26"/>
        <v>0</v>
      </c>
      <c r="AV163" s="10">
        <v>6</v>
      </c>
      <c r="AW163" s="14" t="s">
        <v>36</v>
      </c>
      <c r="AX163" s="34" t="s">
        <v>16</v>
      </c>
      <c r="AY163" s="111">
        <f t="shared" si="27"/>
        <v>0</v>
      </c>
      <c r="AZ163" s="111">
        <f t="shared" si="28"/>
        <v>0</v>
      </c>
      <c r="BA163" s="111">
        <f t="shared" si="29"/>
        <v>0</v>
      </c>
      <c r="BB163" s="111">
        <f t="shared" si="30"/>
        <v>0</v>
      </c>
      <c r="BC163" s="111">
        <f t="shared" si="31"/>
        <v>0</v>
      </c>
      <c r="BD163" s="182">
        <f t="shared" si="32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9"/>
        <v>0</v>
      </c>
      <c r="U164" s="111">
        <f t="shared" si="10"/>
        <v>0</v>
      </c>
      <c r="V164" s="111">
        <f t="shared" si="11"/>
        <v>0</v>
      </c>
      <c r="W164" s="111">
        <f t="shared" si="12"/>
        <v>0</v>
      </c>
      <c r="X164" s="111">
        <f t="shared" si="13"/>
        <v>0</v>
      </c>
      <c r="Y164" s="182" t="e">
        <f t="shared" si="14"/>
        <v>#DIV/0!</v>
      </c>
      <c r="AB164" s="10">
        <v>7</v>
      </c>
      <c r="AC164" s="14" t="s">
        <v>33</v>
      </c>
      <c r="AD164" s="34" t="s">
        <v>16</v>
      </c>
      <c r="AE164" s="111">
        <f t="shared" si="15"/>
        <v>0</v>
      </c>
      <c r="AF164" s="111">
        <f t="shared" si="16"/>
        <v>0</v>
      </c>
      <c r="AG164" s="111">
        <f t="shared" si="17"/>
        <v>0</v>
      </c>
      <c r="AH164" s="111">
        <f t="shared" si="18"/>
        <v>0</v>
      </c>
      <c r="AI164" s="111">
        <f t="shared" si="19"/>
        <v>0</v>
      </c>
      <c r="AJ164" s="182">
        <f t="shared" si="20"/>
        <v>0</v>
      </c>
      <c r="AL164" s="10">
        <v>7</v>
      </c>
      <c r="AM164" s="14" t="s">
        <v>33</v>
      </c>
      <c r="AN164" s="34" t="s">
        <v>16</v>
      </c>
      <c r="AO164" s="111">
        <f t="shared" si="21"/>
        <v>0</v>
      </c>
      <c r="AP164" s="111">
        <f t="shared" si="22"/>
        <v>0</v>
      </c>
      <c r="AQ164" s="111">
        <f t="shared" si="23"/>
        <v>0</v>
      </c>
      <c r="AR164" s="111">
        <f t="shared" si="24"/>
        <v>0</v>
      </c>
      <c r="AS164" s="111">
        <f t="shared" si="25"/>
        <v>0</v>
      </c>
      <c r="AT164" s="182">
        <f t="shared" si="26"/>
        <v>0</v>
      </c>
      <c r="AV164" s="10">
        <v>7</v>
      </c>
      <c r="AW164" s="14" t="s">
        <v>33</v>
      </c>
      <c r="AX164" s="34" t="s">
        <v>16</v>
      </c>
      <c r="AY164" s="111">
        <f t="shared" si="27"/>
        <v>0</v>
      </c>
      <c r="AZ164" s="111">
        <f t="shared" si="28"/>
        <v>0</v>
      </c>
      <c r="BA164" s="111">
        <f t="shared" si="29"/>
        <v>0</v>
      </c>
      <c r="BB164" s="111">
        <f t="shared" si="30"/>
        <v>0</v>
      </c>
      <c r="BC164" s="111">
        <f t="shared" si="31"/>
        <v>0</v>
      </c>
      <c r="BD164" s="182">
        <f t="shared" si="32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9"/>
        <v>0</v>
      </c>
      <c r="U165" s="111">
        <f t="shared" si="10"/>
        <v>0</v>
      </c>
      <c r="V165" s="111">
        <f t="shared" si="11"/>
        <v>0</v>
      </c>
      <c r="W165" s="111">
        <f t="shared" si="12"/>
        <v>0</v>
      </c>
      <c r="X165" s="111">
        <f t="shared" si="13"/>
        <v>0</v>
      </c>
      <c r="Y165" s="182" t="e">
        <f t="shared" si="14"/>
        <v>#DIV/0!</v>
      </c>
      <c r="AB165" s="10">
        <v>8</v>
      </c>
      <c r="AC165" s="14" t="s">
        <v>34</v>
      </c>
      <c r="AD165" s="34" t="s">
        <v>16</v>
      </c>
      <c r="AE165" s="111">
        <f t="shared" si="15"/>
        <v>0</v>
      </c>
      <c r="AF165" s="111">
        <f t="shared" si="16"/>
        <v>0</v>
      </c>
      <c r="AG165" s="111">
        <f t="shared" si="17"/>
        <v>0</v>
      </c>
      <c r="AH165" s="111">
        <f t="shared" si="18"/>
        <v>0</v>
      </c>
      <c r="AI165" s="111">
        <f t="shared" si="19"/>
        <v>0</v>
      </c>
      <c r="AJ165" s="182">
        <f t="shared" si="20"/>
        <v>0</v>
      </c>
      <c r="AL165" s="10">
        <v>8</v>
      </c>
      <c r="AM165" s="14" t="s">
        <v>34</v>
      </c>
      <c r="AN165" s="34" t="s">
        <v>16</v>
      </c>
      <c r="AO165" s="111">
        <f t="shared" si="21"/>
        <v>0</v>
      </c>
      <c r="AP165" s="111">
        <f t="shared" si="22"/>
        <v>0</v>
      </c>
      <c r="AQ165" s="111">
        <f t="shared" si="23"/>
        <v>0</v>
      </c>
      <c r="AR165" s="111">
        <f t="shared" si="24"/>
        <v>0</v>
      </c>
      <c r="AS165" s="111">
        <f t="shared" si="25"/>
        <v>0</v>
      </c>
      <c r="AT165" s="182">
        <f t="shared" si="26"/>
        <v>0</v>
      </c>
      <c r="AV165" s="10">
        <v>8</v>
      </c>
      <c r="AW165" s="14" t="s">
        <v>34</v>
      </c>
      <c r="AX165" s="34" t="s">
        <v>16</v>
      </c>
      <c r="AY165" s="111">
        <f t="shared" si="27"/>
        <v>0</v>
      </c>
      <c r="AZ165" s="111">
        <f t="shared" si="28"/>
        <v>0</v>
      </c>
      <c r="BA165" s="111">
        <f t="shared" si="29"/>
        <v>0</v>
      </c>
      <c r="BB165" s="111">
        <f t="shared" si="30"/>
        <v>0</v>
      </c>
      <c r="BC165" s="111">
        <f t="shared" si="31"/>
        <v>0</v>
      </c>
      <c r="BD165" s="182">
        <f t="shared" si="32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9"/>
        <v>0</v>
      </c>
      <c r="U166" s="111">
        <f t="shared" si="10"/>
        <v>0</v>
      </c>
      <c r="V166" s="111">
        <f t="shared" si="11"/>
        <v>0</v>
      </c>
      <c r="W166" s="111">
        <f t="shared" si="12"/>
        <v>0</v>
      </c>
      <c r="X166" s="111">
        <f t="shared" si="13"/>
        <v>0</v>
      </c>
      <c r="Y166" s="182" t="e">
        <f t="shared" si="14"/>
        <v>#DIV/0!</v>
      </c>
      <c r="AB166" s="10">
        <v>9</v>
      </c>
      <c r="AC166" s="14" t="s">
        <v>23</v>
      </c>
      <c r="AD166" s="34" t="s">
        <v>16</v>
      </c>
      <c r="AE166" s="111">
        <f t="shared" si="15"/>
        <v>0</v>
      </c>
      <c r="AF166" s="111">
        <f t="shared" si="16"/>
        <v>0</v>
      </c>
      <c r="AG166" s="111">
        <f t="shared" si="17"/>
        <v>0</v>
      </c>
      <c r="AH166" s="111">
        <f t="shared" si="18"/>
        <v>0</v>
      </c>
      <c r="AI166" s="111">
        <f t="shared" si="19"/>
        <v>0</v>
      </c>
      <c r="AJ166" s="182">
        <f t="shared" si="20"/>
        <v>0</v>
      </c>
      <c r="AL166" s="10">
        <v>9</v>
      </c>
      <c r="AM166" s="14" t="s">
        <v>23</v>
      </c>
      <c r="AN166" s="34" t="s">
        <v>16</v>
      </c>
      <c r="AO166" s="111">
        <f t="shared" si="21"/>
        <v>0</v>
      </c>
      <c r="AP166" s="111">
        <f t="shared" si="22"/>
        <v>0</v>
      </c>
      <c r="AQ166" s="111">
        <f t="shared" si="23"/>
        <v>0</v>
      </c>
      <c r="AR166" s="111">
        <f t="shared" si="24"/>
        <v>0</v>
      </c>
      <c r="AS166" s="111">
        <f t="shared" si="25"/>
        <v>0</v>
      </c>
      <c r="AT166" s="182">
        <f t="shared" si="26"/>
        <v>0</v>
      </c>
      <c r="AV166" s="10">
        <v>9</v>
      </c>
      <c r="AW166" s="14" t="s">
        <v>23</v>
      </c>
      <c r="AX166" s="34" t="s">
        <v>16</v>
      </c>
      <c r="AY166" s="111">
        <f t="shared" si="27"/>
        <v>0</v>
      </c>
      <c r="AZ166" s="111">
        <f t="shared" si="28"/>
        <v>0</v>
      </c>
      <c r="BA166" s="111">
        <f t="shared" si="29"/>
        <v>0</v>
      </c>
      <c r="BB166" s="111">
        <f t="shared" si="30"/>
        <v>0</v>
      </c>
      <c r="BC166" s="111">
        <f t="shared" si="31"/>
        <v>0</v>
      </c>
      <c r="BD166" s="182">
        <f t="shared" si="32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9"/>
        <v>0</v>
      </c>
      <c r="U167" s="111">
        <f t="shared" si="10"/>
        <v>0</v>
      </c>
      <c r="V167" s="111">
        <f t="shared" si="11"/>
        <v>0</v>
      </c>
      <c r="W167" s="111">
        <f t="shared" si="12"/>
        <v>0</v>
      </c>
      <c r="X167" s="111">
        <f t="shared" si="13"/>
        <v>0</v>
      </c>
      <c r="Y167" s="182" t="e">
        <f t="shared" si="14"/>
        <v>#DIV/0!</v>
      </c>
      <c r="AB167" s="10">
        <v>10</v>
      </c>
      <c r="AC167" s="14" t="s">
        <v>24</v>
      </c>
      <c r="AD167" s="34" t="s">
        <v>16</v>
      </c>
      <c r="AE167" s="111">
        <f t="shared" si="15"/>
        <v>0</v>
      </c>
      <c r="AF167" s="111">
        <f t="shared" si="16"/>
        <v>0</v>
      </c>
      <c r="AG167" s="111">
        <f t="shared" si="17"/>
        <v>0</v>
      </c>
      <c r="AH167" s="111">
        <f t="shared" si="18"/>
        <v>0</v>
      </c>
      <c r="AI167" s="111">
        <f t="shared" si="19"/>
        <v>0</v>
      </c>
      <c r="AJ167" s="182">
        <f t="shared" si="20"/>
        <v>0</v>
      </c>
      <c r="AL167" s="10">
        <v>10</v>
      </c>
      <c r="AM167" s="14" t="s">
        <v>24</v>
      </c>
      <c r="AN167" s="34" t="s">
        <v>16</v>
      </c>
      <c r="AO167" s="111">
        <f t="shared" si="21"/>
        <v>0</v>
      </c>
      <c r="AP167" s="111">
        <f t="shared" si="22"/>
        <v>0</v>
      </c>
      <c r="AQ167" s="111">
        <f t="shared" si="23"/>
        <v>0</v>
      </c>
      <c r="AR167" s="111">
        <f t="shared" si="24"/>
        <v>0</v>
      </c>
      <c r="AS167" s="111">
        <f t="shared" si="25"/>
        <v>0</v>
      </c>
      <c r="AT167" s="182">
        <f t="shared" si="26"/>
        <v>0</v>
      </c>
      <c r="AV167" s="10">
        <v>10</v>
      </c>
      <c r="AW167" s="14" t="s">
        <v>24</v>
      </c>
      <c r="AX167" s="34" t="s">
        <v>16</v>
      </c>
      <c r="AY167" s="111">
        <f t="shared" si="27"/>
        <v>0</v>
      </c>
      <c r="AZ167" s="111">
        <f t="shared" si="28"/>
        <v>0</v>
      </c>
      <c r="BA167" s="111">
        <f t="shared" si="29"/>
        <v>0</v>
      </c>
      <c r="BB167" s="111">
        <f t="shared" si="30"/>
        <v>0</v>
      </c>
      <c r="BC167" s="111">
        <f t="shared" si="31"/>
        <v>0</v>
      </c>
      <c r="BD167" s="182">
        <f t="shared" si="32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9"/>
        <v>0</v>
      </c>
      <c r="U168" s="111">
        <f t="shared" si="10"/>
        <v>0</v>
      </c>
      <c r="V168" s="111">
        <f t="shared" si="11"/>
        <v>0</v>
      </c>
      <c r="W168" s="111">
        <f t="shared" si="12"/>
        <v>0</v>
      </c>
      <c r="X168" s="111">
        <f t="shared" si="13"/>
        <v>0</v>
      </c>
      <c r="Y168" s="182" t="e">
        <f t="shared" si="14"/>
        <v>#DIV/0!</v>
      </c>
      <c r="AB168" s="10">
        <v>11</v>
      </c>
      <c r="AC168" s="14" t="s">
        <v>25</v>
      </c>
      <c r="AD168" s="34" t="s">
        <v>16</v>
      </c>
      <c r="AE168" s="111">
        <f t="shared" si="15"/>
        <v>0</v>
      </c>
      <c r="AF168" s="111">
        <f t="shared" si="16"/>
        <v>0</v>
      </c>
      <c r="AG168" s="111">
        <f t="shared" si="17"/>
        <v>0</v>
      </c>
      <c r="AH168" s="111">
        <f t="shared" si="18"/>
        <v>0</v>
      </c>
      <c r="AI168" s="111">
        <f t="shared" si="19"/>
        <v>0</v>
      </c>
      <c r="AJ168" s="182">
        <f t="shared" si="20"/>
        <v>0</v>
      </c>
      <c r="AL168" s="10">
        <v>11</v>
      </c>
      <c r="AM168" s="14" t="s">
        <v>25</v>
      </c>
      <c r="AN168" s="34" t="s">
        <v>16</v>
      </c>
      <c r="AO168" s="111">
        <f t="shared" si="21"/>
        <v>0</v>
      </c>
      <c r="AP168" s="111">
        <f t="shared" si="22"/>
        <v>0</v>
      </c>
      <c r="AQ168" s="111">
        <f t="shared" si="23"/>
        <v>0</v>
      </c>
      <c r="AR168" s="111">
        <f t="shared" si="24"/>
        <v>0</v>
      </c>
      <c r="AS168" s="111">
        <f t="shared" si="25"/>
        <v>0</v>
      </c>
      <c r="AT168" s="182">
        <f t="shared" si="26"/>
        <v>0</v>
      </c>
      <c r="AV168" s="10">
        <v>11</v>
      </c>
      <c r="AW168" s="14" t="s">
        <v>25</v>
      </c>
      <c r="AX168" s="34" t="s">
        <v>16</v>
      </c>
      <c r="AY168" s="111">
        <f t="shared" si="27"/>
        <v>0</v>
      </c>
      <c r="AZ168" s="111">
        <f t="shared" si="28"/>
        <v>0</v>
      </c>
      <c r="BA168" s="111">
        <f t="shared" si="29"/>
        <v>0</v>
      </c>
      <c r="BB168" s="111">
        <f t="shared" si="30"/>
        <v>0</v>
      </c>
      <c r="BC168" s="111">
        <f t="shared" si="31"/>
        <v>0</v>
      </c>
      <c r="BD168" s="182">
        <f t="shared" si="32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9"/>
        <v>0</v>
      </c>
      <c r="U169" s="111">
        <f t="shared" si="10"/>
        <v>0</v>
      </c>
      <c r="V169" s="111">
        <f t="shared" si="11"/>
        <v>0</v>
      </c>
      <c r="W169" s="111">
        <f t="shared" si="12"/>
        <v>0</v>
      </c>
      <c r="X169" s="111">
        <f t="shared" si="13"/>
        <v>0</v>
      </c>
      <c r="Y169" s="182" t="e">
        <f t="shared" si="14"/>
        <v>#DIV/0!</v>
      </c>
      <c r="AB169" s="10">
        <v>12</v>
      </c>
      <c r="AC169" s="14" t="s">
        <v>26</v>
      </c>
      <c r="AD169" s="34" t="s">
        <v>16</v>
      </c>
      <c r="AE169" s="111">
        <f t="shared" si="15"/>
        <v>0</v>
      </c>
      <c r="AF169" s="111">
        <f t="shared" si="16"/>
        <v>0</v>
      </c>
      <c r="AG169" s="111">
        <f t="shared" si="17"/>
        <v>0</v>
      </c>
      <c r="AH169" s="111">
        <f t="shared" si="18"/>
        <v>0</v>
      </c>
      <c r="AI169" s="111">
        <f t="shared" si="19"/>
        <v>0</v>
      </c>
      <c r="AJ169" s="182">
        <f t="shared" si="20"/>
        <v>0</v>
      </c>
      <c r="AL169" s="10">
        <v>12</v>
      </c>
      <c r="AM169" s="14" t="s">
        <v>26</v>
      </c>
      <c r="AN169" s="34" t="s">
        <v>16</v>
      </c>
      <c r="AO169" s="111">
        <f t="shared" si="21"/>
        <v>0</v>
      </c>
      <c r="AP169" s="111">
        <f t="shared" si="22"/>
        <v>0</v>
      </c>
      <c r="AQ169" s="111">
        <f t="shared" si="23"/>
        <v>0</v>
      </c>
      <c r="AR169" s="111">
        <f t="shared" si="24"/>
        <v>0</v>
      </c>
      <c r="AS169" s="111">
        <f t="shared" si="25"/>
        <v>0</v>
      </c>
      <c r="AT169" s="182">
        <f t="shared" si="26"/>
        <v>0</v>
      </c>
      <c r="AV169" s="10">
        <v>12</v>
      </c>
      <c r="AW169" s="14" t="s">
        <v>26</v>
      </c>
      <c r="AX169" s="34" t="s">
        <v>16</v>
      </c>
      <c r="AY169" s="111">
        <f t="shared" si="27"/>
        <v>0</v>
      </c>
      <c r="AZ169" s="111">
        <f t="shared" si="28"/>
        <v>0</v>
      </c>
      <c r="BA169" s="111">
        <f t="shared" si="29"/>
        <v>0</v>
      </c>
      <c r="BB169" s="111">
        <f t="shared" si="30"/>
        <v>0</v>
      </c>
      <c r="BC169" s="111">
        <f t="shared" si="31"/>
        <v>0</v>
      </c>
      <c r="BD169" s="182">
        <f t="shared" si="32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9"/>
        <v>0</v>
      </c>
      <c r="U170" s="111">
        <f t="shared" si="10"/>
        <v>0</v>
      </c>
      <c r="V170" s="111">
        <f t="shared" si="11"/>
        <v>0</v>
      </c>
      <c r="W170" s="111">
        <f t="shared" si="12"/>
        <v>0</v>
      </c>
      <c r="X170" s="111">
        <f t="shared" si="13"/>
        <v>0</v>
      </c>
      <c r="Y170" s="182" t="e">
        <f t="shared" si="14"/>
        <v>#DIV/0!</v>
      </c>
      <c r="AB170" s="10">
        <v>13</v>
      </c>
      <c r="AC170" s="14" t="s">
        <v>27</v>
      </c>
      <c r="AD170" s="34" t="s">
        <v>16</v>
      </c>
      <c r="AE170" s="111">
        <f t="shared" si="15"/>
        <v>0</v>
      </c>
      <c r="AF170" s="111">
        <f t="shared" si="16"/>
        <v>0</v>
      </c>
      <c r="AG170" s="111">
        <f t="shared" si="17"/>
        <v>0</v>
      </c>
      <c r="AH170" s="111">
        <f t="shared" si="18"/>
        <v>0</v>
      </c>
      <c r="AI170" s="111">
        <f t="shared" si="19"/>
        <v>0</v>
      </c>
      <c r="AJ170" s="182">
        <f t="shared" si="20"/>
        <v>0</v>
      </c>
      <c r="AL170" s="10">
        <v>13</v>
      </c>
      <c r="AM170" s="14" t="s">
        <v>27</v>
      </c>
      <c r="AN170" s="34" t="s">
        <v>16</v>
      </c>
      <c r="AO170" s="111">
        <f t="shared" si="21"/>
        <v>0</v>
      </c>
      <c r="AP170" s="111">
        <f t="shared" si="22"/>
        <v>0</v>
      </c>
      <c r="AQ170" s="111">
        <f t="shared" si="23"/>
        <v>0</v>
      </c>
      <c r="AR170" s="111">
        <f t="shared" si="24"/>
        <v>0</v>
      </c>
      <c r="AS170" s="111">
        <f t="shared" si="25"/>
        <v>0</v>
      </c>
      <c r="AT170" s="182">
        <f t="shared" si="26"/>
        <v>0</v>
      </c>
      <c r="AV170" s="10">
        <v>13</v>
      </c>
      <c r="AW170" s="14" t="s">
        <v>27</v>
      </c>
      <c r="AX170" s="34" t="s">
        <v>16</v>
      </c>
      <c r="AY170" s="111">
        <f t="shared" si="27"/>
        <v>0</v>
      </c>
      <c r="AZ170" s="111">
        <f t="shared" si="28"/>
        <v>0</v>
      </c>
      <c r="BA170" s="111">
        <f t="shared" si="29"/>
        <v>0</v>
      </c>
      <c r="BB170" s="111">
        <f t="shared" si="30"/>
        <v>0</v>
      </c>
      <c r="BC170" s="111">
        <f t="shared" si="31"/>
        <v>0</v>
      </c>
      <c r="BD170" s="182">
        <f t="shared" si="32"/>
        <v>0</v>
      </c>
    </row>
    <row r="171" spans="2:56" ht="15.75" thickBot="1" x14ac:dyDescent="0.3">
      <c r="B171" s="354" t="s">
        <v>363</v>
      </c>
      <c r="C171" s="355"/>
      <c r="D171" s="355"/>
      <c r="E171" s="355"/>
      <c r="F171" s="355"/>
      <c r="G171" s="355"/>
      <c r="H171" s="355"/>
      <c r="I171" s="356"/>
      <c r="Q171" s="10">
        <v>14</v>
      </c>
      <c r="R171" s="14" t="s">
        <v>28</v>
      </c>
      <c r="S171" s="34" t="s">
        <v>16</v>
      </c>
      <c r="T171" s="111">
        <f t="shared" si="9"/>
        <v>0</v>
      </c>
      <c r="U171" s="111">
        <f t="shared" si="10"/>
        <v>0</v>
      </c>
      <c r="V171" s="111">
        <f t="shared" si="11"/>
        <v>0</v>
      </c>
      <c r="W171" s="111">
        <f t="shared" si="12"/>
        <v>0</v>
      </c>
      <c r="X171" s="111">
        <f t="shared" si="13"/>
        <v>0</v>
      </c>
      <c r="Y171" s="182" t="e">
        <f t="shared" si="14"/>
        <v>#DIV/0!</v>
      </c>
      <c r="AB171" s="10">
        <v>14</v>
      </c>
      <c r="AC171" s="14" t="s">
        <v>28</v>
      </c>
      <c r="AD171" s="34" t="s">
        <v>16</v>
      </c>
      <c r="AE171" s="111">
        <f t="shared" si="15"/>
        <v>0</v>
      </c>
      <c r="AF171" s="111">
        <f t="shared" si="16"/>
        <v>0</v>
      </c>
      <c r="AG171" s="111">
        <f t="shared" si="17"/>
        <v>0</v>
      </c>
      <c r="AH171" s="111">
        <f t="shared" si="18"/>
        <v>0</v>
      </c>
      <c r="AI171" s="111">
        <f t="shared" si="19"/>
        <v>0</v>
      </c>
      <c r="AJ171" s="182">
        <f t="shared" si="20"/>
        <v>0</v>
      </c>
      <c r="AL171" s="10">
        <v>14</v>
      </c>
      <c r="AM171" s="14" t="s">
        <v>28</v>
      </c>
      <c r="AN171" s="34" t="s">
        <v>16</v>
      </c>
      <c r="AO171" s="111">
        <f t="shared" si="21"/>
        <v>0</v>
      </c>
      <c r="AP171" s="111">
        <f t="shared" si="22"/>
        <v>0</v>
      </c>
      <c r="AQ171" s="111">
        <f t="shared" si="23"/>
        <v>0</v>
      </c>
      <c r="AR171" s="111">
        <f t="shared" si="24"/>
        <v>0</v>
      </c>
      <c r="AS171" s="111">
        <f t="shared" si="25"/>
        <v>0</v>
      </c>
      <c r="AT171" s="182">
        <f t="shared" si="26"/>
        <v>0</v>
      </c>
      <c r="AV171" s="10">
        <v>14</v>
      </c>
      <c r="AW171" s="14" t="s">
        <v>28</v>
      </c>
      <c r="AX171" s="34" t="s">
        <v>16</v>
      </c>
      <c r="AY171" s="111">
        <f t="shared" si="27"/>
        <v>0</v>
      </c>
      <c r="AZ171" s="111">
        <f t="shared" si="28"/>
        <v>0</v>
      </c>
      <c r="BA171" s="111">
        <f t="shared" si="29"/>
        <v>0</v>
      </c>
      <c r="BB171" s="111">
        <f t="shared" si="30"/>
        <v>0</v>
      </c>
      <c r="BC171" s="111">
        <f t="shared" si="31"/>
        <v>0</v>
      </c>
      <c r="BD171" s="182">
        <f t="shared" si="32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176.09216550024198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9"/>
        <v>0</v>
      </c>
      <c r="U172" s="111">
        <f t="shared" si="10"/>
        <v>0</v>
      </c>
      <c r="V172" s="111">
        <f t="shared" si="11"/>
        <v>0</v>
      </c>
      <c r="W172" s="111">
        <f t="shared" si="12"/>
        <v>0</v>
      </c>
      <c r="X172" s="111">
        <f t="shared" si="13"/>
        <v>0</v>
      </c>
      <c r="Y172" s="182" t="e">
        <f t="shared" si="14"/>
        <v>#DIV/0!</v>
      </c>
      <c r="AB172" s="10">
        <v>15</v>
      </c>
      <c r="AC172" s="14" t="s">
        <v>29</v>
      </c>
      <c r="AD172" s="34" t="s">
        <v>16</v>
      </c>
      <c r="AE172" s="111">
        <f t="shared" si="15"/>
        <v>0</v>
      </c>
      <c r="AF172" s="111">
        <f t="shared" si="16"/>
        <v>0</v>
      </c>
      <c r="AG172" s="111">
        <f t="shared" si="17"/>
        <v>0</v>
      </c>
      <c r="AH172" s="111">
        <f t="shared" si="18"/>
        <v>0</v>
      </c>
      <c r="AI172" s="111">
        <f t="shared" si="19"/>
        <v>0</v>
      </c>
      <c r="AJ172" s="182">
        <f t="shared" si="20"/>
        <v>0</v>
      </c>
      <c r="AL172" s="10">
        <v>15</v>
      </c>
      <c r="AM172" s="14" t="s">
        <v>29</v>
      </c>
      <c r="AN172" s="34" t="s">
        <v>16</v>
      </c>
      <c r="AO172" s="111">
        <f t="shared" si="21"/>
        <v>0</v>
      </c>
      <c r="AP172" s="111">
        <f t="shared" si="22"/>
        <v>0</v>
      </c>
      <c r="AQ172" s="111">
        <f t="shared" si="23"/>
        <v>0</v>
      </c>
      <c r="AR172" s="111">
        <f t="shared" si="24"/>
        <v>0</v>
      </c>
      <c r="AS172" s="111">
        <f t="shared" si="25"/>
        <v>0</v>
      </c>
      <c r="AT172" s="182">
        <f t="shared" si="26"/>
        <v>0</v>
      </c>
      <c r="AV172" s="10">
        <v>15</v>
      </c>
      <c r="AW172" s="14" t="s">
        <v>29</v>
      </c>
      <c r="AX172" s="34" t="s">
        <v>16</v>
      </c>
      <c r="AY172" s="111">
        <f t="shared" si="27"/>
        <v>0</v>
      </c>
      <c r="AZ172" s="111">
        <f t="shared" si="28"/>
        <v>0</v>
      </c>
      <c r="BA172" s="111">
        <f t="shared" si="29"/>
        <v>0</v>
      </c>
      <c r="BB172" s="111">
        <f t="shared" si="30"/>
        <v>0</v>
      </c>
      <c r="BC172" s="111">
        <f t="shared" si="31"/>
        <v>0</v>
      </c>
      <c r="BD172" s="182">
        <f t="shared" si="32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9"/>
        <v>0</v>
      </c>
      <c r="U173" s="111">
        <f t="shared" si="10"/>
        <v>0</v>
      </c>
      <c r="V173" s="111">
        <f t="shared" si="11"/>
        <v>0</v>
      </c>
      <c r="W173" s="111">
        <f t="shared" si="12"/>
        <v>0</v>
      </c>
      <c r="X173" s="111">
        <f t="shared" si="13"/>
        <v>0</v>
      </c>
      <c r="Y173" s="182" t="e">
        <f t="shared" si="14"/>
        <v>#DIV/0!</v>
      </c>
      <c r="AB173" s="10">
        <v>16</v>
      </c>
      <c r="AC173" s="14" t="s">
        <v>30</v>
      </c>
      <c r="AD173" s="34" t="s">
        <v>16</v>
      </c>
      <c r="AE173" s="111">
        <f t="shared" si="15"/>
        <v>0</v>
      </c>
      <c r="AF173" s="111">
        <f t="shared" si="16"/>
        <v>0</v>
      </c>
      <c r="AG173" s="111">
        <f t="shared" si="17"/>
        <v>0</v>
      </c>
      <c r="AH173" s="111">
        <f t="shared" si="18"/>
        <v>0</v>
      </c>
      <c r="AI173" s="111">
        <f t="shared" si="19"/>
        <v>0</v>
      </c>
      <c r="AJ173" s="182">
        <f t="shared" si="20"/>
        <v>0</v>
      </c>
      <c r="AL173" s="10">
        <v>16</v>
      </c>
      <c r="AM173" s="14" t="s">
        <v>30</v>
      </c>
      <c r="AN173" s="34" t="s">
        <v>16</v>
      </c>
      <c r="AO173" s="111">
        <f t="shared" si="21"/>
        <v>0</v>
      </c>
      <c r="AP173" s="111">
        <f t="shared" si="22"/>
        <v>0</v>
      </c>
      <c r="AQ173" s="111">
        <f t="shared" si="23"/>
        <v>0</v>
      </c>
      <c r="AR173" s="111">
        <f t="shared" si="24"/>
        <v>0</v>
      </c>
      <c r="AS173" s="111">
        <f t="shared" si="25"/>
        <v>0</v>
      </c>
      <c r="AT173" s="182">
        <f t="shared" si="26"/>
        <v>0</v>
      </c>
      <c r="AV173" s="10">
        <v>16</v>
      </c>
      <c r="AW173" s="14" t="s">
        <v>30</v>
      </c>
      <c r="AX173" s="34" t="s">
        <v>16</v>
      </c>
      <c r="AY173" s="111">
        <f t="shared" si="27"/>
        <v>0</v>
      </c>
      <c r="AZ173" s="111">
        <f t="shared" si="28"/>
        <v>0</v>
      </c>
      <c r="BA173" s="111">
        <f t="shared" si="29"/>
        <v>0</v>
      </c>
      <c r="BB173" s="111">
        <f t="shared" si="30"/>
        <v>0</v>
      </c>
      <c r="BC173" s="111">
        <f t="shared" si="31"/>
        <v>0</v>
      </c>
      <c r="BD173" s="182">
        <f t="shared" si="32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457.62864441120001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9"/>
        <v>0</v>
      </c>
      <c r="U174" s="111">
        <f t="shared" si="10"/>
        <v>0</v>
      </c>
      <c r="V174" s="111">
        <f t="shared" si="11"/>
        <v>0</v>
      </c>
      <c r="W174" s="111">
        <f t="shared" si="12"/>
        <v>0</v>
      </c>
      <c r="X174" s="111">
        <f t="shared" si="13"/>
        <v>0</v>
      </c>
      <c r="Y174" s="182" t="e">
        <f t="shared" si="14"/>
        <v>#DIV/0!</v>
      </c>
      <c r="AB174" s="10">
        <v>17</v>
      </c>
      <c r="AC174" s="14" t="s">
        <v>31</v>
      </c>
      <c r="AD174" s="34" t="s">
        <v>16</v>
      </c>
      <c r="AE174" s="111">
        <f t="shared" si="15"/>
        <v>0</v>
      </c>
      <c r="AF174" s="111">
        <f t="shared" si="16"/>
        <v>0</v>
      </c>
      <c r="AG174" s="111">
        <f t="shared" si="17"/>
        <v>0</v>
      </c>
      <c r="AH174" s="111">
        <f t="shared" si="18"/>
        <v>0</v>
      </c>
      <c r="AI174" s="111">
        <f t="shared" si="19"/>
        <v>0</v>
      </c>
      <c r="AJ174" s="182">
        <f t="shared" si="20"/>
        <v>0</v>
      </c>
      <c r="AL174" s="10">
        <v>17</v>
      </c>
      <c r="AM174" s="14" t="s">
        <v>31</v>
      </c>
      <c r="AN174" s="34" t="s">
        <v>16</v>
      </c>
      <c r="AO174" s="111">
        <f t="shared" si="21"/>
        <v>0</v>
      </c>
      <c r="AP174" s="111">
        <f t="shared" si="22"/>
        <v>0</v>
      </c>
      <c r="AQ174" s="111">
        <f t="shared" si="23"/>
        <v>0</v>
      </c>
      <c r="AR174" s="111">
        <f t="shared" si="24"/>
        <v>0</v>
      </c>
      <c r="AS174" s="111">
        <f t="shared" si="25"/>
        <v>0</v>
      </c>
      <c r="AT174" s="182">
        <f t="shared" si="26"/>
        <v>0</v>
      </c>
      <c r="AV174" s="10">
        <v>17</v>
      </c>
      <c r="AW174" s="14" t="s">
        <v>31</v>
      </c>
      <c r="AX174" s="34" t="s">
        <v>16</v>
      </c>
      <c r="AY174" s="111">
        <f t="shared" si="27"/>
        <v>0</v>
      </c>
      <c r="AZ174" s="111">
        <f t="shared" si="28"/>
        <v>0</v>
      </c>
      <c r="BA174" s="111">
        <f t="shared" si="29"/>
        <v>0</v>
      </c>
      <c r="BB174" s="111">
        <f t="shared" si="30"/>
        <v>0</v>
      </c>
      <c r="BC174" s="111">
        <f t="shared" si="31"/>
        <v>0</v>
      </c>
      <c r="BD174" s="182">
        <f t="shared" si="32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9"/>
        <v>0</v>
      </c>
      <c r="U175" s="111">
        <f t="shared" si="10"/>
        <v>0</v>
      </c>
      <c r="V175" s="111">
        <f t="shared" si="11"/>
        <v>0</v>
      </c>
      <c r="W175" s="111">
        <f t="shared" si="12"/>
        <v>0</v>
      </c>
      <c r="X175" s="111">
        <f t="shared" si="13"/>
        <v>0</v>
      </c>
      <c r="Y175" s="182" t="e">
        <f t="shared" si="14"/>
        <v>#DIV/0!</v>
      </c>
      <c r="AB175" s="10">
        <v>18</v>
      </c>
      <c r="AC175" s="14" t="s">
        <v>32</v>
      </c>
      <c r="AD175" s="34" t="s">
        <v>16</v>
      </c>
      <c r="AE175" s="111">
        <f t="shared" si="15"/>
        <v>0</v>
      </c>
      <c r="AF175" s="111">
        <f t="shared" si="16"/>
        <v>0</v>
      </c>
      <c r="AG175" s="111">
        <f t="shared" si="17"/>
        <v>0</v>
      </c>
      <c r="AH175" s="111">
        <f t="shared" si="18"/>
        <v>0</v>
      </c>
      <c r="AI175" s="111">
        <f t="shared" si="19"/>
        <v>0</v>
      </c>
      <c r="AJ175" s="182">
        <f t="shared" si="20"/>
        <v>0</v>
      </c>
      <c r="AL175" s="10">
        <v>18</v>
      </c>
      <c r="AM175" s="14" t="s">
        <v>32</v>
      </c>
      <c r="AN175" s="34" t="s">
        <v>16</v>
      </c>
      <c r="AO175" s="111">
        <f t="shared" si="21"/>
        <v>0</v>
      </c>
      <c r="AP175" s="111">
        <f t="shared" si="22"/>
        <v>0</v>
      </c>
      <c r="AQ175" s="111">
        <f t="shared" si="23"/>
        <v>0</v>
      </c>
      <c r="AR175" s="111">
        <f t="shared" si="24"/>
        <v>0</v>
      </c>
      <c r="AS175" s="111">
        <f t="shared" si="25"/>
        <v>0</v>
      </c>
      <c r="AT175" s="182">
        <f t="shared" si="26"/>
        <v>0</v>
      </c>
      <c r="AV175" s="10">
        <v>18</v>
      </c>
      <c r="AW175" s="14" t="s">
        <v>32</v>
      </c>
      <c r="AX175" s="34" t="s">
        <v>16</v>
      </c>
      <c r="AY175" s="111">
        <f t="shared" si="27"/>
        <v>0</v>
      </c>
      <c r="AZ175" s="111">
        <f t="shared" si="28"/>
        <v>0</v>
      </c>
      <c r="BA175" s="111">
        <f t="shared" si="29"/>
        <v>0</v>
      </c>
      <c r="BB175" s="111">
        <f t="shared" si="30"/>
        <v>0</v>
      </c>
      <c r="BC175" s="111">
        <f t="shared" si="31"/>
        <v>0</v>
      </c>
      <c r="BD175" s="182">
        <f t="shared" si="32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207.15267921119994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9"/>
        <v>0</v>
      </c>
      <c r="U176" s="111">
        <f t="shared" si="10"/>
        <v>0</v>
      </c>
      <c r="V176" s="111">
        <f t="shared" si="11"/>
        <v>0</v>
      </c>
      <c r="W176" s="111">
        <f t="shared" si="12"/>
        <v>0</v>
      </c>
      <c r="X176" s="111">
        <f t="shared" si="13"/>
        <v>0</v>
      </c>
      <c r="Y176" s="182" t="e">
        <f t="shared" si="14"/>
        <v>#DIV/0!</v>
      </c>
      <c r="AB176" s="10">
        <v>19</v>
      </c>
      <c r="AC176" s="14" t="s">
        <v>37</v>
      </c>
      <c r="AD176" s="34" t="s">
        <v>16</v>
      </c>
      <c r="AE176" s="111">
        <f t="shared" si="15"/>
        <v>0</v>
      </c>
      <c r="AF176" s="111">
        <f t="shared" si="16"/>
        <v>0</v>
      </c>
      <c r="AG176" s="111">
        <f t="shared" si="17"/>
        <v>0</v>
      </c>
      <c r="AH176" s="111">
        <f t="shared" si="18"/>
        <v>0</v>
      </c>
      <c r="AI176" s="111">
        <f t="shared" si="19"/>
        <v>0</v>
      </c>
      <c r="AJ176" s="182">
        <f t="shared" si="20"/>
        <v>0</v>
      </c>
      <c r="AL176" s="10">
        <v>19</v>
      </c>
      <c r="AM176" s="14" t="s">
        <v>37</v>
      </c>
      <c r="AN176" s="34" t="s">
        <v>16</v>
      </c>
      <c r="AO176" s="111">
        <f t="shared" si="21"/>
        <v>0</v>
      </c>
      <c r="AP176" s="111">
        <f t="shared" si="22"/>
        <v>0</v>
      </c>
      <c r="AQ176" s="111">
        <f t="shared" si="23"/>
        <v>0</v>
      </c>
      <c r="AR176" s="111">
        <f t="shared" si="24"/>
        <v>0</v>
      </c>
      <c r="AS176" s="111">
        <f t="shared" si="25"/>
        <v>0</v>
      </c>
      <c r="AT176" s="182">
        <f t="shared" si="26"/>
        <v>0</v>
      </c>
      <c r="AV176" s="10">
        <v>19</v>
      </c>
      <c r="AW176" s="14" t="s">
        <v>37</v>
      </c>
      <c r="AX176" s="34" t="s">
        <v>16</v>
      </c>
      <c r="AY176" s="111">
        <f t="shared" si="27"/>
        <v>0</v>
      </c>
      <c r="AZ176" s="111">
        <f t="shared" si="28"/>
        <v>0</v>
      </c>
      <c r="BA176" s="111">
        <f t="shared" si="29"/>
        <v>0</v>
      </c>
      <c r="BB176" s="111">
        <f t="shared" si="30"/>
        <v>0</v>
      </c>
      <c r="BC176" s="111">
        <f t="shared" si="31"/>
        <v>0</v>
      </c>
      <c r="BD176" s="182">
        <f t="shared" si="32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9"/>
        <v>0</v>
      </c>
      <c r="U177" s="111">
        <f t="shared" si="10"/>
        <v>0</v>
      </c>
      <c r="V177" s="111">
        <f t="shared" si="11"/>
        <v>0</v>
      </c>
      <c r="W177" s="111">
        <f t="shared" si="12"/>
        <v>0</v>
      </c>
      <c r="X177" s="111">
        <f t="shared" si="13"/>
        <v>0</v>
      </c>
      <c r="Y177" s="182" t="e">
        <f t="shared" si="14"/>
        <v>#DIV/0!</v>
      </c>
      <c r="AB177" s="10">
        <v>20</v>
      </c>
      <c r="AC177" s="14" t="s">
        <v>38</v>
      </c>
      <c r="AD177" s="34" t="s">
        <v>16</v>
      </c>
      <c r="AE177" s="111">
        <f t="shared" si="15"/>
        <v>0</v>
      </c>
      <c r="AF177" s="111">
        <f t="shared" si="16"/>
        <v>0</v>
      </c>
      <c r="AG177" s="111">
        <f t="shared" si="17"/>
        <v>0</v>
      </c>
      <c r="AH177" s="111">
        <f t="shared" si="18"/>
        <v>0</v>
      </c>
      <c r="AI177" s="111">
        <f t="shared" si="19"/>
        <v>0</v>
      </c>
      <c r="AJ177" s="182">
        <f t="shared" si="20"/>
        <v>0</v>
      </c>
      <c r="AL177" s="10">
        <v>20</v>
      </c>
      <c r="AM177" s="14" t="s">
        <v>38</v>
      </c>
      <c r="AN177" s="34" t="s">
        <v>16</v>
      </c>
      <c r="AO177" s="111">
        <f t="shared" si="21"/>
        <v>0</v>
      </c>
      <c r="AP177" s="111">
        <f t="shared" si="22"/>
        <v>0</v>
      </c>
      <c r="AQ177" s="111">
        <f t="shared" si="23"/>
        <v>0</v>
      </c>
      <c r="AR177" s="111">
        <f t="shared" si="24"/>
        <v>0</v>
      </c>
      <c r="AS177" s="111">
        <f t="shared" si="25"/>
        <v>0</v>
      </c>
      <c r="AT177" s="182">
        <f t="shared" si="26"/>
        <v>0</v>
      </c>
      <c r="AV177" s="10">
        <v>20</v>
      </c>
      <c r="AW177" s="14" t="s">
        <v>38</v>
      </c>
      <c r="AX177" s="34" t="s">
        <v>16</v>
      </c>
      <c r="AY177" s="111">
        <f t="shared" si="27"/>
        <v>0</v>
      </c>
      <c r="AZ177" s="111">
        <f t="shared" si="28"/>
        <v>0</v>
      </c>
      <c r="BA177" s="111">
        <f t="shared" si="29"/>
        <v>0</v>
      </c>
      <c r="BB177" s="111">
        <f t="shared" si="30"/>
        <v>0</v>
      </c>
      <c r="BC177" s="111">
        <f t="shared" si="31"/>
        <v>0</v>
      </c>
      <c r="BD177" s="182">
        <f t="shared" si="32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29.202019200000006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9"/>
        <v>0</v>
      </c>
      <c r="U178" s="111">
        <f t="shared" si="10"/>
        <v>0</v>
      </c>
      <c r="V178" s="111">
        <f t="shared" si="11"/>
        <v>0</v>
      </c>
      <c r="W178" s="111">
        <f t="shared" si="12"/>
        <v>0</v>
      </c>
      <c r="X178" s="111">
        <f t="shared" si="13"/>
        <v>0</v>
      </c>
      <c r="Y178" s="182" t="e">
        <f t="shared" si="14"/>
        <v>#DIV/0!</v>
      </c>
      <c r="AB178" s="10">
        <v>21</v>
      </c>
      <c r="AC178" s="14" t="s">
        <v>39</v>
      </c>
      <c r="AD178" s="34" t="s">
        <v>16</v>
      </c>
      <c r="AE178" s="111">
        <f t="shared" si="15"/>
        <v>0</v>
      </c>
      <c r="AF178" s="111">
        <f t="shared" si="16"/>
        <v>0</v>
      </c>
      <c r="AG178" s="111">
        <f t="shared" si="17"/>
        <v>0</v>
      </c>
      <c r="AH178" s="111">
        <f t="shared" si="18"/>
        <v>0</v>
      </c>
      <c r="AI178" s="111">
        <f t="shared" si="19"/>
        <v>0</v>
      </c>
      <c r="AJ178" s="182">
        <f t="shared" si="20"/>
        <v>0</v>
      </c>
      <c r="AL178" s="10">
        <v>21</v>
      </c>
      <c r="AM178" s="14" t="s">
        <v>39</v>
      </c>
      <c r="AN178" s="34" t="s">
        <v>16</v>
      </c>
      <c r="AO178" s="111">
        <f t="shared" si="21"/>
        <v>0</v>
      </c>
      <c r="AP178" s="111">
        <f t="shared" si="22"/>
        <v>0</v>
      </c>
      <c r="AQ178" s="111">
        <f t="shared" si="23"/>
        <v>0</v>
      </c>
      <c r="AR178" s="111">
        <f t="shared" si="24"/>
        <v>0</v>
      </c>
      <c r="AS178" s="111">
        <f t="shared" si="25"/>
        <v>0</v>
      </c>
      <c r="AT178" s="182">
        <f t="shared" si="26"/>
        <v>0</v>
      </c>
      <c r="AV178" s="10">
        <v>21</v>
      </c>
      <c r="AW178" s="14" t="s">
        <v>39</v>
      </c>
      <c r="AX178" s="34" t="s">
        <v>16</v>
      </c>
      <c r="AY178" s="111">
        <f t="shared" si="27"/>
        <v>0</v>
      </c>
      <c r="AZ178" s="111">
        <f t="shared" si="28"/>
        <v>0</v>
      </c>
      <c r="BA178" s="111">
        <f t="shared" si="29"/>
        <v>0</v>
      </c>
      <c r="BB178" s="111">
        <f t="shared" si="30"/>
        <v>0</v>
      </c>
      <c r="BC178" s="111">
        <f t="shared" si="31"/>
        <v>0</v>
      </c>
      <c r="BD178" s="182">
        <f t="shared" si="32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9"/>
        <v>0</v>
      </c>
      <c r="U179" s="106">
        <f t="shared" si="10"/>
        <v>0</v>
      </c>
      <c r="V179" s="106">
        <f t="shared" si="11"/>
        <v>0</v>
      </c>
      <c r="W179" s="106">
        <f t="shared" si="12"/>
        <v>0</v>
      </c>
      <c r="X179" s="106">
        <f t="shared" si="13"/>
        <v>0</v>
      </c>
      <c r="Y179" s="183" t="e">
        <f t="shared" si="14"/>
        <v>#DIV/0!</v>
      </c>
      <c r="AB179" s="13">
        <v>22</v>
      </c>
      <c r="AC179" s="15" t="s">
        <v>40</v>
      </c>
      <c r="AD179" s="36" t="s">
        <v>16</v>
      </c>
      <c r="AE179" s="106">
        <f t="shared" si="15"/>
        <v>0</v>
      </c>
      <c r="AF179" s="106">
        <f t="shared" si="16"/>
        <v>0</v>
      </c>
      <c r="AG179" s="106">
        <f t="shared" si="17"/>
        <v>0</v>
      </c>
      <c r="AH179" s="106">
        <f t="shared" si="18"/>
        <v>0</v>
      </c>
      <c r="AI179" s="106">
        <f t="shared" si="19"/>
        <v>0</v>
      </c>
      <c r="AJ179" s="183">
        <f t="shared" si="20"/>
        <v>0</v>
      </c>
      <c r="AL179" s="13">
        <v>22</v>
      </c>
      <c r="AM179" s="15" t="s">
        <v>40</v>
      </c>
      <c r="AN179" s="36" t="s">
        <v>16</v>
      </c>
      <c r="AO179" s="106">
        <f t="shared" si="21"/>
        <v>0</v>
      </c>
      <c r="AP179" s="106">
        <f t="shared" si="22"/>
        <v>0</v>
      </c>
      <c r="AQ179" s="106">
        <f t="shared" si="23"/>
        <v>0</v>
      </c>
      <c r="AR179" s="106">
        <f t="shared" si="24"/>
        <v>0</v>
      </c>
      <c r="AS179" s="106">
        <f t="shared" si="25"/>
        <v>0</v>
      </c>
      <c r="AT179" s="183">
        <f t="shared" si="26"/>
        <v>0</v>
      </c>
      <c r="AV179" s="13">
        <v>22</v>
      </c>
      <c r="AW179" s="15" t="s">
        <v>40</v>
      </c>
      <c r="AX179" s="36" t="s">
        <v>16</v>
      </c>
      <c r="AY179" s="106">
        <f t="shared" si="27"/>
        <v>0</v>
      </c>
      <c r="AZ179" s="106">
        <f t="shared" si="28"/>
        <v>0</v>
      </c>
      <c r="BA179" s="106">
        <f t="shared" si="29"/>
        <v>0</v>
      </c>
      <c r="BB179" s="106">
        <f t="shared" si="30"/>
        <v>0</v>
      </c>
      <c r="BC179" s="106">
        <f t="shared" si="31"/>
        <v>0</v>
      </c>
      <c r="BD179" s="183">
        <f t="shared" si="32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81.886838400000002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411.04369258491022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3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4">IF($E39&gt;=0,$E39/1000+$X$36,$E39/1000-$X$36)</f>
        <v>0</v>
      </c>
      <c r="U185" s="111">
        <f t="shared" ref="U185:U205" si="35">$F39/1000+$X$31/1000</f>
        <v>0</v>
      </c>
      <c r="V185" s="111">
        <f t="shared" ref="V185:V205" si="36">IF($G39&gt;=0,$G39/1000+$X$39,$G39/1000-$X$39)</f>
        <v>0</v>
      </c>
      <c r="W185" s="111">
        <f t="shared" ref="W185:W205" si="37">IF(($H39/1000)-($G39/1000)*$S$24&gt;=0,($H39/1000)-($G39/1000)*$S$24+$X$39,($H39/1000)-($G39/1000)*$S$24-$X$39)</f>
        <v>0</v>
      </c>
      <c r="X185" s="111">
        <f t="shared" ref="X185:X205" si="38">IF(($I39/1000)-($E39/1000)*$S$24&gt;=0,($I39/1000)-($E39/1000)*$S$24+$X$38,($I39/1000)-($E39/1000)*$S$24-$X$38)</f>
        <v>0</v>
      </c>
      <c r="Y185" s="182" t="e">
        <f t="shared" si="33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9">IF($E39&gt;=0,$E39/1000+$AI$36,$E39/1000-$AI$36)</f>
        <v>0</v>
      </c>
      <c r="AF185" s="111">
        <f t="shared" ref="AF185:AF205" si="40">$F39/1000+$AI$31/1000</f>
        <v>0</v>
      </c>
      <c r="AG185" s="111">
        <f t="shared" ref="AG185:AG205" si="41">IF($G39&gt;=0,$G39/1000+$AI$39,$G39/1000-$AI$39)</f>
        <v>0</v>
      </c>
      <c r="AH185" s="111">
        <f t="shared" ref="AH185:AH205" si="42">IF(($H39/1000)-($G39/1000)*$AD$24&gt;=0,($H39/1000)-($G39/1000)*$AD$24+$AI$39,($H39/1000)-($G39/1000)*$AD$24-$AI$39)</f>
        <v>0</v>
      </c>
      <c r="AI185" s="111">
        <f t="shared" ref="AI185:AI205" si="43">IF(($I39/1000)-($E39/1000)*$AD$24&gt;=0,($I39/1000)-($E39/1000)*$AD$24+$AI$38,($I39/1000)-($E39/1000)*$AD$24-$AI$38)</f>
        <v>0</v>
      </c>
      <c r="AJ185" s="182">
        <f t="shared" ref="AJ185:AJ205" si="44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5">IF($E39&gt;=0,$E39/1000+$AS$36,$E39/1000-$AS$36)</f>
        <v>0</v>
      </c>
      <c r="AP185" s="111">
        <f t="shared" ref="AP185:AP205" si="46">$F39/1000+$AS$31/1000</f>
        <v>0</v>
      </c>
      <c r="AQ185" s="111">
        <f t="shared" ref="AQ185:AQ205" si="47">IF($G39&gt;=0,$G39/1000+$AS$39,$G39/1000-$AS$39)</f>
        <v>0</v>
      </c>
      <c r="AR185" s="111">
        <f t="shared" ref="AR185:AR205" si="48">IF(($H39/1000)-($G39/1000)*$AN$24&gt;=0,($H39/1000)-($G39/1000)*$AN$24+$AS$39,($H39/1000)-($G39/1000)*$AN$24-$AS$39)</f>
        <v>0</v>
      </c>
      <c r="AS185" s="111">
        <f t="shared" ref="AS185:AS205" si="49">IF(($I39/1000)-($E39/1000)*$AN$24&gt;=0,($I39/1000)-($E39/1000)*$AN$24+$AS$38,($I39/1000)-($E39/1000)*$AN$24-$AS$38)</f>
        <v>0</v>
      </c>
      <c r="AT185" s="182">
        <f t="shared" ref="AT185:AT205" si="50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1">IF($E39&gt;=0,$E39/1000+$BC$36,$E39/1000-$BC$36)</f>
        <v>0</v>
      </c>
      <c r="AZ185" s="111">
        <f t="shared" ref="AZ185:AZ205" si="52">$F39/1000+$BC$31/1000</f>
        <v>0</v>
      </c>
      <c r="BA185" s="111">
        <f t="shared" ref="BA185:BA205" si="53">IF($G39&gt;=0,$G39/1000+$BC$39,$G39/1000-$BC$39)</f>
        <v>0</v>
      </c>
      <c r="BB185" s="111">
        <f t="shared" ref="BB185:BB205" si="54">IF(($H39/1000)-($G39/1000)*$AX$24&gt;=0,($H39/1000)-($G39/1000)*$AX$24+$BC$39,($H39/1000)-($G39/1000)*$AX$24-$BC$39)</f>
        <v>0</v>
      </c>
      <c r="BC185" s="111">
        <f t="shared" ref="BC185:BC205" si="55">IF(($I39/1000)-($E39/1000)*$AX$24&gt;=0,($I39/1000)-($E39/1000)*$AX$24+$BC$38,($I39/1000)-($E39/1000)*$AX$24-$BC$38)</f>
        <v>0</v>
      </c>
      <c r="BD185" s="182">
        <f t="shared" ref="BD185:BD205" si="56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4"/>
        <v>0</v>
      </c>
      <c r="U186" s="111">
        <f t="shared" si="35"/>
        <v>0</v>
      </c>
      <c r="V186" s="111">
        <f t="shared" si="36"/>
        <v>0</v>
      </c>
      <c r="W186" s="111">
        <f t="shared" si="37"/>
        <v>0</v>
      </c>
      <c r="X186" s="111">
        <f t="shared" si="38"/>
        <v>0</v>
      </c>
      <c r="Y186" s="182" t="e">
        <f t="shared" si="33"/>
        <v>#DIV/0!</v>
      </c>
      <c r="AB186" s="10">
        <v>3</v>
      </c>
      <c r="AC186" s="14" t="s">
        <v>21</v>
      </c>
      <c r="AD186" s="34" t="s">
        <v>16</v>
      </c>
      <c r="AE186" s="111">
        <f t="shared" si="39"/>
        <v>0</v>
      </c>
      <c r="AF186" s="111">
        <f t="shared" si="40"/>
        <v>0</v>
      </c>
      <c r="AG186" s="111">
        <f t="shared" si="41"/>
        <v>0</v>
      </c>
      <c r="AH186" s="111">
        <f t="shared" si="42"/>
        <v>0</v>
      </c>
      <c r="AI186" s="111">
        <f t="shared" si="43"/>
        <v>0</v>
      </c>
      <c r="AJ186" s="182">
        <f t="shared" si="44"/>
        <v>0</v>
      </c>
      <c r="AL186" s="10">
        <v>3</v>
      </c>
      <c r="AM186" s="14" t="s">
        <v>21</v>
      </c>
      <c r="AN186" s="34" t="s">
        <v>16</v>
      </c>
      <c r="AO186" s="111">
        <f t="shared" si="45"/>
        <v>0</v>
      </c>
      <c r="AP186" s="111">
        <f t="shared" si="46"/>
        <v>0</v>
      </c>
      <c r="AQ186" s="111">
        <f t="shared" si="47"/>
        <v>0</v>
      </c>
      <c r="AR186" s="111">
        <f t="shared" si="48"/>
        <v>0</v>
      </c>
      <c r="AS186" s="111">
        <f t="shared" si="49"/>
        <v>0</v>
      </c>
      <c r="AT186" s="182">
        <f t="shared" si="50"/>
        <v>0</v>
      </c>
      <c r="AV186" s="10">
        <v>3</v>
      </c>
      <c r="AW186" s="14" t="s">
        <v>21</v>
      </c>
      <c r="AX186" s="34" t="s">
        <v>16</v>
      </c>
      <c r="AY186" s="111">
        <f t="shared" si="51"/>
        <v>0</v>
      </c>
      <c r="AZ186" s="111">
        <f t="shared" si="52"/>
        <v>0</v>
      </c>
      <c r="BA186" s="111">
        <f t="shared" si="53"/>
        <v>0</v>
      </c>
      <c r="BB186" s="111">
        <f t="shared" si="54"/>
        <v>0</v>
      </c>
      <c r="BC186" s="111">
        <f t="shared" si="55"/>
        <v>0</v>
      </c>
      <c r="BD186" s="182">
        <f t="shared" si="56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4"/>
        <v>0</v>
      </c>
      <c r="U187" s="111">
        <f t="shared" si="35"/>
        <v>0</v>
      </c>
      <c r="V187" s="111">
        <f t="shared" si="36"/>
        <v>0</v>
      </c>
      <c r="W187" s="111">
        <f t="shared" si="37"/>
        <v>0</v>
      </c>
      <c r="X187" s="111">
        <f t="shared" si="38"/>
        <v>0</v>
      </c>
      <c r="Y187" s="182" t="e">
        <f t="shared" si="33"/>
        <v>#DIV/0!</v>
      </c>
      <c r="AB187" s="10">
        <v>4</v>
      </c>
      <c r="AC187" s="14" t="s">
        <v>22</v>
      </c>
      <c r="AD187" s="34" t="s">
        <v>16</v>
      </c>
      <c r="AE187" s="111">
        <f t="shared" si="39"/>
        <v>0</v>
      </c>
      <c r="AF187" s="111">
        <f t="shared" si="40"/>
        <v>0</v>
      </c>
      <c r="AG187" s="111">
        <f t="shared" si="41"/>
        <v>0</v>
      </c>
      <c r="AH187" s="111">
        <f t="shared" si="42"/>
        <v>0</v>
      </c>
      <c r="AI187" s="111">
        <f t="shared" si="43"/>
        <v>0</v>
      </c>
      <c r="AJ187" s="182">
        <f t="shared" si="44"/>
        <v>0</v>
      </c>
      <c r="AL187" s="10">
        <v>4</v>
      </c>
      <c r="AM187" s="14" t="s">
        <v>22</v>
      </c>
      <c r="AN187" s="34" t="s">
        <v>16</v>
      </c>
      <c r="AO187" s="111">
        <f t="shared" si="45"/>
        <v>0</v>
      </c>
      <c r="AP187" s="111">
        <f t="shared" si="46"/>
        <v>0</v>
      </c>
      <c r="AQ187" s="111">
        <f t="shared" si="47"/>
        <v>0</v>
      </c>
      <c r="AR187" s="111">
        <f t="shared" si="48"/>
        <v>0</v>
      </c>
      <c r="AS187" s="111">
        <f t="shared" si="49"/>
        <v>0</v>
      </c>
      <c r="AT187" s="182">
        <f t="shared" si="50"/>
        <v>0</v>
      </c>
      <c r="AV187" s="10">
        <v>4</v>
      </c>
      <c r="AW187" s="14" t="s">
        <v>22</v>
      </c>
      <c r="AX187" s="34" t="s">
        <v>16</v>
      </c>
      <c r="AY187" s="111">
        <f t="shared" si="51"/>
        <v>0</v>
      </c>
      <c r="AZ187" s="111">
        <f t="shared" si="52"/>
        <v>0</v>
      </c>
      <c r="BA187" s="111">
        <f t="shared" si="53"/>
        <v>0</v>
      </c>
      <c r="BB187" s="111">
        <f t="shared" si="54"/>
        <v>0</v>
      </c>
      <c r="BC187" s="111">
        <f t="shared" si="55"/>
        <v>0</v>
      </c>
      <c r="BD187" s="182">
        <f t="shared" si="56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4"/>
        <v>0</v>
      </c>
      <c r="U188" s="111">
        <f t="shared" si="35"/>
        <v>0</v>
      </c>
      <c r="V188" s="111">
        <f t="shared" si="36"/>
        <v>0</v>
      </c>
      <c r="W188" s="111">
        <f t="shared" si="37"/>
        <v>0</v>
      </c>
      <c r="X188" s="111">
        <f t="shared" si="38"/>
        <v>0</v>
      </c>
      <c r="Y188" s="182" t="e">
        <f t="shared" si="33"/>
        <v>#DIV/0!</v>
      </c>
      <c r="AB188" s="10">
        <v>5</v>
      </c>
      <c r="AC188" s="14" t="s">
        <v>35</v>
      </c>
      <c r="AD188" s="34" t="s">
        <v>16</v>
      </c>
      <c r="AE188" s="111">
        <f t="shared" si="39"/>
        <v>0</v>
      </c>
      <c r="AF188" s="111">
        <f t="shared" si="40"/>
        <v>0</v>
      </c>
      <c r="AG188" s="111">
        <f t="shared" si="41"/>
        <v>0</v>
      </c>
      <c r="AH188" s="111">
        <f t="shared" si="42"/>
        <v>0</v>
      </c>
      <c r="AI188" s="111">
        <f t="shared" si="43"/>
        <v>0</v>
      </c>
      <c r="AJ188" s="182">
        <f t="shared" si="44"/>
        <v>0</v>
      </c>
      <c r="AL188" s="10">
        <v>5</v>
      </c>
      <c r="AM188" s="14" t="s">
        <v>35</v>
      </c>
      <c r="AN188" s="34" t="s">
        <v>16</v>
      </c>
      <c r="AO188" s="111">
        <f t="shared" si="45"/>
        <v>0</v>
      </c>
      <c r="AP188" s="111">
        <f t="shared" si="46"/>
        <v>0</v>
      </c>
      <c r="AQ188" s="111">
        <f t="shared" si="47"/>
        <v>0</v>
      </c>
      <c r="AR188" s="111">
        <f t="shared" si="48"/>
        <v>0</v>
      </c>
      <c r="AS188" s="111">
        <f t="shared" si="49"/>
        <v>0</v>
      </c>
      <c r="AT188" s="182">
        <f t="shared" si="50"/>
        <v>0</v>
      </c>
      <c r="AV188" s="10">
        <v>5</v>
      </c>
      <c r="AW188" s="14" t="s">
        <v>35</v>
      </c>
      <c r="AX188" s="34" t="s">
        <v>16</v>
      </c>
      <c r="AY188" s="111">
        <f t="shared" si="51"/>
        <v>0</v>
      </c>
      <c r="AZ188" s="111">
        <f t="shared" si="52"/>
        <v>0</v>
      </c>
      <c r="BA188" s="111">
        <f t="shared" si="53"/>
        <v>0</v>
      </c>
      <c r="BB188" s="111">
        <f t="shared" si="54"/>
        <v>0</v>
      </c>
      <c r="BC188" s="111">
        <f t="shared" si="55"/>
        <v>0</v>
      </c>
      <c r="BD188" s="182">
        <f t="shared" si="56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4"/>
        <v>0</v>
      </c>
      <c r="U189" s="111">
        <f t="shared" si="35"/>
        <v>0</v>
      </c>
      <c r="V189" s="111">
        <f t="shared" si="36"/>
        <v>0</v>
      </c>
      <c r="W189" s="111">
        <f t="shared" si="37"/>
        <v>0</v>
      </c>
      <c r="X189" s="111">
        <f t="shared" si="38"/>
        <v>0</v>
      </c>
      <c r="Y189" s="182" t="e">
        <f t="shared" si="33"/>
        <v>#DIV/0!</v>
      </c>
      <c r="AB189" s="10">
        <v>6</v>
      </c>
      <c r="AC189" s="14" t="s">
        <v>36</v>
      </c>
      <c r="AD189" s="34" t="s">
        <v>16</v>
      </c>
      <c r="AE189" s="111">
        <f t="shared" si="39"/>
        <v>0</v>
      </c>
      <c r="AF189" s="111">
        <f t="shared" si="40"/>
        <v>0</v>
      </c>
      <c r="AG189" s="111">
        <f t="shared" si="41"/>
        <v>0</v>
      </c>
      <c r="AH189" s="111">
        <f t="shared" si="42"/>
        <v>0</v>
      </c>
      <c r="AI189" s="111">
        <f t="shared" si="43"/>
        <v>0</v>
      </c>
      <c r="AJ189" s="182">
        <f t="shared" si="44"/>
        <v>0</v>
      </c>
      <c r="AL189" s="10">
        <v>6</v>
      </c>
      <c r="AM189" s="14" t="s">
        <v>36</v>
      </c>
      <c r="AN189" s="34" t="s">
        <v>16</v>
      </c>
      <c r="AO189" s="111">
        <f t="shared" si="45"/>
        <v>0</v>
      </c>
      <c r="AP189" s="111">
        <f t="shared" si="46"/>
        <v>0</v>
      </c>
      <c r="AQ189" s="111">
        <f t="shared" si="47"/>
        <v>0</v>
      </c>
      <c r="AR189" s="111">
        <f t="shared" si="48"/>
        <v>0</v>
      </c>
      <c r="AS189" s="111">
        <f t="shared" si="49"/>
        <v>0</v>
      </c>
      <c r="AT189" s="182">
        <f t="shared" si="50"/>
        <v>0</v>
      </c>
      <c r="AV189" s="10">
        <v>6</v>
      </c>
      <c r="AW189" s="14" t="s">
        <v>36</v>
      </c>
      <c r="AX189" s="34" t="s">
        <v>16</v>
      </c>
      <c r="AY189" s="111">
        <f t="shared" si="51"/>
        <v>0</v>
      </c>
      <c r="AZ189" s="111">
        <f t="shared" si="52"/>
        <v>0</v>
      </c>
      <c r="BA189" s="111">
        <f t="shared" si="53"/>
        <v>0</v>
      </c>
      <c r="BB189" s="111">
        <f t="shared" si="54"/>
        <v>0</v>
      </c>
      <c r="BC189" s="111">
        <f t="shared" si="55"/>
        <v>0</v>
      </c>
      <c r="BD189" s="182">
        <f t="shared" si="56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4"/>
        <v>0</v>
      </c>
      <c r="U190" s="111">
        <f t="shared" si="35"/>
        <v>0</v>
      </c>
      <c r="V190" s="111">
        <f t="shared" si="36"/>
        <v>0</v>
      </c>
      <c r="W190" s="111">
        <f t="shared" si="37"/>
        <v>0</v>
      </c>
      <c r="X190" s="111">
        <f t="shared" si="38"/>
        <v>0</v>
      </c>
      <c r="Y190" s="182" t="e">
        <f t="shared" si="33"/>
        <v>#DIV/0!</v>
      </c>
      <c r="AB190" s="10">
        <v>7</v>
      </c>
      <c r="AC190" s="14" t="s">
        <v>33</v>
      </c>
      <c r="AD190" s="34" t="s">
        <v>16</v>
      </c>
      <c r="AE190" s="111">
        <f t="shared" si="39"/>
        <v>0</v>
      </c>
      <c r="AF190" s="111">
        <f t="shared" si="40"/>
        <v>0</v>
      </c>
      <c r="AG190" s="111">
        <f t="shared" si="41"/>
        <v>0</v>
      </c>
      <c r="AH190" s="111">
        <f t="shared" si="42"/>
        <v>0</v>
      </c>
      <c r="AI190" s="111">
        <f t="shared" si="43"/>
        <v>0</v>
      </c>
      <c r="AJ190" s="182">
        <f t="shared" si="44"/>
        <v>0</v>
      </c>
      <c r="AL190" s="10">
        <v>7</v>
      </c>
      <c r="AM190" s="14" t="s">
        <v>33</v>
      </c>
      <c r="AN190" s="34" t="s">
        <v>16</v>
      </c>
      <c r="AO190" s="111">
        <f t="shared" si="45"/>
        <v>0</v>
      </c>
      <c r="AP190" s="111">
        <f t="shared" si="46"/>
        <v>0</v>
      </c>
      <c r="AQ190" s="111">
        <f t="shared" si="47"/>
        <v>0</v>
      </c>
      <c r="AR190" s="111">
        <f t="shared" si="48"/>
        <v>0</v>
      </c>
      <c r="AS190" s="111">
        <f t="shared" si="49"/>
        <v>0</v>
      </c>
      <c r="AT190" s="182">
        <f t="shared" si="50"/>
        <v>0</v>
      </c>
      <c r="AV190" s="10">
        <v>7</v>
      </c>
      <c r="AW190" s="14" t="s">
        <v>33</v>
      </c>
      <c r="AX190" s="34" t="s">
        <v>16</v>
      </c>
      <c r="AY190" s="111">
        <f t="shared" si="51"/>
        <v>0</v>
      </c>
      <c r="AZ190" s="111">
        <f t="shared" si="52"/>
        <v>0</v>
      </c>
      <c r="BA190" s="111">
        <f t="shared" si="53"/>
        <v>0</v>
      </c>
      <c r="BB190" s="111">
        <f t="shared" si="54"/>
        <v>0</v>
      </c>
      <c r="BC190" s="111">
        <f t="shared" si="55"/>
        <v>0</v>
      </c>
      <c r="BD190" s="182">
        <f t="shared" si="56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4"/>
        <v>0</v>
      </c>
      <c r="U191" s="111">
        <f t="shared" si="35"/>
        <v>0</v>
      </c>
      <c r="V191" s="111">
        <f t="shared" si="36"/>
        <v>0</v>
      </c>
      <c r="W191" s="111">
        <f t="shared" si="37"/>
        <v>0</v>
      </c>
      <c r="X191" s="111">
        <f t="shared" si="38"/>
        <v>0</v>
      </c>
      <c r="Y191" s="182" t="e">
        <f t="shared" si="33"/>
        <v>#DIV/0!</v>
      </c>
      <c r="AB191" s="10">
        <v>8</v>
      </c>
      <c r="AC191" s="14" t="s">
        <v>34</v>
      </c>
      <c r="AD191" s="34" t="s">
        <v>16</v>
      </c>
      <c r="AE191" s="111">
        <f t="shared" si="39"/>
        <v>0</v>
      </c>
      <c r="AF191" s="111">
        <f t="shared" si="40"/>
        <v>0</v>
      </c>
      <c r="AG191" s="111">
        <f t="shared" si="41"/>
        <v>0</v>
      </c>
      <c r="AH191" s="111">
        <f t="shared" si="42"/>
        <v>0</v>
      </c>
      <c r="AI191" s="111">
        <f t="shared" si="43"/>
        <v>0</v>
      </c>
      <c r="AJ191" s="182">
        <f t="shared" si="44"/>
        <v>0</v>
      </c>
      <c r="AL191" s="10">
        <v>8</v>
      </c>
      <c r="AM191" s="14" t="s">
        <v>34</v>
      </c>
      <c r="AN191" s="34" t="s">
        <v>16</v>
      </c>
      <c r="AO191" s="111">
        <f t="shared" si="45"/>
        <v>0</v>
      </c>
      <c r="AP191" s="111">
        <f t="shared" si="46"/>
        <v>0</v>
      </c>
      <c r="AQ191" s="111">
        <f t="shared" si="47"/>
        <v>0</v>
      </c>
      <c r="AR191" s="111">
        <f t="shared" si="48"/>
        <v>0</v>
      </c>
      <c r="AS191" s="111">
        <f t="shared" si="49"/>
        <v>0</v>
      </c>
      <c r="AT191" s="182">
        <f t="shared" si="50"/>
        <v>0</v>
      </c>
      <c r="AV191" s="10">
        <v>8</v>
      </c>
      <c r="AW191" s="14" t="s">
        <v>34</v>
      </c>
      <c r="AX191" s="34" t="s">
        <v>16</v>
      </c>
      <c r="AY191" s="111">
        <f t="shared" si="51"/>
        <v>0</v>
      </c>
      <c r="AZ191" s="111">
        <f t="shared" si="52"/>
        <v>0</v>
      </c>
      <c r="BA191" s="111">
        <f t="shared" si="53"/>
        <v>0</v>
      </c>
      <c r="BB191" s="111">
        <f t="shared" si="54"/>
        <v>0</v>
      </c>
      <c r="BC191" s="111">
        <f t="shared" si="55"/>
        <v>0</v>
      </c>
      <c r="BD191" s="182">
        <f t="shared" si="56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4"/>
        <v>0</v>
      </c>
      <c r="U192" s="111">
        <f t="shared" si="35"/>
        <v>0</v>
      </c>
      <c r="V192" s="111">
        <f t="shared" si="36"/>
        <v>0</v>
      </c>
      <c r="W192" s="111">
        <f t="shared" si="37"/>
        <v>0</v>
      </c>
      <c r="X192" s="111">
        <f t="shared" si="38"/>
        <v>0</v>
      </c>
      <c r="Y192" s="182" t="e">
        <f t="shared" si="33"/>
        <v>#DIV/0!</v>
      </c>
      <c r="AB192" s="10">
        <v>9</v>
      </c>
      <c r="AC192" s="14" t="s">
        <v>23</v>
      </c>
      <c r="AD192" s="34" t="s">
        <v>16</v>
      </c>
      <c r="AE192" s="111">
        <f t="shared" si="39"/>
        <v>0</v>
      </c>
      <c r="AF192" s="111">
        <f t="shared" si="40"/>
        <v>0</v>
      </c>
      <c r="AG192" s="111">
        <f t="shared" si="41"/>
        <v>0</v>
      </c>
      <c r="AH192" s="111">
        <f t="shared" si="42"/>
        <v>0</v>
      </c>
      <c r="AI192" s="111">
        <f t="shared" si="43"/>
        <v>0</v>
      </c>
      <c r="AJ192" s="182">
        <f t="shared" si="44"/>
        <v>0</v>
      </c>
      <c r="AL192" s="10">
        <v>9</v>
      </c>
      <c r="AM192" s="14" t="s">
        <v>23</v>
      </c>
      <c r="AN192" s="34" t="s">
        <v>16</v>
      </c>
      <c r="AO192" s="111">
        <f t="shared" si="45"/>
        <v>0</v>
      </c>
      <c r="AP192" s="111">
        <f t="shared" si="46"/>
        <v>0</v>
      </c>
      <c r="AQ192" s="111">
        <f t="shared" si="47"/>
        <v>0</v>
      </c>
      <c r="AR192" s="111">
        <f t="shared" si="48"/>
        <v>0</v>
      </c>
      <c r="AS192" s="111">
        <f t="shared" si="49"/>
        <v>0</v>
      </c>
      <c r="AT192" s="182">
        <f t="shared" si="50"/>
        <v>0</v>
      </c>
      <c r="AV192" s="10">
        <v>9</v>
      </c>
      <c r="AW192" s="14" t="s">
        <v>23</v>
      </c>
      <c r="AX192" s="34" t="s">
        <v>16</v>
      </c>
      <c r="AY192" s="111">
        <f t="shared" si="51"/>
        <v>0</v>
      </c>
      <c r="AZ192" s="111">
        <f t="shared" si="52"/>
        <v>0</v>
      </c>
      <c r="BA192" s="111">
        <f t="shared" si="53"/>
        <v>0</v>
      </c>
      <c r="BB192" s="111">
        <f t="shared" si="54"/>
        <v>0</v>
      </c>
      <c r="BC192" s="111">
        <f t="shared" si="55"/>
        <v>0</v>
      </c>
      <c r="BD192" s="182">
        <f t="shared" si="56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4"/>
        <v>0</v>
      </c>
      <c r="U193" s="111">
        <f t="shared" si="35"/>
        <v>0</v>
      </c>
      <c r="V193" s="111">
        <f t="shared" si="36"/>
        <v>0</v>
      </c>
      <c r="W193" s="111">
        <f t="shared" si="37"/>
        <v>0</v>
      </c>
      <c r="X193" s="111">
        <f t="shared" si="38"/>
        <v>0</v>
      </c>
      <c r="Y193" s="182" t="e">
        <f t="shared" si="33"/>
        <v>#DIV/0!</v>
      </c>
      <c r="AB193" s="10">
        <v>10</v>
      </c>
      <c r="AC193" s="14" t="s">
        <v>24</v>
      </c>
      <c r="AD193" s="34" t="s">
        <v>16</v>
      </c>
      <c r="AE193" s="111">
        <f t="shared" si="39"/>
        <v>0</v>
      </c>
      <c r="AF193" s="111">
        <f t="shared" si="40"/>
        <v>0</v>
      </c>
      <c r="AG193" s="111">
        <f t="shared" si="41"/>
        <v>0</v>
      </c>
      <c r="AH193" s="111">
        <f t="shared" si="42"/>
        <v>0</v>
      </c>
      <c r="AI193" s="111">
        <f t="shared" si="43"/>
        <v>0</v>
      </c>
      <c r="AJ193" s="182">
        <f t="shared" si="44"/>
        <v>0</v>
      </c>
      <c r="AL193" s="10">
        <v>10</v>
      </c>
      <c r="AM193" s="14" t="s">
        <v>24</v>
      </c>
      <c r="AN193" s="34" t="s">
        <v>16</v>
      </c>
      <c r="AO193" s="111">
        <f t="shared" si="45"/>
        <v>0</v>
      </c>
      <c r="AP193" s="111">
        <f t="shared" si="46"/>
        <v>0</v>
      </c>
      <c r="AQ193" s="111">
        <f t="shared" si="47"/>
        <v>0</v>
      </c>
      <c r="AR193" s="111">
        <f t="shared" si="48"/>
        <v>0</v>
      </c>
      <c r="AS193" s="111">
        <f t="shared" si="49"/>
        <v>0</v>
      </c>
      <c r="AT193" s="182">
        <f t="shared" si="50"/>
        <v>0</v>
      </c>
      <c r="AV193" s="10">
        <v>10</v>
      </c>
      <c r="AW193" s="14" t="s">
        <v>24</v>
      </c>
      <c r="AX193" s="34" t="s">
        <v>16</v>
      </c>
      <c r="AY193" s="111">
        <f t="shared" si="51"/>
        <v>0</v>
      </c>
      <c r="AZ193" s="111">
        <f t="shared" si="52"/>
        <v>0</v>
      </c>
      <c r="BA193" s="111">
        <f t="shared" si="53"/>
        <v>0</v>
      </c>
      <c r="BB193" s="111">
        <f t="shared" si="54"/>
        <v>0</v>
      </c>
      <c r="BC193" s="111">
        <f t="shared" si="55"/>
        <v>0</v>
      </c>
      <c r="BD193" s="182">
        <f t="shared" si="56"/>
        <v>0</v>
      </c>
    </row>
    <row r="194" spans="2:56" x14ac:dyDescent="0.25">
      <c r="B194" s="335" t="s">
        <v>645</v>
      </c>
      <c r="C194" s="336"/>
      <c r="Q194" s="10">
        <v>11</v>
      </c>
      <c r="R194" s="14" t="s">
        <v>25</v>
      </c>
      <c r="S194" s="34" t="s">
        <v>16</v>
      </c>
      <c r="T194" s="111">
        <f t="shared" si="34"/>
        <v>0</v>
      </c>
      <c r="U194" s="111">
        <f t="shared" si="35"/>
        <v>0</v>
      </c>
      <c r="V194" s="111">
        <f t="shared" si="36"/>
        <v>0</v>
      </c>
      <c r="W194" s="111">
        <f t="shared" si="37"/>
        <v>0</v>
      </c>
      <c r="X194" s="111">
        <f t="shared" si="38"/>
        <v>0</v>
      </c>
      <c r="Y194" s="182" t="e">
        <f t="shared" si="33"/>
        <v>#DIV/0!</v>
      </c>
      <c r="AB194" s="10">
        <v>11</v>
      </c>
      <c r="AC194" s="14" t="s">
        <v>25</v>
      </c>
      <c r="AD194" s="34" t="s">
        <v>16</v>
      </c>
      <c r="AE194" s="111">
        <f t="shared" si="39"/>
        <v>0</v>
      </c>
      <c r="AF194" s="111">
        <f t="shared" si="40"/>
        <v>0</v>
      </c>
      <c r="AG194" s="111">
        <f t="shared" si="41"/>
        <v>0</v>
      </c>
      <c r="AH194" s="111">
        <f t="shared" si="42"/>
        <v>0</v>
      </c>
      <c r="AI194" s="111">
        <f t="shared" si="43"/>
        <v>0</v>
      </c>
      <c r="AJ194" s="182">
        <f t="shared" si="44"/>
        <v>0</v>
      </c>
      <c r="AL194" s="10">
        <v>11</v>
      </c>
      <c r="AM194" s="14" t="s">
        <v>25</v>
      </c>
      <c r="AN194" s="34" t="s">
        <v>16</v>
      </c>
      <c r="AO194" s="111">
        <f t="shared" si="45"/>
        <v>0</v>
      </c>
      <c r="AP194" s="111">
        <f t="shared" si="46"/>
        <v>0</v>
      </c>
      <c r="AQ194" s="111">
        <f t="shared" si="47"/>
        <v>0</v>
      </c>
      <c r="AR194" s="111">
        <f t="shared" si="48"/>
        <v>0</v>
      </c>
      <c r="AS194" s="111">
        <f t="shared" si="49"/>
        <v>0</v>
      </c>
      <c r="AT194" s="182">
        <f t="shared" si="50"/>
        <v>0</v>
      </c>
      <c r="AV194" s="10">
        <v>11</v>
      </c>
      <c r="AW194" s="14" t="s">
        <v>25</v>
      </c>
      <c r="AX194" s="34" t="s">
        <v>16</v>
      </c>
      <c r="AY194" s="111">
        <f t="shared" si="51"/>
        <v>0</v>
      </c>
      <c r="AZ194" s="111">
        <f t="shared" si="52"/>
        <v>0</v>
      </c>
      <c r="BA194" s="111">
        <f t="shared" si="53"/>
        <v>0</v>
      </c>
      <c r="BB194" s="111">
        <f t="shared" si="54"/>
        <v>0</v>
      </c>
      <c r="BC194" s="111">
        <f t="shared" si="55"/>
        <v>0</v>
      </c>
      <c r="BD194" s="182">
        <f t="shared" si="56"/>
        <v>0</v>
      </c>
    </row>
    <row r="195" spans="2:56" ht="15.75" thickBot="1" x14ac:dyDescent="0.3">
      <c r="B195" s="337"/>
      <c r="C195" s="338"/>
      <c r="Q195" s="10">
        <v>12</v>
      </c>
      <c r="R195" s="14" t="s">
        <v>26</v>
      </c>
      <c r="S195" s="34" t="s">
        <v>16</v>
      </c>
      <c r="T195" s="111">
        <f t="shared" si="34"/>
        <v>0</v>
      </c>
      <c r="U195" s="111">
        <f t="shared" si="35"/>
        <v>0</v>
      </c>
      <c r="V195" s="111">
        <f t="shared" si="36"/>
        <v>0</v>
      </c>
      <c r="W195" s="111">
        <f t="shared" si="37"/>
        <v>0</v>
      </c>
      <c r="X195" s="111">
        <f t="shared" si="38"/>
        <v>0</v>
      </c>
      <c r="Y195" s="182" t="e">
        <f t="shared" si="33"/>
        <v>#DIV/0!</v>
      </c>
      <c r="AB195" s="10">
        <v>12</v>
      </c>
      <c r="AC195" s="14" t="s">
        <v>26</v>
      </c>
      <c r="AD195" s="34" t="s">
        <v>16</v>
      </c>
      <c r="AE195" s="111">
        <f t="shared" si="39"/>
        <v>0</v>
      </c>
      <c r="AF195" s="111">
        <f t="shared" si="40"/>
        <v>0</v>
      </c>
      <c r="AG195" s="111">
        <f t="shared" si="41"/>
        <v>0</v>
      </c>
      <c r="AH195" s="111">
        <f t="shared" si="42"/>
        <v>0</v>
      </c>
      <c r="AI195" s="111">
        <f t="shared" si="43"/>
        <v>0</v>
      </c>
      <c r="AJ195" s="182">
        <f t="shared" si="44"/>
        <v>0</v>
      </c>
      <c r="AL195" s="10">
        <v>12</v>
      </c>
      <c r="AM195" s="14" t="s">
        <v>26</v>
      </c>
      <c r="AN195" s="34" t="s">
        <v>16</v>
      </c>
      <c r="AO195" s="111">
        <f t="shared" si="45"/>
        <v>0</v>
      </c>
      <c r="AP195" s="111">
        <f t="shared" si="46"/>
        <v>0</v>
      </c>
      <c r="AQ195" s="111">
        <f t="shared" si="47"/>
        <v>0</v>
      </c>
      <c r="AR195" s="111">
        <f t="shared" si="48"/>
        <v>0</v>
      </c>
      <c r="AS195" s="111">
        <f t="shared" si="49"/>
        <v>0</v>
      </c>
      <c r="AT195" s="182">
        <f t="shared" si="50"/>
        <v>0</v>
      </c>
      <c r="AV195" s="10">
        <v>12</v>
      </c>
      <c r="AW195" s="14" t="s">
        <v>26</v>
      </c>
      <c r="AX195" s="34" t="s">
        <v>16</v>
      </c>
      <c r="AY195" s="111">
        <f t="shared" si="51"/>
        <v>0</v>
      </c>
      <c r="AZ195" s="111">
        <f t="shared" si="52"/>
        <v>0</v>
      </c>
      <c r="BA195" s="111">
        <f t="shared" si="53"/>
        <v>0</v>
      </c>
      <c r="BB195" s="111">
        <f t="shared" si="54"/>
        <v>0</v>
      </c>
      <c r="BC195" s="111">
        <f t="shared" si="55"/>
        <v>0</v>
      </c>
      <c r="BD195" s="182">
        <f t="shared" si="56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4"/>
        <v>0</v>
      </c>
      <c r="U196" s="111">
        <f t="shared" si="35"/>
        <v>0</v>
      </c>
      <c r="V196" s="111">
        <f t="shared" si="36"/>
        <v>0</v>
      </c>
      <c r="W196" s="111">
        <f t="shared" si="37"/>
        <v>0</v>
      </c>
      <c r="X196" s="111">
        <f t="shared" si="38"/>
        <v>0</v>
      </c>
      <c r="Y196" s="182" t="e">
        <f t="shared" si="33"/>
        <v>#DIV/0!</v>
      </c>
      <c r="AB196" s="10">
        <v>13</v>
      </c>
      <c r="AC196" s="14" t="s">
        <v>27</v>
      </c>
      <c r="AD196" s="34" t="s">
        <v>16</v>
      </c>
      <c r="AE196" s="111">
        <f t="shared" si="39"/>
        <v>0</v>
      </c>
      <c r="AF196" s="111">
        <f t="shared" si="40"/>
        <v>0</v>
      </c>
      <c r="AG196" s="111">
        <f t="shared" si="41"/>
        <v>0</v>
      </c>
      <c r="AH196" s="111">
        <f t="shared" si="42"/>
        <v>0</v>
      </c>
      <c r="AI196" s="111">
        <f t="shared" si="43"/>
        <v>0</v>
      </c>
      <c r="AJ196" s="182">
        <f t="shared" si="44"/>
        <v>0</v>
      </c>
      <c r="AL196" s="10">
        <v>13</v>
      </c>
      <c r="AM196" s="14" t="s">
        <v>27</v>
      </c>
      <c r="AN196" s="34" t="s">
        <v>16</v>
      </c>
      <c r="AO196" s="111">
        <f t="shared" si="45"/>
        <v>0</v>
      </c>
      <c r="AP196" s="111">
        <f t="shared" si="46"/>
        <v>0</v>
      </c>
      <c r="AQ196" s="111">
        <f t="shared" si="47"/>
        <v>0</v>
      </c>
      <c r="AR196" s="111">
        <f t="shared" si="48"/>
        <v>0</v>
      </c>
      <c r="AS196" s="111">
        <f t="shared" si="49"/>
        <v>0</v>
      </c>
      <c r="AT196" s="182">
        <f t="shared" si="50"/>
        <v>0</v>
      </c>
      <c r="AV196" s="10">
        <v>13</v>
      </c>
      <c r="AW196" s="14" t="s">
        <v>27</v>
      </c>
      <c r="AX196" s="34" t="s">
        <v>16</v>
      </c>
      <c r="AY196" s="111">
        <f t="shared" si="51"/>
        <v>0</v>
      </c>
      <c r="AZ196" s="111">
        <f t="shared" si="52"/>
        <v>0</v>
      </c>
      <c r="BA196" s="111">
        <f t="shared" si="53"/>
        <v>0</v>
      </c>
      <c r="BB196" s="111">
        <f t="shared" si="54"/>
        <v>0</v>
      </c>
      <c r="BC196" s="111">
        <f t="shared" si="55"/>
        <v>0</v>
      </c>
      <c r="BD196" s="182">
        <f t="shared" si="56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4"/>
        <v>0</v>
      </c>
      <c r="U197" s="111">
        <f t="shared" si="35"/>
        <v>0</v>
      </c>
      <c r="V197" s="111">
        <f t="shared" si="36"/>
        <v>0</v>
      </c>
      <c r="W197" s="111">
        <f t="shared" si="37"/>
        <v>0</v>
      </c>
      <c r="X197" s="111">
        <f t="shared" si="38"/>
        <v>0</v>
      </c>
      <c r="Y197" s="182" t="e">
        <f t="shared" si="33"/>
        <v>#DIV/0!</v>
      </c>
      <c r="AB197" s="10">
        <v>14</v>
      </c>
      <c r="AC197" s="14" t="s">
        <v>28</v>
      </c>
      <c r="AD197" s="34" t="s">
        <v>16</v>
      </c>
      <c r="AE197" s="111">
        <f t="shared" si="39"/>
        <v>0</v>
      </c>
      <c r="AF197" s="111">
        <f t="shared" si="40"/>
        <v>0</v>
      </c>
      <c r="AG197" s="111">
        <f t="shared" si="41"/>
        <v>0</v>
      </c>
      <c r="AH197" s="111">
        <f t="shared" si="42"/>
        <v>0</v>
      </c>
      <c r="AI197" s="111">
        <f t="shared" si="43"/>
        <v>0</v>
      </c>
      <c r="AJ197" s="182">
        <f t="shared" si="44"/>
        <v>0</v>
      </c>
      <c r="AL197" s="10">
        <v>14</v>
      </c>
      <c r="AM197" s="14" t="s">
        <v>28</v>
      </c>
      <c r="AN197" s="34" t="s">
        <v>16</v>
      </c>
      <c r="AO197" s="111">
        <f t="shared" si="45"/>
        <v>0</v>
      </c>
      <c r="AP197" s="111">
        <f t="shared" si="46"/>
        <v>0</v>
      </c>
      <c r="AQ197" s="111">
        <f t="shared" si="47"/>
        <v>0</v>
      </c>
      <c r="AR197" s="111">
        <f t="shared" si="48"/>
        <v>0</v>
      </c>
      <c r="AS197" s="111">
        <f t="shared" si="49"/>
        <v>0</v>
      </c>
      <c r="AT197" s="182">
        <f t="shared" si="50"/>
        <v>0</v>
      </c>
      <c r="AV197" s="10">
        <v>14</v>
      </c>
      <c r="AW197" s="14" t="s">
        <v>28</v>
      </c>
      <c r="AX197" s="34" t="s">
        <v>16</v>
      </c>
      <c r="AY197" s="111">
        <f t="shared" si="51"/>
        <v>0</v>
      </c>
      <c r="AZ197" s="111">
        <f t="shared" si="52"/>
        <v>0</v>
      </c>
      <c r="BA197" s="111">
        <f t="shared" si="53"/>
        <v>0</v>
      </c>
      <c r="BB197" s="111">
        <f t="shared" si="54"/>
        <v>0</v>
      </c>
      <c r="BC197" s="111">
        <f t="shared" si="55"/>
        <v>0</v>
      </c>
      <c r="BD197" s="182">
        <f t="shared" si="56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4"/>
        <v>0</v>
      </c>
      <c r="U198" s="111">
        <f t="shared" si="35"/>
        <v>0</v>
      </c>
      <c r="V198" s="111">
        <f t="shared" si="36"/>
        <v>0</v>
      </c>
      <c r="W198" s="111">
        <f t="shared" si="37"/>
        <v>0</v>
      </c>
      <c r="X198" s="111">
        <f t="shared" si="38"/>
        <v>0</v>
      </c>
      <c r="Y198" s="182" t="e">
        <f t="shared" si="33"/>
        <v>#DIV/0!</v>
      </c>
      <c r="AB198" s="10">
        <v>15</v>
      </c>
      <c r="AC198" s="14" t="s">
        <v>29</v>
      </c>
      <c r="AD198" s="34" t="s">
        <v>16</v>
      </c>
      <c r="AE198" s="111">
        <f t="shared" si="39"/>
        <v>0</v>
      </c>
      <c r="AF198" s="111">
        <f t="shared" si="40"/>
        <v>0</v>
      </c>
      <c r="AG198" s="111">
        <f t="shared" si="41"/>
        <v>0</v>
      </c>
      <c r="AH198" s="111">
        <f t="shared" si="42"/>
        <v>0</v>
      </c>
      <c r="AI198" s="111">
        <f t="shared" si="43"/>
        <v>0</v>
      </c>
      <c r="AJ198" s="182">
        <f t="shared" si="44"/>
        <v>0</v>
      </c>
      <c r="AL198" s="10">
        <v>15</v>
      </c>
      <c r="AM198" s="14" t="s">
        <v>29</v>
      </c>
      <c r="AN198" s="34" t="s">
        <v>16</v>
      </c>
      <c r="AO198" s="111">
        <f t="shared" si="45"/>
        <v>0</v>
      </c>
      <c r="AP198" s="111">
        <f t="shared" si="46"/>
        <v>0</v>
      </c>
      <c r="AQ198" s="111">
        <f t="shared" si="47"/>
        <v>0</v>
      </c>
      <c r="AR198" s="111">
        <f t="shared" si="48"/>
        <v>0</v>
      </c>
      <c r="AS198" s="111">
        <f t="shared" si="49"/>
        <v>0</v>
      </c>
      <c r="AT198" s="182">
        <f t="shared" si="50"/>
        <v>0</v>
      </c>
      <c r="AV198" s="10">
        <v>15</v>
      </c>
      <c r="AW198" s="14" t="s">
        <v>29</v>
      </c>
      <c r="AX198" s="34" t="s">
        <v>16</v>
      </c>
      <c r="AY198" s="111">
        <f t="shared" si="51"/>
        <v>0</v>
      </c>
      <c r="AZ198" s="111">
        <f t="shared" si="52"/>
        <v>0</v>
      </c>
      <c r="BA198" s="111">
        <f t="shared" si="53"/>
        <v>0</v>
      </c>
      <c r="BB198" s="111">
        <f t="shared" si="54"/>
        <v>0</v>
      </c>
      <c r="BC198" s="111">
        <f t="shared" si="55"/>
        <v>0</v>
      </c>
      <c r="BD198" s="182">
        <f t="shared" si="56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4"/>
        <v>0</v>
      </c>
      <c r="U199" s="111">
        <f t="shared" si="35"/>
        <v>0</v>
      </c>
      <c r="V199" s="111">
        <f t="shared" si="36"/>
        <v>0</v>
      </c>
      <c r="W199" s="111">
        <f t="shared" si="37"/>
        <v>0</v>
      </c>
      <c r="X199" s="111">
        <f t="shared" si="38"/>
        <v>0</v>
      </c>
      <c r="Y199" s="182" t="e">
        <f t="shared" si="33"/>
        <v>#DIV/0!</v>
      </c>
      <c r="AB199" s="10">
        <v>16</v>
      </c>
      <c r="AC199" s="14" t="s">
        <v>30</v>
      </c>
      <c r="AD199" s="34" t="s">
        <v>16</v>
      </c>
      <c r="AE199" s="111">
        <f t="shared" si="39"/>
        <v>0</v>
      </c>
      <c r="AF199" s="111">
        <f t="shared" si="40"/>
        <v>0</v>
      </c>
      <c r="AG199" s="111">
        <f t="shared" si="41"/>
        <v>0</v>
      </c>
      <c r="AH199" s="111">
        <f t="shared" si="42"/>
        <v>0</v>
      </c>
      <c r="AI199" s="111">
        <f t="shared" si="43"/>
        <v>0</v>
      </c>
      <c r="AJ199" s="182">
        <f t="shared" si="44"/>
        <v>0</v>
      </c>
      <c r="AL199" s="10">
        <v>16</v>
      </c>
      <c r="AM199" s="14" t="s">
        <v>30</v>
      </c>
      <c r="AN199" s="34" t="s">
        <v>16</v>
      </c>
      <c r="AO199" s="111">
        <f t="shared" si="45"/>
        <v>0</v>
      </c>
      <c r="AP199" s="111">
        <f t="shared" si="46"/>
        <v>0</v>
      </c>
      <c r="AQ199" s="111">
        <f t="shared" si="47"/>
        <v>0</v>
      </c>
      <c r="AR199" s="111">
        <f t="shared" si="48"/>
        <v>0</v>
      </c>
      <c r="AS199" s="111">
        <f t="shared" si="49"/>
        <v>0</v>
      </c>
      <c r="AT199" s="182">
        <f t="shared" si="50"/>
        <v>0</v>
      </c>
      <c r="AV199" s="10">
        <v>16</v>
      </c>
      <c r="AW199" s="14" t="s">
        <v>30</v>
      </c>
      <c r="AX199" s="34" t="s">
        <v>16</v>
      </c>
      <c r="AY199" s="111">
        <f t="shared" si="51"/>
        <v>0</v>
      </c>
      <c r="AZ199" s="111">
        <f t="shared" si="52"/>
        <v>0</v>
      </c>
      <c r="BA199" s="111">
        <f t="shared" si="53"/>
        <v>0</v>
      </c>
      <c r="BB199" s="111">
        <f t="shared" si="54"/>
        <v>0</v>
      </c>
      <c r="BC199" s="111">
        <f t="shared" si="55"/>
        <v>0</v>
      </c>
      <c r="BD199" s="182">
        <f t="shared" si="56"/>
        <v>0</v>
      </c>
    </row>
    <row r="200" spans="2:56" ht="15.75" thickBot="1" x14ac:dyDescent="0.3">
      <c r="B200" s="206" t="s">
        <v>350</v>
      </c>
      <c r="C200" s="230" t="str">
        <f>'DRIVE REACTIONS Zone 1'!C200</f>
        <v>W6X25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4"/>
        <v>0</v>
      </c>
      <c r="U200" s="111">
        <f t="shared" si="35"/>
        <v>0</v>
      </c>
      <c r="V200" s="111">
        <f t="shared" si="36"/>
        <v>0</v>
      </c>
      <c r="W200" s="111">
        <f t="shared" si="37"/>
        <v>0</v>
      </c>
      <c r="X200" s="111">
        <f t="shared" si="38"/>
        <v>0</v>
      </c>
      <c r="Y200" s="182" t="e">
        <f t="shared" si="33"/>
        <v>#DIV/0!</v>
      </c>
      <c r="AB200" s="10">
        <v>17</v>
      </c>
      <c r="AC200" s="14" t="s">
        <v>31</v>
      </c>
      <c r="AD200" s="34" t="s">
        <v>16</v>
      </c>
      <c r="AE200" s="111">
        <f t="shared" si="39"/>
        <v>0</v>
      </c>
      <c r="AF200" s="111">
        <f t="shared" si="40"/>
        <v>0</v>
      </c>
      <c r="AG200" s="111">
        <f t="shared" si="41"/>
        <v>0</v>
      </c>
      <c r="AH200" s="111">
        <f t="shared" si="42"/>
        <v>0</v>
      </c>
      <c r="AI200" s="111">
        <f t="shared" si="43"/>
        <v>0</v>
      </c>
      <c r="AJ200" s="182">
        <f t="shared" si="44"/>
        <v>0</v>
      </c>
      <c r="AL200" s="10">
        <v>17</v>
      </c>
      <c r="AM200" s="14" t="s">
        <v>31</v>
      </c>
      <c r="AN200" s="34" t="s">
        <v>16</v>
      </c>
      <c r="AO200" s="111">
        <f t="shared" si="45"/>
        <v>0</v>
      </c>
      <c r="AP200" s="111">
        <f t="shared" si="46"/>
        <v>0</v>
      </c>
      <c r="AQ200" s="111">
        <f t="shared" si="47"/>
        <v>0</v>
      </c>
      <c r="AR200" s="111">
        <f t="shared" si="48"/>
        <v>0</v>
      </c>
      <c r="AS200" s="111">
        <f t="shared" si="49"/>
        <v>0</v>
      </c>
      <c r="AT200" s="182">
        <f t="shared" si="50"/>
        <v>0</v>
      </c>
      <c r="AV200" s="10">
        <v>17</v>
      </c>
      <c r="AW200" s="14" t="s">
        <v>31</v>
      </c>
      <c r="AX200" s="34" t="s">
        <v>16</v>
      </c>
      <c r="AY200" s="111">
        <f t="shared" si="51"/>
        <v>0</v>
      </c>
      <c r="AZ200" s="111">
        <f t="shared" si="52"/>
        <v>0</v>
      </c>
      <c r="BA200" s="111">
        <f t="shared" si="53"/>
        <v>0</v>
      </c>
      <c r="BB200" s="111">
        <f t="shared" si="54"/>
        <v>0</v>
      </c>
      <c r="BC200" s="111">
        <f t="shared" si="55"/>
        <v>0</v>
      </c>
      <c r="BD200" s="182">
        <f t="shared" si="56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4"/>
        <v>0</v>
      </c>
      <c r="U201" s="111">
        <f t="shared" si="35"/>
        <v>0</v>
      </c>
      <c r="V201" s="111">
        <f t="shared" si="36"/>
        <v>0</v>
      </c>
      <c r="W201" s="111">
        <f t="shared" si="37"/>
        <v>0</v>
      </c>
      <c r="X201" s="111">
        <f t="shared" si="38"/>
        <v>0</v>
      </c>
      <c r="Y201" s="182" t="e">
        <f t="shared" si="33"/>
        <v>#DIV/0!</v>
      </c>
      <c r="AB201" s="10">
        <v>18</v>
      </c>
      <c r="AC201" s="14" t="s">
        <v>32</v>
      </c>
      <c r="AD201" s="34" t="s">
        <v>16</v>
      </c>
      <c r="AE201" s="111">
        <f t="shared" si="39"/>
        <v>0</v>
      </c>
      <c r="AF201" s="111">
        <f t="shared" si="40"/>
        <v>0</v>
      </c>
      <c r="AG201" s="111">
        <f t="shared" si="41"/>
        <v>0</v>
      </c>
      <c r="AH201" s="111">
        <f t="shared" si="42"/>
        <v>0</v>
      </c>
      <c r="AI201" s="111">
        <f t="shared" si="43"/>
        <v>0</v>
      </c>
      <c r="AJ201" s="182">
        <f t="shared" si="44"/>
        <v>0</v>
      </c>
      <c r="AL201" s="10">
        <v>18</v>
      </c>
      <c r="AM201" s="14" t="s">
        <v>32</v>
      </c>
      <c r="AN201" s="34" t="s">
        <v>16</v>
      </c>
      <c r="AO201" s="111">
        <f t="shared" si="45"/>
        <v>0</v>
      </c>
      <c r="AP201" s="111">
        <f t="shared" si="46"/>
        <v>0</v>
      </c>
      <c r="AQ201" s="111">
        <f t="shared" si="47"/>
        <v>0</v>
      </c>
      <c r="AR201" s="111">
        <f t="shared" si="48"/>
        <v>0</v>
      </c>
      <c r="AS201" s="111">
        <f t="shared" si="49"/>
        <v>0</v>
      </c>
      <c r="AT201" s="182">
        <f t="shared" si="50"/>
        <v>0</v>
      </c>
      <c r="AV201" s="10">
        <v>18</v>
      </c>
      <c r="AW201" s="14" t="s">
        <v>32</v>
      </c>
      <c r="AX201" s="34" t="s">
        <v>16</v>
      </c>
      <c r="AY201" s="111">
        <f t="shared" si="51"/>
        <v>0</v>
      </c>
      <c r="AZ201" s="111">
        <f t="shared" si="52"/>
        <v>0</v>
      </c>
      <c r="BA201" s="111">
        <f t="shared" si="53"/>
        <v>0</v>
      </c>
      <c r="BB201" s="111">
        <f t="shared" si="54"/>
        <v>0</v>
      </c>
      <c r="BC201" s="111">
        <f t="shared" si="55"/>
        <v>0</v>
      </c>
      <c r="BD201" s="182">
        <f t="shared" si="56"/>
        <v>0</v>
      </c>
    </row>
    <row r="202" spans="2:56" ht="15.75" thickBot="1" x14ac:dyDescent="0.3">
      <c r="B202" s="354" t="s">
        <v>366</v>
      </c>
      <c r="C202" s="355"/>
      <c r="D202" s="355"/>
      <c r="E202" s="355"/>
      <c r="F202" s="355"/>
      <c r="G202" s="355"/>
      <c r="H202" s="356"/>
      <c r="Q202" s="10">
        <v>19</v>
      </c>
      <c r="R202" s="14" t="s">
        <v>37</v>
      </c>
      <c r="S202" s="34" t="s">
        <v>16</v>
      </c>
      <c r="T202" s="111">
        <f t="shared" si="34"/>
        <v>0</v>
      </c>
      <c r="U202" s="111">
        <f t="shared" si="35"/>
        <v>0</v>
      </c>
      <c r="V202" s="111">
        <f t="shared" si="36"/>
        <v>0</v>
      </c>
      <c r="W202" s="111">
        <f t="shared" si="37"/>
        <v>0</v>
      </c>
      <c r="X202" s="111">
        <f t="shared" si="38"/>
        <v>0</v>
      </c>
      <c r="Y202" s="182" t="e">
        <f t="shared" si="33"/>
        <v>#DIV/0!</v>
      </c>
      <c r="AB202" s="10">
        <v>19</v>
      </c>
      <c r="AC202" s="14" t="s">
        <v>37</v>
      </c>
      <c r="AD202" s="34" t="s">
        <v>16</v>
      </c>
      <c r="AE202" s="111">
        <f t="shared" si="39"/>
        <v>0</v>
      </c>
      <c r="AF202" s="111">
        <f t="shared" si="40"/>
        <v>0</v>
      </c>
      <c r="AG202" s="111">
        <f t="shared" si="41"/>
        <v>0</v>
      </c>
      <c r="AH202" s="111">
        <f t="shared" si="42"/>
        <v>0</v>
      </c>
      <c r="AI202" s="111">
        <f t="shared" si="43"/>
        <v>0</v>
      </c>
      <c r="AJ202" s="182">
        <f t="shared" si="44"/>
        <v>0</v>
      </c>
      <c r="AL202" s="10">
        <v>19</v>
      </c>
      <c r="AM202" s="14" t="s">
        <v>37</v>
      </c>
      <c r="AN202" s="34" t="s">
        <v>16</v>
      </c>
      <c r="AO202" s="111">
        <f t="shared" si="45"/>
        <v>0</v>
      </c>
      <c r="AP202" s="111">
        <f t="shared" si="46"/>
        <v>0</v>
      </c>
      <c r="AQ202" s="111">
        <f t="shared" si="47"/>
        <v>0</v>
      </c>
      <c r="AR202" s="111">
        <f t="shared" si="48"/>
        <v>0</v>
      </c>
      <c r="AS202" s="111">
        <f t="shared" si="49"/>
        <v>0</v>
      </c>
      <c r="AT202" s="182">
        <f t="shared" si="50"/>
        <v>0</v>
      </c>
      <c r="AV202" s="10">
        <v>19</v>
      </c>
      <c r="AW202" s="14" t="s">
        <v>37</v>
      </c>
      <c r="AX202" s="34" t="s">
        <v>16</v>
      </c>
      <c r="AY202" s="111">
        <f t="shared" si="51"/>
        <v>0</v>
      </c>
      <c r="AZ202" s="111">
        <f t="shared" si="52"/>
        <v>0</v>
      </c>
      <c r="BA202" s="111">
        <f t="shared" si="53"/>
        <v>0</v>
      </c>
      <c r="BB202" s="111">
        <f t="shared" si="54"/>
        <v>0</v>
      </c>
      <c r="BC202" s="111">
        <f t="shared" si="55"/>
        <v>0</v>
      </c>
      <c r="BD202" s="182">
        <f t="shared" si="56"/>
        <v>0</v>
      </c>
    </row>
    <row r="203" spans="2:56" x14ac:dyDescent="0.25">
      <c r="B203" s="208" t="str">
        <f>AC11</f>
        <v>Area (A)</v>
      </c>
      <c r="C203" s="210">
        <f>AO11</f>
        <v>6.8537649599999995</v>
      </c>
      <c r="D203" s="155" t="str">
        <f>AP11</f>
        <v>in^2</v>
      </c>
      <c r="E203" s="214" t="str">
        <f t="shared" ref="E203:E210" si="57">AR11</f>
        <v>Moment of Inertia - y (Iy)</v>
      </c>
      <c r="F203" s="155"/>
      <c r="G203" s="210">
        <f>AT11</f>
        <v>15.984407914553836</v>
      </c>
      <c r="H203" s="166" t="str">
        <f t="shared" ref="G203:H206" si="58">AU11</f>
        <v>in^4</v>
      </c>
      <c r="Q203" s="10">
        <v>20</v>
      </c>
      <c r="R203" s="14" t="s">
        <v>38</v>
      </c>
      <c r="S203" s="34" t="s">
        <v>16</v>
      </c>
      <c r="T203" s="111">
        <f t="shared" si="34"/>
        <v>0</v>
      </c>
      <c r="U203" s="111">
        <f t="shared" si="35"/>
        <v>0</v>
      </c>
      <c r="V203" s="111">
        <f t="shared" si="36"/>
        <v>0</v>
      </c>
      <c r="W203" s="111">
        <f t="shared" si="37"/>
        <v>0</v>
      </c>
      <c r="X203" s="111">
        <f t="shared" si="38"/>
        <v>0</v>
      </c>
      <c r="Y203" s="182" t="e">
        <f t="shared" si="33"/>
        <v>#DIV/0!</v>
      </c>
      <c r="AB203" s="10">
        <v>20</v>
      </c>
      <c r="AC203" s="14" t="s">
        <v>38</v>
      </c>
      <c r="AD203" s="34" t="s">
        <v>16</v>
      </c>
      <c r="AE203" s="111">
        <f t="shared" si="39"/>
        <v>0</v>
      </c>
      <c r="AF203" s="111">
        <f t="shared" si="40"/>
        <v>0</v>
      </c>
      <c r="AG203" s="111">
        <f t="shared" si="41"/>
        <v>0</v>
      </c>
      <c r="AH203" s="111">
        <f t="shared" si="42"/>
        <v>0</v>
      </c>
      <c r="AI203" s="111">
        <f t="shared" si="43"/>
        <v>0</v>
      </c>
      <c r="AJ203" s="182">
        <f t="shared" si="44"/>
        <v>0</v>
      </c>
      <c r="AL203" s="10">
        <v>20</v>
      </c>
      <c r="AM203" s="14" t="s">
        <v>38</v>
      </c>
      <c r="AN203" s="34" t="s">
        <v>16</v>
      </c>
      <c r="AO203" s="111">
        <f t="shared" si="45"/>
        <v>0</v>
      </c>
      <c r="AP203" s="111">
        <f t="shared" si="46"/>
        <v>0</v>
      </c>
      <c r="AQ203" s="111">
        <f t="shared" si="47"/>
        <v>0</v>
      </c>
      <c r="AR203" s="111">
        <f t="shared" si="48"/>
        <v>0</v>
      </c>
      <c r="AS203" s="111">
        <f t="shared" si="49"/>
        <v>0</v>
      </c>
      <c r="AT203" s="182">
        <f t="shared" si="50"/>
        <v>0</v>
      </c>
      <c r="AV203" s="10">
        <v>20</v>
      </c>
      <c r="AW203" s="14" t="s">
        <v>38</v>
      </c>
      <c r="AX203" s="34" t="s">
        <v>16</v>
      </c>
      <c r="AY203" s="111">
        <f t="shared" si="51"/>
        <v>0</v>
      </c>
      <c r="AZ203" s="111">
        <f t="shared" si="52"/>
        <v>0</v>
      </c>
      <c r="BA203" s="111">
        <f t="shared" si="53"/>
        <v>0</v>
      </c>
      <c r="BB203" s="111">
        <f t="shared" si="54"/>
        <v>0</v>
      </c>
      <c r="BC203" s="111">
        <f t="shared" si="55"/>
        <v>0</v>
      </c>
      <c r="BD203" s="182">
        <f t="shared" si="56"/>
        <v>0</v>
      </c>
    </row>
    <row r="204" spans="2:56" x14ac:dyDescent="0.25">
      <c r="B204" s="209" t="str">
        <f t="shared" ref="B204:B211" si="59">AC12</f>
        <v>Depth (d)</v>
      </c>
      <c r="C204" s="211">
        <f t="shared" ref="C204:D212" si="60">AO12</f>
        <v>6.3563999999999998</v>
      </c>
      <c r="D204" t="str">
        <f t="shared" si="60"/>
        <v>in</v>
      </c>
      <c r="E204" s="19" t="str">
        <f t="shared" si="57"/>
        <v>Elastic Section Modulus - y (Sy)</v>
      </c>
      <c r="G204" s="211">
        <f t="shared" si="58"/>
        <v>5.2785179032276055</v>
      </c>
      <c r="H204" s="159" t="str">
        <f t="shared" si="58"/>
        <v>in^3</v>
      </c>
      <c r="Q204" s="10">
        <v>21</v>
      </c>
      <c r="R204" s="14" t="s">
        <v>39</v>
      </c>
      <c r="S204" s="34" t="s">
        <v>16</v>
      </c>
      <c r="T204" s="111">
        <f t="shared" si="34"/>
        <v>0</v>
      </c>
      <c r="U204" s="111">
        <f t="shared" si="35"/>
        <v>0</v>
      </c>
      <c r="V204" s="111">
        <f t="shared" si="36"/>
        <v>0</v>
      </c>
      <c r="W204" s="111">
        <f t="shared" si="37"/>
        <v>0</v>
      </c>
      <c r="X204" s="111">
        <f t="shared" si="38"/>
        <v>0</v>
      </c>
      <c r="Y204" s="182" t="e">
        <f t="shared" si="33"/>
        <v>#DIV/0!</v>
      </c>
      <c r="AB204" s="10">
        <v>21</v>
      </c>
      <c r="AC204" s="14" t="s">
        <v>39</v>
      </c>
      <c r="AD204" s="34" t="s">
        <v>16</v>
      </c>
      <c r="AE204" s="111">
        <f t="shared" si="39"/>
        <v>0</v>
      </c>
      <c r="AF204" s="111">
        <f t="shared" si="40"/>
        <v>0</v>
      </c>
      <c r="AG204" s="111">
        <f t="shared" si="41"/>
        <v>0</v>
      </c>
      <c r="AH204" s="111">
        <f t="shared" si="42"/>
        <v>0</v>
      </c>
      <c r="AI204" s="111">
        <f t="shared" si="43"/>
        <v>0</v>
      </c>
      <c r="AJ204" s="182">
        <f t="shared" si="44"/>
        <v>0</v>
      </c>
      <c r="AL204" s="10">
        <v>21</v>
      </c>
      <c r="AM204" s="14" t="s">
        <v>39</v>
      </c>
      <c r="AN204" s="34" t="s">
        <v>16</v>
      </c>
      <c r="AO204" s="111">
        <f t="shared" si="45"/>
        <v>0</v>
      </c>
      <c r="AP204" s="111">
        <f t="shared" si="46"/>
        <v>0</v>
      </c>
      <c r="AQ204" s="111">
        <f t="shared" si="47"/>
        <v>0</v>
      </c>
      <c r="AR204" s="111">
        <f t="shared" si="48"/>
        <v>0</v>
      </c>
      <c r="AS204" s="111">
        <f t="shared" si="49"/>
        <v>0</v>
      </c>
      <c r="AT204" s="182">
        <f t="shared" si="50"/>
        <v>0</v>
      </c>
      <c r="AV204" s="10">
        <v>21</v>
      </c>
      <c r="AW204" s="14" t="s">
        <v>39</v>
      </c>
      <c r="AX204" s="34" t="s">
        <v>16</v>
      </c>
      <c r="AY204" s="111">
        <f t="shared" si="51"/>
        <v>0</v>
      </c>
      <c r="AZ204" s="111">
        <f t="shared" si="52"/>
        <v>0</v>
      </c>
      <c r="BA204" s="111">
        <f t="shared" si="53"/>
        <v>0</v>
      </c>
      <c r="BB204" s="111">
        <f t="shared" si="54"/>
        <v>0</v>
      </c>
      <c r="BC204" s="111">
        <f t="shared" si="55"/>
        <v>0</v>
      </c>
      <c r="BD204" s="182">
        <f t="shared" si="56"/>
        <v>0</v>
      </c>
    </row>
    <row r="205" spans="2:56" ht="15.75" thickBot="1" x14ac:dyDescent="0.3">
      <c r="B205" s="209" t="str">
        <f t="shared" si="59"/>
        <v>Web Thickness (tw)</v>
      </c>
      <c r="C205" s="211">
        <f t="shared" si="60"/>
        <v>0.2964</v>
      </c>
      <c r="D205" t="str">
        <f t="shared" si="60"/>
        <v>in</v>
      </c>
      <c r="E205" s="19" t="str">
        <f t="shared" si="57"/>
        <v>Radius of Gyration - y (ry)</v>
      </c>
      <c r="G205" s="211">
        <f t="shared" si="58"/>
        <v>1.52</v>
      </c>
      <c r="H205" s="159" t="str">
        <f t="shared" si="58"/>
        <v>in^3</v>
      </c>
      <c r="Q205" s="13">
        <v>22</v>
      </c>
      <c r="R205" s="15" t="s">
        <v>40</v>
      </c>
      <c r="S205" s="36" t="s">
        <v>16</v>
      </c>
      <c r="T205" s="106">
        <f t="shared" si="34"/>
        <v>0</v>
      </c>
      <c r="U205" s="106">
        <f t="shared" si="35"/>
        <v>0</v>
      </c>
      <c r="V205" s="106">
        <f t="shared" si="36"/>
        <v>0</v>
      </c>
      <c r="W205" s="106">
        <f t="shared" si="37"/>
        <v>0</v>
      </c>
      <c r="X205" s="106">
        <f t="shared" si="38"/>
        <v>0</v>
      </c>
      <c r="Y205" s="183" t="e">
        <f t="shared" si="33"/>
        <v>#DIV/0!</v>
      </c>
      <c r="AB205" s="13">
        <v>22</v>
      </c>
      <c r="AC205" s="15" t="s">
        <v>40</v>
      </c>
      <c r="AD205" s="36" t="s">
        <v>16</v>
      </c>
      <c r="AE205" s="106">
        <f t="shared" si="39"/>
        <v>0</v>
      </c>
      <c r="AF205" s="106">
        <f t="shared" si="40"/>
        <v>0</v>
      </c>
      <c r="AG205" s="106">
        <f t="shared" si="41"/>
        <v>0</v>
      </c>
      <c r="AH205" s="106">
        <f t="shared" si="42"/>
        <v>0</v>
      </c>
      <c r="AI205" s="106">
        <f t="shared" si="43"/>
        <v>0</v>
      </c>
      <c r="AJ205" s="183">
        <f t="shared" si="44"/>
        <v>0</v>
      </c>
      <c r="AL205" s="13">
        <v>22</v>
      </c>
      <c r="AM205" s="15" t="s">
        <v>40</v>
      </c>
      <c r="AN205" s="36" t="s">
        <v>16</v>
      </c>
      <c r="AO205" s="106">
        <f t="shared" si="45"/>
        <v>0</v>
      </c>
      <c r="AP205" s="106">
        <f t="shared" si="46"/>
        <v>0</v>
      </c>
      <c r="AQ205" s="106">
        <f t="shared" si="47"/>
        <v>0</v>
      </c>
      <c r="AR205" s="106">
        <f t="shared" si="48"/>
        <v>0</v>
      </c>
      <c r="AS205" s="106">
        <f t="shared" si="49"/>
        <v>0</v>
      </c>
      <c r="AT205" s="183">
        <f t="shared" si="50"/>
        <v>0</v>
      </c>
      <c r="AV205" s="13">
        <v>22</v>
      </c>
      <c r="AW205" s="15" t="s">
        <v>40</v>
      </c>
      <c r="AX205" s="36" t="s">
        <v>16</v>
      </c>
      <c r="AY205" s="106">
        <f t="shared" si="51"/>
        <v>0</v>
      </c>
      <c r="AZ205" s="106">
        <f t="shared" si="52"/>
        <v>0</v>
      </c>
      <c r="BA205" s="106">
        <f t="shared" si="53"/>
        <v>0</v>
      </c>
      <c r="BB205" s="106">
        <f t="shared" si="54"/>
        <v>0</v>
      </c>
      <c r="BC205" s="106">
        <f t="shared" si="55"/>
        <v>0</v>
      </c>
      <c r="BD205" s="183">
        <f t="shared" si="56"/>
        <v>0</v>
      </c>
    </row>
    <row r="206" spans="2:56" x14ac:dyDescent="0.25">
      <c r="B206" s="209" t="str">
        <f t="shared" si="59"/>
        <v>Flange Thickness (tf)</v>
      </c>
      <c r="C206" s="211">
        <f t="shared" si="60"/>
        <v>0.43140000000000001</v>
      </c>
      <c r="D206" t="str">
        <f t="shared" si="60"/>
        <v>in</v>
      </c>
      <c r="E206" s="19" t="str">
        <f t="shared" si="57"/>
        <v>Plastic Section Modulus - y (Zy)</v>
      </c>
      <c r="G206" s="211">
        <f t="shared" si="58"/>
        <v>8.0325291483360015</v>
      </c>
      <c r="H206" s="159" t="str">
        <f t="shared" si="58"/>
        <v>in^3</v>
      </c>
    </row>
    <row r="207" spans="2:56" x14ac:dyDescent="0.25">
      <c r="B207" s="209" t="str">
        <f t="shared" si="59"/>
        <v>Flange Width (bf)</v>
      </c>
      <c r="C207" s="211">
        <f t="shared" si="60"/>
        <v>6.0564</v>
      </c>
      <c r="D207" t="str">
        <f t="shared" si="60"/>
        <v>in</v>
      </c>
      <c r="E207" s="19" t="str">
        <f t="shared" si="57"/>
        <v>ho</v>
      </c>
      <c r="G207" s="211">
        <f>AT15</f>
        <v>5.9249999999999998</v>
      </c>
      <c r="H207" s="159"/>
    </row>
    <row r="208" spans="2:56" x14ac:dyDescent="0.25">
      <c r="B208" s="209" t="str">
        <f t="shared" si="59"/>
        <v>Moment of Inertia x (Ix)</v>
      </c>
      <c r="C208" s="211">
        <f t="shared" si="60"/>
        <v>50.036950881186783</v>
      </c>
      <c r="D208" t="str">
        <f t="shared" si="60"/>
        <v>in^4</v>
      </c>
      <c r="E208" s="19" t="str">
        <f t="shared" si="57"/>
        <v>Effective Radius of Gyration (rts)</v>
      </c>
      <c r="G208" s="211">
        <f>AT16</f>
        <v>1.7342937126157818</v>
      </c>
      <c r="H208" s="159" t="str">
        <f>AU16</f>
        <v>in^3</v>
      </c>
    </row>
    <row r="209" spans="2:49" x14ac:dyDescent="0.25">
      <c r="B209" s="209" t="str">
        <f t="shared" si="59"/>
        <v>Elastic Section Modulus x (Sx)</v>
      </c>
      <c r="C209" s="211">
        <f t="shared" si="60"/>
        <v>15.743801800134285</v>
      </c>
      <c r="D209" t="str">
        <f t="shared" si="60"/>
        <v>in^3</v>
      </c>
      <c r="E209" s="19" t="str">
        <f t="shared" si="57"/>
        <v>Torsional Constant - (J)</v>
      </c>
      <c r="G209" s="211">
        <f>AT17</f>
        <v>0.37559144660941451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9"/>
        <v>Radius of Gyration about X (rx)</v>
      </c>
      <c r="C210" s="211">
        <f t="shared" si="60"/>
        <v>2.701971819038651</v>
      </c>
      <c r="D210" t="str">
        <f t="shared" si="60"/>
        <v>in</v>
      </c>
      <c r="E210" s="19" t="str">
        <f t="shared" si="57"/>
        <v>h/tw</v>
      </c>
      <c r="G210" s="211">
        <f>AT18</f>
        <v>18.534412955465587</v>
      </c>
      <c r="H210" s="159"/>
    </row>
    <row r="211" spans="2:49" x14ac:dyDescent="0.25">
      <c r="B211" s="209" t="str">
        <f t="shared" si="59"/>
        <v>Plastic Section Modulus - X (Zx)</v>
      </c>
      <c r="C211" s="211">
        <f t="shared" si="60"/>
        <v>17.716742333136001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60"/>
        <v>5.4935999999999998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4" t="s">
        <v>363</v>
      </c>
      <c r="C220" s="355"/>
      <c r="D220" s="355"/>
      <c r="E220" s="355"/>
      <c r="F220" s="355"/>
      <c r="G220" s="355"/>
      <c r="H220" s="355"/>
      <c r="I220" s="356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210.79497314275591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590.55807777120003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267.75097161120004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37.680739199999998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104.5092384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530.44138721964077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ht="15" customHeight="1" x14ac:dyDescent="0.25">
      <c r="B243" s="335" t="s">
        <v>380</v>
      </c>
      <c r="C243" s="336"/>
    </row>
    <row r="244" spans="2:8" ht="15.75" customHeight="1" thickBot="1" x14ac:dyDescent="0.3">
      <c r="B244" s="337"/>
      <c r="C244" s="338"/>
    </row>
    <row r="248" spans="2:8" ht="15.75" thickBot="1" x14ac:dyDescent="0.3"/>
    <row r="249" spans="2:8" ht="15.75" thickBot="1" x14ac:dyDescent="0.3">
      <c r="B249" s="206" t="s">
        <v>350</v>
      </c>
      <c r="C249" s="230" t="str">
        <f>'DRIVE REACTIONS Zone 1'!C249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4" t="s">
        <v>366</v>
      </c>
      <c r="C251" s="355"/>
      <c r="D251" s="355"/>
      <c r="E251" s="355"/>
      <c r="F251" s="355"/>
      <c r="G251" s="355"/>
      <c r="H251" s="356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15.984407914553836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6.3563999999999998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5.2785179032276055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0.2964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1.52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0.43140000000000001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8.0325291483360015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6.0564</v>
      </c>
      <c r="D256" t="str">
        <f t="shared" si="64"/>
        <v>in</v>
      </c>
      <c r="E256" s="19" t="str">
        <f t="shared" si="61"/>
        <v>ho</v>
      </c>
      <c r="G256" s="211">
        <f>BD15</f>
        <v>5.9249999999999998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50.036950881186783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15.743801800134285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2.701971819038651</v>
      </c>
      <c r="D259" t="str">
        <f t="shared" si="64"/>
        <v>in</v>
      </c>
      <c r="E259" s="19" t="str">
        <f t="shared" si="61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17.716742333136001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5.4935999999999998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4" t="s">
        <v>363</v>
      </c>
      <c r="C269" s="355"/>
      <c r="D269" s="355"/>
      <c r="E269" s="355"/>
      <c r="F269" s="355"/>
      <c r="G269" s="355"/>
      <c r="H269" s="355"/>
      <c r="I269" s="356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4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B90:C91"/>
    <mergeCell ref="R95:S95"/>
    <mergeCell ref="AC95:AD95"/>
    <mergeCell ref="AM95:AN95"/>
    <mergeCell ref="AW95:AX95"/>
    <mergeCell ref="B99:H99"/>
    <mergeCell ref="R99:S99"/>
    <mergeCell ref="AC99:AD99"/>
    <mergeCell ref="AM99:AN99"/>
    <mergeCell ref="AW99:AX99"/>
    <mergeCell ref="G76:H76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BB28:BC28"/>
    <mergeCell ref="B35:I35"/>
    <mergeCell ref="B36:I36"/>
    <mergeCell ref="C61:E61"/>
    <mergeCell ref="C62:E62"/>
    <mergeCell ref="C63:E63"/>
    <mergeCell ref="R20:S20"/>
    <mergeCell ref="AC20:AD20"/>
    <mergeCell ref="AM20:AN20"/>
    <mergeCell ref="AW20:AX20"/>
    <mergeCell ref="W28:X28"/>
    <mergeCell ref="AH28:AI28"/>
    <mergeCell ref="AR28:AS28"/>
    <mergeCell ref="R19:S19"/>
    <mergeCell ref="AC19:AD19"/>
    <mergeCell ref="AM19:AN19"/>
    <mergeCell ref="AW19:AX19"/>
    <mergeCell ref="R18:S18"/>
    <mergeCell ref="W18:X18"/>
    <mergeCell ref="AC18:AD18"/>
    <mergeCell ref="AH18:AI18"/>
    <mergeCell ref="AM18:AN18"/>
    <mergeCell ref="AR18:AS18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AW18:AX18"/>
    <mergeCell ref="BB18:BC18"/>
    <mergeCell ref="AW15:AX15"/>
    <mergeCell ref="BB15:BC15"/>
    <mergeCell ref="O16:P16"/>
    <mergeCell ref="R16:S16"/>
    <mergeCell ref="W16:X16"/>
    <mergeCell ref="AC16:AD16"/>
    <mergeCell ref="AH16:AI16"/>
    <mergeCell ref="AM16:AN16"/>
    <mergeCell ref="AR16:AS16"/>
    <mergeCell ref="AW16:AX16"/>
    <mergeCell ref="R15:S15"/>
    <mergeCell ref="W15:X15"/>
    <mergeCell ref="AC15:AD15"/>
    <mergeCell ref="AH15:AI15"/>
    <mergeCell ref="AM15:AN15"/>
    <mergeCell ref="AR15:AS15"/>
    <mergeCell ref="BB16:BC16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3:X13"/>
    <mergeCell ref="AC13:AD13"/>
    <mergeCell ref="AH13:AI13"/>
    <mergeCell ref="AM13:AN13"/>
    <mergeCell ref="AR13:AS13"/>
    <mergeCell ref="C2:D2"/>
    <mergeCell ref="C3:D4"/>
    <mergeCell ref="F6:G7"/>
    <mergeCell ref="B9:I9"/>
    <mergeCell ref="B10:I10"/>
    <mergeCell ref="R11:S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W11:X11"/>
    <mergeCell ref="AC11:AD11"/>
    <mergeCell ref="AH11:AI11"/>
    <mergeCell ref="AM11:AN11"/>
    <mergeCell ref="AR11:AS11"/>
    <mergeCell ref="AW11:AX11"/>
  </mergeCells>
  <conditionalFormatting sqref="E12:E33 F13:H14 E38:H59">
    <cfRule type="expression" dxfId="488" priority="41">
      <formula>ABS(E12)=MAX(ABS($E$12:$E$33),ABS($E$38:$E$59))</formula>
    </cfRule>
  </conditionalFormatting>
  <conditionalFormatting sqref="F12:F33 F38:F59 G12:H12">
    <cfRule type="expression" dxfId="487" priority="40">
      <formula>ABS(F12)=MAX(ABS($F$12:$F$33),ABS($F$38:$F$59))</formula>
    </cfRule>
  </conditionalFormatting>
  <conditionalFormatting sqref="G12:G33 G38:G59">
    <cfRule type="expression" dxfId="486" priority="39">
      <formula>ABS(G12)=MAX(ABS($G$12:$G$33),ABS($G$38:$G$59))</formula>
    </cfRule>
  </conditionalFormatting>
  <conditionalFormatting sqref="H12:H33 H38:H59">
    <cfRule type="expression" dxfId="485" priority="38">
      <formula>ABS(H12)=MAX(ABS($H$12:$H$33),ABS($H$38:$H$59))</formula>
    </cfRule>
  </conditionalFormatting>
  <conditionalFormatting sqref="I38:I59 I12:I35">
    <cfRule type="expression" dxfId="484" priority="37">
      <formula>ABS(I12)=MAX(ABS($I$12:$I$33),ABS($I$38:$I$59))</formula>
    </cfRule>
  </conditionalFormatting>
  <conditionalFormatting sqref="E12:I35 E38:I59">
    <cfRule type="expression" priority="36" stopIfTrue="1">
      <formula>E12=0</formula>
    </cfRule>
  </conditionalFormatting>
  <conditionalFormatting sqref="V4">
    <cfRule type="expression" dxfId="483" priority="30">
      <formula>$F$9="Zone 5"</formula>
    </cfRule>
    <cfRule type="expression" dxfId="482" priority="31">
      <formula>$F$9="Zone 4"</formula>
    </cfRule>
    <cfRule type="expression" dxfId="481" priority="32">
      <formula>$F$9="Zone 3"</formula>
    </cfRule>
    <cfRule type="expression" dxfId="480" priority="33">
      <formula>$F$9="Zone 2"</formula>
    </cfRule>
    <cfRule type="expression" dxfId="479" priority="34">
      <formula>$F$9="Zone 1"</formula>
    </cfRule>
    <cfRule type="expression" dxfId="478" priority="35">
      <formula>$F$9="Zone 1 - Drive"</formula>
    </cfRule>
  </conditionalFormatting>
  <conditionalFormatting sqref="Y41:Y150 AJ41:AJ150 AT41:AT150 BD41:BD150">
    <cfRule type="expression" dxfId="477" priority="29">
      <formula>Y41="Satisfactory"</formula>
    </cfRule>
  </conditionalFormatting>
  <conditionalFormatting sqref="AG4">
    <cfRule type="expression" dxfId="476" priority="23">
      <formula>$F$9="Zone 5"</formula>
    </cfRule>
    <cfRule type="expression" dxfId="475" priority="24">
      <formula>$F$9="Zone 4"</formula>
    </cfRule>
    <cfRule type="expression" dxfId="474" priority="25">
      <formula>$F$9="Zone 3"</formula>
    </cfRule>
    <cfRule type="expression" dxfId="473" priority="26">
      <formula>$F$9="Zone 2"</formula>
    </cfRule>
    <cfRule type="expression" dxfId="472" priority="27">
      <formula>$F$9="Zone 1"</formula>
    </cfRule>
    <cfRule type="expression" dxfId="471" priority="28">
      <formula>$F$9="Zone 1 - Drive"</formula>
    </cfRule>
  </conditionalFormatting>
  <conditionalFormatting sqref="AQ4">
    <cfRule type="expression" dxfId="470" priority="17">
      <formula>$F$9="Zone 5"</formula>
    </cfRule>
    <cfRule type="expression" dxfId="469" priority="18">
      <formula>$F$9="Zone 4"</formula>
    </cfRule>
    <cfRule type="expression" dxfId="468" priority="19">
      <formula>$F$9="Zone 3"</formula>
    </cfRule>
    <cfRule type="expression" dxfId="467" priority="20">
      <formula>$F$9="Zone 2"</formula>
    </cfRule>
    <cfRule type="expression" dxfId="466" priority="21">
      <formula>$F$9="Zone 1"</formula>
    </cfRule>
    <cfRule type="expression" dxfId="465" priority="22">
      <formula>$F$9="Zone 1 - Drive"</formula>
    </cfRule>
  </conditionalFormatting>
  <conditionalFormatting sqref="BA4">
    <cfRule type="expression" dxfId="464" priority="11">
      <formula>$F$9="Zone 5"</formula>
    </cfRule>
    <cfRule type="expression" dxfId="463" priority="12">
      <formula>$F$9="Zone 4"</formula>
    </cfRule>
    <cfRule type="expression" dxfId="462" priority="13">
      <formula>$F$9="Zone 3"</formula>
    </cfRule>
    <cfRule type="expression" dxfId="461" priority="14">
      <formula>$F$9="Zone 2"</formula>
    </cfRule>
    <cfRule type="expression" dxfId="460" priority="15">
      <formula>$F$9="Zone 1"</formula>
    </cfRule>
    <cfRule type="expression" dxfId="459" priority="16">
      <formula>$F$9="Zone 1 - Drive"</formula>
    </cfRule>
  </conditionalFormatting>
  <conditionalFormatting sqref="C132 C186 C235 C284">
    <cfRule type="cellIs" dxfId="458" priority="10" operator="greaterThan">
      <formula>1</formula>
    </cfRule>
  </conditionalFormatting>
  <conditionalFormatting sqref="Y31:Y40 AJ31:AJ40 AT31:AT40 BD31:BD40">
    <cfRule type="expression" dxfId="457" priority="9">
      <formula>Y31="Satisfactory"</formula>
    </cfRule>
  </conditionalFormatting>
  <conditionalFormatting sqref="Y158:Y179">
    <cfRule type="top10" dxfId="456" priority="8" rank="1"/>
  </conditionalFormatting>
  <conditionalFormatting sqref="Y184:Y205">
    <cfRule type="top10" dxfId="455" priority="7" rank="1"/>
  </conditionalFormatting>
  <conditionalFormatting sqref="AJ158:AJ179">
    <cfRule type="top10" dxfId="454" priority="6" rank="1"/>
  </conditionalFormatting>
  <conditionalFormatting sqref="AJ184:AJ205">
    <cfRule type="top10" dxfId="453" priority="5" rank="1"/>
  </conditionalFormatting>
  <conditionalFormatting sqref="AT158:AT179">
    <cfRule type="top10" dxfId="452" priority="4" rank="1"/>
  </conditionalFormatting>
  <conditionalFormatting sqref="AT184:AT205">
    <cfRule type="top10" dxfId="451" priority="3" rank="1"/>
  </conditionalFormatting>
  <conditionalFormatting sqref="BD158:BD179">
    <cfRule type="top10" dxfId="450" priority="2" rank="1"/>
  </conditionalFormatting>
  <conditionalFormatting sqref="BD184:BD205">
    <cfRule type="top10" dxfId="449" priority="1" rank="1"/>
  </conditionalFormatting>
  <dataValidations disablePrompts="1" count="1">
    <dataValidation type="list" allowBlank="1" showInputMessage="1" showErrorMessage="1" sqref="P17" xr:uid="{318EEC94-431F-45B5-8479-E654EE6125AB}">
      <formula1>"No,Yes"</formula1>
    </dataValidation>
  </dataValidations>
  <pageMargins left="0.7" right="0.7" top="0.75" bottom="0.75" header="0.3" footer="0.3"/>
  <pageSetup scale="39" orientation="portrait" r:id="rId1"/>
  <colBreaks count="1" manualBreakCount="1"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DE3BFD09-0661-4180-BEC6-F9100F5B77D5}">
          <x14:formula1>
            <xm:f>List!$D$2:$D$5</xm:f>
          </x14:formula1>
          <xm:sqref>P21</xm:sqref>
        </x14:dataValidation>
        <x14:dataValidation type="list" allowBlank="1" showInputMessage="1" showErrorMessage="1" xr:uid="{A44C093A-D305-4106-A92C-860DA6E02F94}">
          <x14:formula1>
            <xm:f>'Load Combinations'!$A$1:$D$1</xm:f>
          </x14:formula1>
          <xm:sqref>C11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fitToPage="1"/>
  </sheetPr>
  <dimension ref="B2:BG286"/>
  <sheetViews>
    <sheetView showGridLines="0" view="pageBreakPreview" zoomScale="70" zoomScaleNormal="100" zoomScaleSheetLayoutView="70" workbookViewId="0">
      <selection activeCell="B286" sqref="B286"/>
    </sheetView>
  </sheetViews>
  <sheetFormatPr defaultRowHeight="15" x14ac:dyDescent="0.25"/>
  <cols>
    <col min="2" max="2" width="43" customWidth="1"/>
    <col min="3" max="3" width="35.7109375" bestFit="1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13.7109375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5" t="s">
        <v>99</v>
      </c>
      <c r="D3" s="336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37"/>
      <c r="D4" s="338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21.7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7.25" customHeight="1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52.5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4.3729000000000005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9.3188240808333358</v>
      </c>
      <c r="Z11" s="166" t="s">
        <v>173</v>
      </c>
      <c r="AC11" s="341" t="s">
        <v>171</v>
      </c>
      <c r="AD11" s="340"/>
      <c r="AE11" s="164">
        <f>2*(AE15*AE14)+((AE12-(2*AE14))*AE13)</f>
        <v>5.8167999999999997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13.279850213333331</v>
      </c>
      <c r="AK11" s="166" t="s">
        <v>173</v>
      </c>
      <c r="AM11" s="341" t="s">
        <v>171</v>
      </c>
      <c r="AN11" s="340"/>
      <c r="AO11" s="164">
        <f>2*(AO15*AO14)+((AO12-(2*AO14))*AO13)</f>
        <v>5.8167999999999997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13.279850213333331</v>
      </c>
      <c r="AU11" s="166" t="s">
        <v>173</v>
      </c>
      <c r="AW11" s="341" t="s">
        <v>171</v>
      </c>
      <c r="AX11" s="340"/>
      <c r="AY11" s="164">
        <f>2*(AY15*AY14)+((AY12-(2*AY14))*AY13)</f>
        <v>7.2831999999999999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Loads'!E63</f>
        <v>0</v>
      </c>
      <c r="F12" s="21">
        <f>'0 Degree Loads'!F63</f>
        <v>0</v>
      </c>
      <c r="G12" s="21">
        <f>'0 Degree Loads'!G63</f>
        <v>0</v>
      </c>
      <c r="H12" s="21">
        <f>'0 Degree Loads'!H63</f>
        <v>0</v>
      </c>
      <c r="I12" s="22">
        <f>'0 Degree Loads'!I63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INDEX(Shapes!$D$2:$D$17,MATCH(Profile_Zone_1_STD,Shapes!$A$2:$A$17,0))-T9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INDEX(Shapes!$D$2:$D$17,MATCH(Profile_Zone_1_1,Shapes!$A$2:$A$17,0))-AE9</f>
        <v>6.2</v>
      </c>
      <c r="AF12" t="s">
        <v>170</v>
      </c>
      <c r="AG12" s="168"/>
      <c r="AH12" s="342" t="s">
        <v>405</v>
      </c>
      <c r="AI12" s="342"/>
      <c r="AJ12" s="8">
        <f>(2*AJ11)/AE15</f>
        <v>4.4119103698781839</v>
      </c>
      <c r="AK12" s="159" t="s">
        <v>175</v>
      </c>
      <c r="AM12" s="343" t="s">
        <v>174</v>
      </c>
      <c r="AN12" s="342"/>
      <c r="AO12" s="167">
        <f>INDEX(Shapes!$D$2:$D$17,MATCH(Profile_Zone_1_2,Shapes!$A$2:$A$17,0))-AO9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INDEX(Shapes!$D$2:$D$17,MATCH(Profile_Zone_1_3,Shapes!$A$2:$A$17,0))-AY9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Loads'!E64</f>
        <v>0</v>
      </c>
      <c r="F13" s="23">
        <f>'0 Degree Loads'!F64</f>
        <v>0</v>
      </c>
      <c r="G13" s="23">
        <f>'0 Degree Loads'!G64</f>
        <v>0</v>
      </c>
      <c r="H13" s="23">
        <f>'0 Degree Loads'!H64</f>
        <v>0</v>
      </c>
      <c r="I13" s="24">
        <f>'0 Degree Loads'!I64</f>
        <v>0</v>
      </c>
      <c r="R13" s="343" t="s">
        <v>176</v>
      </c>
      <c r="S13" s="342"/>
      <c r="T13" s="167">
        <f>INDEX(Shapes!$H$2:$H$17,MATCH(Profile_Zone_1_STD,Shapes!$A$2:$A$17,0))-T9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INDEX(Shapes!$Y$2:$Y$17,MATCH(Profile_Zone_1_STD,Shapes!$A$2:$A$17,0))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INDEX(Shapes!$H$2:$H$17,MATCH(Profile_Zone_1_1,Shapes!$A$2:$A$17,0))-AE9</f>
        <v>0.26</v>
      </c>
      <c r="AF13" t="s">
        <v>170</v>
      </c>
      <c r="AG13" s="168"/>
      <c r="AH13" s="342" t="s">
        <v>177</v>
      </c>
      <c r="AI13" s="342"/>
      <c r="AJ13" s="8">
        <f>INDEX(Shapes!$Y$2:$Y$17,MATCH(Profile_Zone_1_1,Shapes!$A$2:$A$17,0))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INDEX(Shapes!$Y$2:$Y$17,MATCH(Profile_Zone_1_2,Shapes!$A$2:$A$17,0))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INDEX(Shapes!$H$2:$H$17,MATCH(Profile_Zone_1_3,Shapes!$A$2:$A$17,0))-AY9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INDEX(Shapes!$Y$2:$Y$17,MATCH(Profile_Zone_1_3,Shapes!$A$2:$A$17,0))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Loads'!E65</f>
        <v>0</v>
      </c>
      <c r="F14" s="23">
        <f>'0 Degree Loads'!F65</f>
        <v>0</v>
      </c>
      <c r="G14" s="23">
        <f>'0 Degree Loads'!G65</f>
        <v>0</v>
      </c>
      <c r="H14" s="23">
        <f>'0 Degree Loads'!H65</f>
        <v>0</v>
      </c>
      <c r="I14" s="24">
        <f>'0 Degree Loads'!I65</f>
        <v>0</v>
      </c>
      <c r="R14" s="343" t="s">
        <v>178</v>
      </c>
      <c r="S14" s="342"/>
      <c r="T14" s="167">
        <f>INDEX(Shapes!$K$2:$K$17,MATCH(Profile_Zone_1_STD,Shapes!$A$2:$A$17,0))-T9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INDEX(Shapes!$K$2:$K$17,MATCH(Profile_Zone_1_1,Shapes!$A$2:$A$17,0))-AE9</f>
        <v>0.36499999999999999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6.7063159999999993</v>
      </c>
      <c r="AK14" s="159" t="s">
        <v>175</v>
      </c>
      <c r="AM14" s="343" t="s">
        <v>178</v>
      </c>
      <c r="AN14" s="342"/>
      <c r="AO14" s="167">
        <f>INDEX(Shapes!$K$2:$K$17,MATCH(Profile_Zone_1_2,Shapes!$A$2:$A$17,0))-AO9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INDEX(Shapes!$K$2:$K$17,MATCH(Profile_Zone_1_3,Shapes!$A$2:$A$17,0))-AY9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Loads'!E66</f>
        <v>0</v>
      </c>
      <c r="F15" s="23">
        <f>'0 Degree Loads'!F66</f>
        <v>0</v>
      </c>
      <c r="G15" s="23">
        <f>'0 Degree Loads'!G66</f>
        <v>0</v>
      </c>
      <c r="H15" s="23">
        <f>'0 Degree Loads'!H66</f>
        <v>0</v>
      </c>
      <c r="I15" s="24">
        <f>'0 Degree Loads'!I66</f>
        <v>0</v>
      </c>
      <c r="R15" s="343" t="s">
        <v>179</v>
      </c>
      <c r="S15" s="342"/>
      <c r="T15" s="167">
        <f>INDEX(Shapes!$F$2:$F$17,MATCH(Profile_Zone_1_STD,Shapes!$A$2:$A$17,0))-T9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INDEX(Shapes!$F$2:$F$17,MATCH(Profile_Zone_1_1,Shapes!$A$2:$A$17,0))-AE9</f>
        <v>6.02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INDEX(Shapes!$F$2:$F$17,MATCH(Profile_Zone_1_3,Shapes!$A$2:$A$17,0))-AY9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Loads'!E67</f>
        <v>0</v>
      </c>
      <c r="F16" s="23">
        <f>'0 Degree Loads'!F67</f>
        <v>0</v>
      </c>
      <c r="G16" s="23">
        <f>'0 Degree Loads'!G67</f>
        <v>0</v>
      </c>
      <c r="H16" s="23">
        <f>'0 Degree Loads'!H67</f>
        <v>0</v>
      </c>
      <c r="I16" s="24">
        <f>'0 Degree Loads'!I67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41.000898293333343</v>
      </c>
      <c r="AF16" t="s">
        <v>173</v>
      </c>
      <c r="AG16" s="168"/>
      <c r="AH16" s="342" t="s">
        <v>182</v>
      </c>
      <c r="AI16" s="342"/>
      <c r="AJ16" s="8">
        <f>SQRT((AJ11*AJ15)/(2*AE17))</f>
        <v>1.7115365644520282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Loads'!E68</f>
        <v>0</v>
      </c>
      <c r="F17" s="23">
        <f>'0 Degree Loads'!F68</f>
        <v>0</v>
      </c>
      <c r="G17" s="23">
        <f>'0 Degree Loads'!G68</f>
        <v>0</v>
      </c>
      <c r="H17" s="23">
        <f>'0 Degree Loads'!H68</f>
        <v>0</v>
      </c>
      <c r="I17" s="24">
        <f>'0 Degree Loads'!I68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13.226096223655915</v>
      </c>
      <c r="AF17" t="s">
        <v>175</v>
      </c>
      <c r="AG17" s="168"/>
      <c r="AH17" s="342" t="s">
        <v>184</v>
      </c>
      <c r="AI17" s="342"/>
      <c r="AJ17" s="8">
        <f>((2*AE15*AE14^3)+(AJ15*AE13^3))/3</f>
        <v>0.22934218166666664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Loads'!E69</f>
        <v>0</v>
      </c>
      <c r="F18" s="23">
        <f>'0 Degree Loads'!F69</f>
        <v>0</v>
      </c>
      <c r="G18" s="23">
        <f>'0 Degree Loads'!G69</f>
        <v>0</v>
      </c>
      <c r="H18" s="23">
        <f>'0 Degree Loads'!H69</f>
        <v>0</v>
      </c>
      <c r="I18" s="24">
        <f>'0 Degree Loads'!I69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2.6549394458704163</v>
      </c>
      <c r="AF18" t="s">
        <v>170</v>
      </c>
      <c r="AG18" s="168"/>
      <c r="AH18" s="342" t="s">
        <v>186</v>
      </c>
      <c r="AI18" s="342"/>
      <c r="AJ18" s="8">
        <f>AE20/AE13</f>
        <v>21.03846153846154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Loads'!E70</f>
        <v>0</v>
      </c>
      <c r="F19" s="23">
        <f>'0 Degree Loads'!F70</f>
        <v>0</v>
      </c>
      <c r="G19" s="23">
        <f>'0 Degree Loads'!G70</f>
        <v>0</v>
      </c>
      <c r="H19" s="23">
        <f>'0 Degree Loads'!H70</f>
        <v>0</v>
      </c>
      <c r="I19" s="24">
        <f>'0 Degree Loads'!I70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14.766103999999999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Loads'!E71</f>
        <v>0</v>
      </c>
      <c r="F20" s="23">
        <f>'0 Degree Loads'!F71</f>
        <v>0</v>
      </c>
      <c r="G20" s="23">
        <f>'0 Degree Loads'!G71</f>
        <v>0</v>
      </c>
      <c r="H20" s="23">
        <f>'0 Degree Loads'!H71</f>
        <v>0</v>
      </c>
      <c r="I20" s="24">
        <f>'0 Degree Loads'!I71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Loads'!E72</f>
        <v>0</v>
      </c>
      <c r="F21" s="23">
        <f>'0 Degree Loads'!F72</f>
        <v>0</v>
      </c>
      <c r="G21" s="23">
        <f>'0 Degree Loads'!G72</f>
        <v>0</v>
      </c>
      <c r="H21" s="23">
        <f>'0 Degree Loads'!H72</f>
        <v>0</v>
      </c>
      <c r="I21" s="24">
        <f>'0 Degree Loads'!I72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Loads'!E73</f>
        <v>0</v>
      </c>
      <c r="F22" s="23">
        <f>'0 Degree Loads'!F73</f>
        <v>0</v>
      </c>
      <c r="G22" s="23">
        <f>'0 Degree Loads'!G73</f>
        <v>0</v>
      </c>
      <c r="H22" s="23">
        <f>'0 Degree Loads'!H73</f>
        <v>0</v>
      </c>
      <c r="I22" s="24">
        <f>'0 Degree Loads'!I73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Loads'!E74</f>
        <v>0</v>
      </c>
      <c r="F23" s="23">
        <f>'0 Degree Loads'!F74</f>
        <v>0</v>
      </c>
      <c r="G23" s="23">
        <f>'0 Degree Loads'!G74</f>
        <v>0</v>
      </c>
      <c r="H23" s="23">
        <f>'0 Degree Loads'!H74</f>
        <v>0</v>
      </c>
      <c r="I23" s="24">
        <f>'0 Degree Loads'!I74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Loads'!E75</f>
        <v>0</v>
      </c>
      <c r="F24" s="23">
        <f>'0 Degree Loads'!F75</f>
        <v>0</v>
      </c>
      <c r="G24" s="23">
        <f>'0 Degree Loads'!G75</f>
        <v>0</v>
      </c>
      <c r="H24" s="23">
        <f>'0 Degree Loads'!H75</f>
        <v>0</v>
      </c>
      <c r="I24" s="24">
        <f>'0 Degree Loads'!I75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Loads'!E76</f>
        <v>0</v>
      </c>
      <c r="F25" s="23">
        <f>'0 Degree Loads'!F76</f>
        <v>0</v>
      </c>
      <c r="G25" s="23">
        <f>'0 Degree Loads'!G76</f>
        <v>0</v>
      </c>
      <c r="H25" s="23">
        <f>'0 Degree Loads'!H76</f>
        <v>0</v>
      </c>
      <c r="I25" s="24">
        <f>'0 Degree Loads'!I76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Loads'!E77</f>
        <v>0</v>
      </c>
      <c r="F26" s="23">
        <f>'0 Degree Loads'!F77</f>
        <v>0</v>
      </c>
      <c r="G26" s="23">
        <f>'0 Degree Loads'!G77</f>
        <v>0</v>
      </c>
      <c r="H26" s="23">
        <f>'0 Degree Loads'!H77</f>
        <v>0</v>
      </c>
      <c r="I26" s="24">
        <f>'0 Degree Loads'!I77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Loads'!E78</f>
        <v>0</v>
      </c>
      <c r="F27" s="23">
        <f>'0 Degree Loads'!F78</f>
        <v>0</v>
      </c>
      <c r="G27" s="23">
        <f>'0 Degree Loads'!G78</f>
        <v>0</v>
      </c>
      <c r="H27" s="23">
        <f>'0 Degree Loads'!H78</f>
        <v>0</v>
      </c>
      <c r="I27" s="24">
        <f>'0 Degree Loads'!I78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Loads'!E79</f>
        <v>0</v>
      </c>
      <c r="F28" s="23">
        <f>'0 Degree Loads'!F79</f>
        <v>0</v>
      </c>
      <c r="G28" s="23">
        <f>'0 Degree Loads'!G79</f>
        <v>0</v>
      </c>
      <c r="H28" s="23">
        <f>'0 Degree Loads'!H79</f>
        <v>0</v>
      </c>
      <c r="I28" s="24">
        <f>'0 Degree Loads'!I79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Loads'!E80</f>
        <v>0</v>
      </c>
      <c r="F29" s="23">
        <f>'0 Degree Loads'!F80</f>
        <v>0</v>
      </c>
      <c r="G29" s="23">
        <f>'0 Degree Loads'!G80</f>
        <v>0</v>
      </c>
      <c r="H29" s="23">
        <f>'0 Degree Loads'!H80</f>
        <v>0</v>
      </c>
      <c r="I29" s="24">
        <f>'0 Degree Loads'!I80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8.2465753424657535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Loads'!E81</f>
        <v>0</v>
      </c>
      <c r="F30" s="23">
        <f>'0 Degree Loads'!F81</f>
        <v>0</v>
      </c>
      <c r="G30" s="23">
        <f>'0 Degree Loads'!G81</f>
        <v>0</v>
      </c>
      <c r="H30" s="23">
        <f>'0 Degree Loads'!H81</f>
        <v>0</v>
      </c>
      <c r="I30" s="24">
        <f>'0 Degree Loads'!I81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Loads'!E82</f>
        <v>0</v>
      </c>
      <c r="F31" s="23">
        <f>'0 Degree Loads'!F82</f>
        <v>0</v>
      </c>
      <c r="G31" s="23">
        <f>'0 Degree Loads'!G82</f>
        <v>0</v>
      </c>
      <c r="H31" s="23">
        <f>'0 Degree Loads'!H82</f>
        <v>0</v>
      </c>
      <c r="I31" s="24">
        <f>'0 Degree Loads'!I82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Loads'!E83</f>
        <v>0</v>
      </c>
      <c r="F32" s="23">
        <f>'0 Degree Loads'!F83</f>
        <v>0</v>
      </c>
      <c r="G32" s="23">
        <f>'0 Degree Loads'!G83</f>
        <v>0</v>
      </c>
      <c r="H32" s="23">
        <f>'0 Degree Loads'!H83</f>
        <v>0</v>
      </c>
      <c r="I32" s="24">
        <f>'0 Degree Loads'!I83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21.03846153846154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9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Loads'!E84</f>
        <v>0</v>
      </c>
      <c r="F33" s="31">
        <f>'0 Degree Loads'!F84</f>
        <v>0</v>
      </c>
      <c r="G33" s="31">
        <f>'0 Degree Loads'!G84</f>
        <v>0</v>
      </c>
      <c r="H33" s="31">
        <f>'0 Degree Loads'!H84</f>
        <v>0</v>
      </c>
      <c r="I33" s="32">
        <f>'0 Degree Loads'!I84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9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9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9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8.2465753424657535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9" s="16" customFormat="1" ht="54.6" customHeight="1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G37" s="17"/>
    </row>
    <row r="38" spans="2:59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Loads'!E63</f>
        <v>0</v>
      </c>
      <c r="F38" s="21">
        <f>'55 Degree Loads'!F63</f>
        <v>0</v>
      </c>
      <c r="G38" s="21">
        <f>'55 Degree Loads'!G63</f>
        <v>0</v>
      </c>
      <c r="H38" s="21">
        <f>'55 Degree Loads'!H63</f>
        <v>0</v>
      </c>
      <c r="I38" s="22">
        <f>'55 Degree Loads'!I63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9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Loads'!E64</f>
        <v>0</v>
      </c>
      <c r="F39" s="23">
        <f>'55 Degree Loads'!F64</f>
        <v>0</v>
      </c>
      <c r="G39" s="23">
        <f>'55 Degree Loads'!G64</f>
        <v>0</v>
      </c>
      <c r="H39" s="23">
        <f>'55 Degree Loads'!H64</f>
        <v>0</v>
      </c>
      <c r="I39" s="24">
        <f>'55 Degree Loads'!I64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21.03846153846154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9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Loads'!E65</f>
        <v>0</v>
      </c>
      <c r="F40" s="23">
        <f>'55 Degree Loads'!F65</f>
        <v>0</v>
      </c>
      <c r="G40" s="23">
        <f>'55 Degree Loads'!G65</f>
        <v>0</v>
      </c>
      <c r="H40" s="23">
        <f>'55 Degree Loads'!H65</f>
        <v>0</v>
      </c>
      <c r="I40" s="24">
        <f>'55 Degree Loads'!I65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9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Loads'!E66</f>
        <v>0</v>
      </c>
      <c r="F41" s="23">
        <f>'55 Degree Loads'!F66</f>
        <v>0</v>
      </c>
      <c r="G41" s="23">
        <f>'55 Degree Loads'!G66</f>
        <v>0</v>
      </c>
      <c r="H41" s="23">
        <f>'55 Degree Loads'!H66</f>
        <v>0</v>
      </c>
      <c r="I41" s="24">
        <f>'55 Degree Loads'!I66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9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Loads'!E67</f>
        <v>0</v>
      </c>
      <c r="F42" s="23">
        <f>'55 Degree Loads'!F67</f>
        <v>0</v>
      </c>
      <c r="G42" s="23">
        <f>'55 Degree Loads'!G67</f>
        <v>0</v>
      </c>
      <c r="H42" s="23">
        <f>'55 Degree Loads'!H67</f>
        <v>0</v>
      </c>
      <c r="I42" s="24">
        <f>'55 Degree Loads'!I67</f>
        <v>0</v>
      </c>
    </row>
    <row r="43" spans="2:59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Loads'!E68</f>
        <v>0</v>
      </c>
      <c r="F43" s="23">
        <f>'55 Degree Loads'!F68</f>
        <v>0</v>
      </c>
      <c r="G43" s="23">
        <f>'55 Degree Loads'!G68</f>
        <v>0</v>
      </c>
      <c r="H43" s="23">
        <f>'55 Degree Loads'!H68</f>
        <v>0</v>
      </c>
      <c r="I43" s="24">
        <f>'55 Degree Loads'!I68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9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Loads'!E69</f>
        <v>0</v>
      </c>
      <c r="F44" s="23">
        <f>'55 Degree Loads'!F69</f>
        <v>0</v>
      </c>
      <c r="G44" s="23">
        <f>'55 Degree Loads'!G69</f>
        <v>0</v>
      </c>
      <c r="H44" s="23">
        <f>'55 Degree Loads'!H69</f>
        <v>0</v>
      </c>
      <c r="I44" s="24">
        <f>'55 Degree Loads'!I69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9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Loads'!E70</f>
        <v>0</v>
      </c>
      <c r="F45" s="23">
        <f>'55 Degree Loads'!F70</f>
        <v>0</v>
      </c>
      <c r="G45" s="23">
        <f>'55 Degree Loads'!G70</f>
        <v>0</v>
      </c>
      <c r="H45" s="23">
        <f>'55 Degree Loads'!H70</f>
        <v>0</v>
      </c>
      <c r="I45" s="24">
        <f>'55 Degree Loads'!I70</f>
        <v>0</v>
      </c>
    </row>
    <row r="46" spans="2:59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Loads'!E71</f>
        <v>0</v>
      </c>
      <c r="F46" s="23">
        <f>'55 Degree Loads'!F71</f>
        <v>0</v>
      </c>
      <c r="G46" s="23">
        <f>'55 Degree Loads'!G71</f>
        <v>0</v>
      </c>
      <c r="H46" s="23">
        <f>'55 Degree Loads'!H71</f>
        <v>0</v>
      </c>
      <c r="I46" s="24">
        <f>'55 Degree Loads'!I71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9.4917419074084517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28.020196889395073</v>
      </c>
    </row>
    <row r="47" spans="2:59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Loads'!E72</f>
        <v>0</v>
      </c>
      <c r="F47" s="23">
        <f>'55 Degree Loads'!F72</f>
        <v>0</v>
      </c>
      <c r="G47" s="23">
        <f>'55 Degree Loads'!G72</f>
        <v>0</v>
      </c>
      <c r="H47" s="23">
        <f>'55 Degree Loads'!H72</f>
        <v>0</v>
      </c>
      <c r="I47" s="24">
        <f>'55 Degree Loads'!I72</f>
        <v>0</v>
      </c>
      <c r="S47" s="173"/>
      <c r="AD47" s="173"/>
      <c r="AN47" s="173"/>
      <c r="AX47" s="173"/>
    </row>
    <row r="48" spans="2:59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Loads'!E73</f>
        <v>0</v>
      </c>
      <c r="F48" s="23">
        <f>'55 Degree Loads'!F73</f>
        <v>0</v>
      </c>
      <c r="G48" s="23">
        <f>'55 Degree Loads'!G73</f>
        <v>0</v>
      </c>
      <c r="H48" s="23">
        <f>'55 Degree Loads'!H73</f>
        <v>0</v>
      </c>
      <c r="I48" s="24">
        <f>'55 Degree Loads'!I73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Loads'!E74</f>
        <v>0</v>
      </c>
      <c r="F49" s="23">
        <f>'55 Degree Loads'!F74</f>
        <v>0</v>
      </c>
      <c r="G49" s="23">
        <f>'55 Degree Loads'!G74</f>
        <v>0</v>
      </c>
      <c r="H49" s="23">
        <f>'55 Degree Loads'!H74</f>
        <v>0</v>
      </c>
      <c r="I49" s="24">
        <f>'55 Degree Loads'!I74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Loads'!E75</f>
        <v>0</v>
      </c>
      <c r="F50" s="23">
        <f>'55 Degree Loads'!F75</f>
        <v>0</v>
      </c>
      <c r="G50" s="23">
        <f>'55 Degree Loads'!G75</f>
        <v>0</v>
      </c>
      <c r="H50" s="23">
        <f>'55 Degree Loads'!H75</f>
        <v>0</v>
      </c>
      <c r="I50" s="24">
        <f>'55 Degree Loads'!I75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Loads'!E76</f>
        <v>0</v>
      </c>
      <c r="F51" s="23">
        <f>'55 Degree Loads'!F76</f>
        <v>0</v>
      </c>
      <c r="G51" s="23">
        <f>'55 Degree Loads'!G76</f>
        <v>0</v>
      </c>
      <c r="H51" s="23">
        <f>'55 Degree Loads'!H76</f>
        <v>0</v>
      </c>
      <c r="I51" s="24">
        <f>'55 Degree Loads'!I76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Loads'!E77</f>
        <v>0</v>
      </c>
      <c r="F52" s="23">
        <f>'55 Degree Loads'!F77</f>
        <v>0</v>
      </c>
      <c r="G52" s="23">
        <f>'55 Degree Loads'!G77</f>
        <v>0</v>
      </c>
      <c r="H52" s="23">
        <f>'55 Degree Loads'!H77</f>
        <v>0</v>
      </c>
      <c r="I52" s="24">
        <f>'55 Degree Loads'!I77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Loads'!E78</f>
        <v>0</v>
      </c>
      <c r="F53" s="23">
        <f>'55 Degree Loads'!F78</f>
        <v>0</v>
      </c>
      <c r="G53" s="23">
        <f>'55 Degree Loads'!G78</f>
        <v>0</v>
      </c>
      <c r="H53" s="23">
        <f>'55 Degree Loads'!H78</f>
        <v>0</v>
      </c>
      <c r="I53" s="24">
        <f>'55 Degree Loads'!I78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Loads'!E79</f>
        <v>0</v>
      </c>
      <c r="F54" s="23">
        <f>'55 Degree Loads'!F79</f>
        <v>0</v>
      </c>
      <c r="G54" s="23">
        <f>'55 Degree Loads'!G79</f>
        <v>0</v>
      </c>
      <c r="H54" s="23">
        <f>'55 Degree Loads'!H79</f>
        <v>0</v>
      </c>
      <c r="I54" s="24">
        <f>'55 Degree Loads'!I79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Loads'!E80</f>
        <v>0</v>
      </c>
      <c r="F55" s="23">
        <f>'55 Degree Loads'!F80</f>
        <v>0</v>
      </c>
      <c r="G55" s="23">
        <f>'55 Degree Loads'!G80</f>
        <v>0</v>
      </c>
      <c r="H55" s="23">
        <f>'55 Degree Loads'!H80</f>
        <v>0</v>
      </c>
      <c r="I55" s="24">
        <f>'55 Degree Loads'!I80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Loads'!E81</f>
        <v>0</v>
      </c>
      <c r="F56" s="23">
        <f>'55 Degree Loads'!F81</f>
        <v>0</v>
      </c>
      <c r="G56" s="23">
        <f>'55 Degree Loads'!G81</f>
        <v>0</v>
      </c>
      <c r="H56" s="23">
        <f>'55 Degree Loads'!H81</f>
        <v>0</v>
      </c>
      <c r="I56" s="24">
        <f>'55 Degree Loads'!I81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Loads'!E82</f>
        <v>0</v>
      </c>
      <c r="F57" s="23">
        <f>'55 Degree Loads'!F82</f>
        <v>0</v>
      </c>
      <c r="G57" s="23">
        <f>'55 Degree Loads'!G82</f>
        <v>0</v>
      </c>
      <c r="H57" s="23">
        <f>'55 Degree Loads'!H82</f>
        <v>0</v>
      </c>
      <c r="I57" s="24">
        <f>'55 Degree Loads'!I82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Loads'!E83</f>
        <v>0</v>
      </c>
      <c r="F58" s="23">
        <f>'55 Degree Loads'!F83</f>
        <v>0</v>
      </c>
      <c r="G58" s="23">
        <f>'55 Degree Loads'!G83</f>
        <v>0</v>
      </c>
      <c r="H58" s="23">
        <f>'55 Degree Loads'!H83</f>
        <v>0</v>
      </c>
      <c r="I58" s="24">
        <f>'55 Degree Loads'!I83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284.89358648330182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Loads'!E84</f>
        <v>0</v>
      </c>
      <c r="F59" s="31">
        <f>'55 Degree Loads'!F84</f>
        <v>0</v>
      </c>
      <c r="G59" s="31">
        <f>'55 Degree Loads'!G84</f>
        <v>0</v>
      </c>
      <c r="H59" s="31">
        <f>'55 Degree Loads'!H84</f>
        <v>0</v>
      </c>
      <c r="I59" s="32">
        <f>'55 Degree Loads'!I84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296.89256817739317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6.02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322.93499851956312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489.17964272785912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5.8167999999999997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284.89358648330182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170.594961966049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738.3051999999999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236.16730361958253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5855.7876632500638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720.40539511910708</v>
      </c>
    </row>
    <row r="90" spans="2:51" x14ac:dyDescent="0.25">
      <c r="B90" s="335" t="s">
        <v>346</v>
      </c>
      <c r="C90" s="336"/>
    </row>
    <row r="91" spans="2:51" ht="15.75" thickBot="1" x14ac:dyDescent="0.3">
      <c r="B91" s="337"/>
      <c r="C91" s="338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738.3051999999999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0.87207332432437801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C109" si="1">T11</f>
        <v>4.3729000000000005</v>
      </c>
      <c r="D100" s="155" t="str">
        <f t="shared" ref="D100:D109" si="2">U11</f>
        <v>in^2</v>
      </c>
      <c r="E100" s="214" t="str">
        <f t="shared" ref="E100:E107" si="3">W11</f>
        <v>Moment of Inertia - y (Iy)</v>
      </c>
      <c r="F100" s="155"/>
      <c r="G100" s="210">
        <f t="shared" ref="G100:H107" si="4">Y11</f>
        <v>9.3188240808333358</v>
      </c>
      <c r="H100" s="166" t="str">
        <f t="shared" si="4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2"/>
        <v>in</v>
      </c>
      <c r="E101" s="19" t="str">
        <f t="shared" si="3"/>
        <v>Elastic Section Modulus - y (Sy)</v>
      </c>
      <c r="G101" s="211">
        <f t="shared" si="4"/>
        <v>3.1114604610461889</v>
      </c>
      <c r="H101" s="159" t="str">
        <f t="shared" si="4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0.64724889637282135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2"/>
        <v>in</v>
      </c>
      <c r="E102" s="19" t="str">
        <f t="shared" si="3"/>
        <v>Radius of Gyration - y (ry)</v>
      </c>
      <c r="G102" s="211">
        <f t="shared" si="4"/>
        <v>1.45</v>
      </c>
      <c r="H102" s="159" t="str">
        <f t="shared" si="4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1.0539627071160749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2"/>
        <v>in</v>
      </c>
      <c r="E103" s="19" t="str">
        <f t="shared" si="3"/>
        <v>Plastic Section Modulus - y (Zy)</v>
      </c>
      <c r="G103" s="211">
        <f t="shared" si="4"/>
        <v>4.736753750000001</v>
      </c>
      <c r="H103" s="159" t="str">
        <f t="shared" si="4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2"/>
        <v>in</v>
      </c>
      <c r="E104" s="19" t="str">
        <f t="shared" si="3"/>
        <v>ho</v>
      </c>
      <c r="G104" s="211">
        <f t="shared" si="4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2"/>
        <v>in^4</v>
      </c>
      <c r="E105" s="19" t="str">
        <f t="shared" si="3"/>
        <v>Effective Radius of Gyration (rts)</v>
      </c>
      <c r="G105" s="211">
        <f t="shared" si="4"/>
        <v>1.6685447284918389</v>
      </c>
      <c r="H105" s="159" t="str">
        <f t="shared" si="4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2"/>
        <v>in^3</v>
      </c>
      <c r="E106" s="19" t="str">
        <f t="shared" si="3"/>
        <v>Torsional Constant - (J)</v>
      </c>
      <c r="G106" s="211">
        <f t="shared" si="4"/>
        <v>9.3425796666666672E-2</v>
      </c>
      <c r="H106" s="159" t="str">
        <f t="shared" si="4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2"/>
        <v>in</v>
      </c>
      <c r="E107" s="19" t="str">
        <f t="shared" si="3"/>
        <v>h/tw</v>
      </c>
      <c r="G107" s="211">
        <f t="shared" si="4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2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1.6510350551715607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2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442.09892215568857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294.23872253065639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335.31579999999997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352.95282959025474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335.31579999999997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335.31579999999997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200.78790419161675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1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1.6120000000000001</v>
      </c>
      <c r="AM134" t="s">
        <v>270</v>
      </c>
      <c r="AN134">
        <f>AO12*AO13</f>
        <v>1.6120000000000001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21.03846153846154</v>
      </c>
      <c r="AM135" t="s">
        <v>186</v>
      </c>
      <c r="AN135">
        <f>AN32</f>
        <v>21.03846153846154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28.95808383233533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35" t="s">
        <v>347</v>
      </c>
      <c r="C145" s="33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37"/>
      <c r="C146" s="33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78.944910179640715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162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5.8167999999999997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13.279850213333331</v>
      </c>
      <c r="H154" s="166" t="str">
        <f>AK11</f>
        <v>in^4</v>
      </c>
    </row>
    <row r="155" spans="2:56" x14ac:dyDescent="0.25">
      <c r="B155" s="209" t="str">
        <f t="shared" ref="B155:B163" si="5">AC12</f>
        <v>Depth (d)</v>
      </c>
      <c r="C155" s="211">
        <f t="shared" ref="C155:C163" si="6">AE12</f>
        <v>6.2</v>
      </c>
      <c r="D155" t="str">
        <f t="shared" ref="D155:D163" si="7">AF12</f>
        <v>in</v>
      </c>
      <c r="E155" s="19" t="str">
        <f t="shared" ref="E155:E161" si="8">AH12</f>
        <v>Elastic Section Modulus - y (Sy)</v>
      </c>
      <c r="G155" s="211">
        <f t="shared" ref="G155:G161" si="9">AJ12</f>
        <v>4.4119103698781839</v>
      </c>
      <c r="H155" s="159" t="str">
        <f t="shared" ref="H155:H160" si="10">AK12</f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5"/>
        <v>Web Thickness (tw)</v>
      </c>
      <c r="C156" s="211">
        <f t="shared" si="6"/>
        <v>0.26</v>
      </c>
      <c r="D156" t="str">
        <f t="shared" si="7"/>
        <v>in</v>
      </c>
      <c r="E156" s="19" t="str">
        <f t="shared" si="8"/>
        <v>Radius of Gyration - y (ry)</v>
      </c>
      <c r="G156" s="211">
        <f t="shared" si="9"/>
        <v>1.5</v>
      </c>
      <c r="H156" s="159" t="str">
        <f t="shared" si="10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18" customHeight="1" thickBot="1" x14ac:dyDescent="0.3">
      <c r="B157" s="209" t="str">
        <f t="shared" si="5"/>
        <v>Flange Thickness (tf)</v>
      </c>
      <c r="C157" s="211">
        <f t="shared" si="6"/>
        <v>0.36499999999999999</v>
      </c>
      <c r="D157" t="str">
        <f t="shared" si="7"/>
        <v>in</v>
      </c>
      <c r="E157" s="19" t="str">
        <f t="shared" si="8"/>
        <v>Plastic Section Modulus - y (Zy)</v>
      </c>
      <c r="G157" s="211">
        <f t="shared" si="9"/>
        <v>6.7063159999999993</v>
      </c>
      <c r="H157" s="159" t="str">
        <f t="shared" si="10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5"/>
        <v>Flange Width (bf)</v>
      </c>
      <c r="C158" s="211">
        <f t="shared" si="6"/>
        <v>6.02</v>
      </c>
      <c r="D158" t="str">
        <f t="shared" si="7"/>
        <v>in</v>
      </c>
      <c r="E158" s="19" t="str">
        <f t="shared" si="8"/>
        <v>ho</v>
      </c>
      <c r="G158" s="211">
        <f t="shared" si="9"/>
        <v>5.835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5"/>
        <v>Moment of Inertia x (Ix)</v>
      </c>
      <c r="C159" s="211">
        <f t="shared" si="6"/>
        <v>41.000898293333343</v>
      </c>
      <c r="D159" t="str">
        <f t="shared" si="7"/>
        <v>in^4</v>
      </c>
      <c r="E159" s="19" t="str">
        <f t="shared" si="8"/>
        <v>Effective Radius of Gyration (rts)</v>
      </c>
      <c r="G159" s="211">
        <f t="shared" si="9"/>
        <v>1.7115365644520282</v>
      </c>
      <c r="H159" s="159" t="str">
        <f t="shared" si="10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11">IF($E13&gt;=0,$E13/1000+$X$36,$E13/1000-$X$36)</f>
        <v>0</v>
      </c>
      <c r="U159" s="111">
        <f t="shared" ref="U159:U179" si="12">$F13/1000+$X$31/1000</f>
        <v>0</v>
      </c>
      <c r="V159" s="111">
        <f t="shared" ref="V159:V179" si="13">IF($G13&gt;=0,$G13/1000+$X$37,$G13/1000-$X$37)</f>
        <v>0</v>
      </c>
      <c r="W159" s="111">
        <f t="shared" ref="W159:W179" si="14">IF(($H13/1000)-($G13/1000)*$S$24&gt;=0,($H13/1000)-($G13/1000)*$S$24+($X$39),($H13/1000)-($G13/1000)*$S$24-($X$39))</f>
        <v>0</v>
      </c>
      <c r="X159" s="111">
        <f t="shared" ref="X159:X179" si="15">IF(($I13/1000)-($E13/1000)*$S$24&gt;=0,($I13/1000)-($E13/1000)*$S$24+($X$38),($I13/1000)-($E13/1000)*$S$24-($X$38))</f>
        <v>0</v>
      </c>
      <c r="Y159" s="182" t="e">
        <f t="shared" ref="Y159:Y179" si="16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7">IF($E13&gt;=0,$E13/1000+$AI$36,$E13/1000-$AI$36)</f>
        <v>0</v>
      </c>
      <c r="AF159" s="111">
        <f t="shared" ref="AF159:AF179" si="18">$F13/1000+$AI$31/1000</f>
        <v>0</v>
      </c>
      <c r="AG159" s="111">
        <f t="shared" ref="AG159:AG179" si="19">IF($G13&gt;=0,$G13/1000+$AI$37,$G13/1000-$AI$37)</f>
        <v>0</v>
      </c>
      <c r="AH159" s="111">
        <f t="shared" ref="AH159:AH179" si="20">IF(($H13/1000)-($G13/1000)*$AD$24&gt;=0,($H13/1000)-($G13/1000)*$AD$24+($AI$39),($H13/1000)-($G13/1000)*$AD$24-($AI$39))</f>
        <v>0</v>
      </c>
      <c r="AI159" s="111">
        <f t="shared" ref="AI159:AI179" si="21">IF(($I13/1000)-($E13/1000)*$AD$24&gt;=0,($I13/1000)-($E13/1000)*$AD$24+($AI$38),($I13/1000)-($E13/1000)*$AD$24-($AI$38))</f>
        <v>0</v>
      </c>
      <c r="AJ159" s="182">
        <f t="shared" ref="AJ159:AJ179" si="22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3">IF($E13&gt;=0,$E13/1000+$AS$36,$E13/1000-$AS$36)</f>
        <v>0</v>
      </c>
      <c r="AP159" s="111">
        <f t="shared" ref="AP159:AP179" si="24">$F13/1000+$AS$31/1000</f>
        <v>0</v>
      </c>
      <c r="AQ159" s="111">
        <f t="shared" ref="AQ159:AQ179" si="25">IF($G13&gt;=0,$G13/1000+$AS$37,$G13/1000-$AS$37)</f>
        <v>0</v>
      </c>
      <c r="AR159" s="111">
        <f t="shared" ref="AR159:AR179" si="26">IF(($H13/1000)-($G13/1000)*$AN$24&gt;=0,($H13/1000)-($G13/1000)*$AN$24+($AS$39),($H13/1000)-($G13/1000)*$AN$24-($AS$39))</f>
        <v>0</v>
      </c>
      <c r="AS159" s="111">
        <f t="shared" ref="AS159:AS179" si="27">IF(($I13/1000)-($E13/1000)*$AN$24&gt;=0,($I13/1000)-($E13/1000)*$AN$24+($AS$38),($I13/1000)-($E13/1000)*$AN$24-($AS$38))</f>
        <v>0</v>
      </c>
      <c r="AT159" s="182">
        <f t="shared" ref="AT159:AT179" si="28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9">IF($E13&gt;=0,$E13/1000+$BC$36,$E13/1000-$BC$36)</f>
        <v>0</v>
      </c>
      <c r="AZ159" s="111">
        <f t="shared" ref="AZ159:AZ179" si="30">$F13/1000+$BC$31/1000</f>
        <v>0</v>
      </c>
      <c r="BA159" s="111">
        <f t="shared" ref="BA159:BA179" si="31">IF($G13&gt;=0,$G13/1000+$BC$37,$G13/1000-$BC$37)</f>
        <v>0</v>
      </c>
      <c r="BB159" s="111">
        <f t="shared" ref="BB159:BB179" si="32">IF(($H13/1000)-($G13/1000)*$AX$24&gt;=0,($H13/1000)-($G13/1000)*$AX$24+($BC$39),($H13/1000)-($G13/1000)*$AX$24-($BC$39))</f>
        <v>0</v>
      </c>
      <c r="BC159" s="111">
        <f t="shared" ref="BC159:BC179" si="33">IF(($I13/1000)-($E13/1000)*$AX$24&gt;=0,($I13/1000)-($E13/1000)*$AX$24+($BC$38),($I13/1000)-($E13/1000)*$AX$24-($BC$38))</f>
        <v>0</v>
      </c>
      <c r="BD159" s="182">
        <f t="shared" ref="BD159:BD179" si="34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5"/>
        <v>Elastic Section Modulus x (Sx)</v>
      </c>
      <c r="C160" s="211">
        <f t="shared" si="6"/>
        <v>13.226096223655915</v>
      </c>
      <c r="D160" t="str">
        <f t="shared" si="7"/>
        <v>in^3</v>
      </c>
      <c r="E160" s="19" t="str">
        <f t="shared" si="8"/>
        <v>Torsional Constant - (J)</v>
      </c>
      <c r="G160" s="211">
        <f t="shared" si="9"/>
        <v>0.22934218166666664</v>
      </c>
      <c r="H160" s="159" t="str">
        <f t="shared" si="10"/>
        <v>in^4</v>
      </c>
      <c r="Q160" s="10">
        <v>3</v>
      </c>
      <c r="R160" s="14" t="s">
        <v>21</v>
      </c>
      <c r="S160" s="34" t="s">
        <v>16</v>
      </c>
      <c r="T160" s="111">
        <f t="shared" si="11"/>
        <v>0</v>
      </c>
      <c r="U160" s="111">
        <f t="shared" si="12"/>
        <v>0</v>
      </c>
      <c r="V160" s="111">
        <f t="shared" si="13"/>
        <v>0</v>
      </c>
      <c r="W160" s="111">
        <f t="shared" si="14"/>
        <v>0</v>
      </c>
      <c r="X160" s="111">
        <f t="shared" si="15"/>
        <v>0</v>
      </c>
      <c r="Y160" s="182" t="e">
        <f t="shared" si="16"/>
        <v>#DIV/0!</v>
      </c>
      <c r="AB160" s="10">
        <v>3</v>
      </c>
      <c r="AC160" s="14" t="s">
        <v>21</v>
      </c>
      <c r="AD160" s="34" t="s">
        <v>16</v>
      </c>
      <c r="AE160" s="111">
        <f t="shared" si="17"/>
        <v>0</v>
      </c>
      <c r="AF160" s="111">
        <f t="shared" si="18"/>
        <v>0</v>
      </c>
      <c r="AG160" s="111">
        <f t="shared" si="19"/>
        <v>0</v>
      </c>
      <c r="AH160" s="111">
        <f t="shared" si="20"/>
        <v>0</v>
      </c>
      <c r="AI160" s="111">
        <f t="shared" si="21"/>
        <v>0</v>
      </c>
      <c r="AJ160" s="182">
        <f t="shared" si="22"/>
        <v>0</v>
      </c>
      <c r="AL160" s="10">
        <v>3</v>
      </c>
      <c r="AM160" s="14" t="s">
        <v>21</v>
      </c>
      <c r="AN160" s="34" t="s">
        <v>16</v>
      </c>
      <c r="AO160" s="111">
        <f t="shared" si="23"/>
        <v>0</v>
      </c>
      <c r="AP160" s="111">
        <f t="shared" si="24"/>
        <v>0</v>
      </c>
      <c r="AQ160" s="111">
        <f t="shared" si="25"/>
        <v>0</v>
      </c>
      <c r="AR160" s="111">
        <f t="shared" si="26"/>
        <v>0</v>
      </c>
      <c r="AS160" s="111">
        <f t="shared" si="27"/>
        <v>0</v>
      </c>
      <c r="AT160" s="182">
        <f t="shared" si="28"/>
        <v>0</v>
      </c>
      <c r="AV160" s="10">
        <v>3</v>
      </c>
      <c r="AW160" s="14" t="s">
        <v>21</v>
      </c>
      <c r="AX160" s="34" t="s">
        <v>16</v>
      </c>
      <c r="AY160" s="111">
        <f t="shared" si="29"/>
        <v>0</v>
      </c>
      <c r="AZ160" s="111">
        <f t="shared" si="30"/>
        <v>0</v>
      </c>
      <c r="BA160" s="111">
        <f t="shared" si="31"/>
        <v>0</v>
      </c>
      <c r="BB160" s="111">
        <f t="shared" si="32"/>
        <v>0</v>
      </c>
      <c r="BC160" s="111">
        <f t="shared" si="33"/>
        <v>0</v>
      </c>
      <c r="BD160" s="182">
        <f t="shared" si="34"/>
        <v>0</v>
      </c>
    </row>
    <row r="161" spans="2:56" x14ac:dyDescent="0.25">
      <c r="B161" s="209" t="str">
        <f t="shared" si="5"/>
        <v>Radius of Gyration about X (rx)</v>
      </c>
      <c r="C161" s="211">
        <f t="shared" si="6"/>
        <v>2.6549394458704163</v>
      </c>
      <c r="D161" t="str">
        <f t="shared" si="7"/>
        <v>in</v>
      </c>
      <c r="E161" s="19" t="str">
        <f t="shared" si="8"/>
        <v>h/tw</v>
      </c>
      <c r="G161" s="211">
        <f t="shared" si="9"/>
        <v>21.03846153846154</v>
      </c>
      <c r="H161" s="159"/>
      <c r="Q161" s="10">
        <v>4</v>
      </c>
      <c r="R161" s="14" t="s">
        <v>22</v>
      </c>
      <c r="S161" s="34" t="s">
        <v>16</v>
      </c>
      <c r="T161" s="111">
        <f t="shared" si="11"/>
        <v>0</v>
      </c>
      <c r="U161" s="111">
        <f t="shared" si="12"/>
        <v>0</v>
      </c>
      <c r="V161" s="111">
        <f t="shared" si="13"/>
        <v>0</v>
      </c>
      <c r="W161" s="111">
        <f t="shared" si="14"/>
        <v>0</v>
      </c>
      <c r="X161" s="111">
        <f t="shared" si="15"/>
        <v>0</v>
      </c>
      <c r="Y161" s="182" t="e">
        <f t="shared" si="16"/>
        <v>#DIV/0!</v>
      </c>
      <c r="AB161" s="10">
        <v>4</v>
      </c>
      <c r="AC161" s="14" t="s">
        <v>22</v>
      </c>
      <c r="AD161" s="34" t="s">
        <v>16</v>
      </c>
      <c r="AE161" s="111">
        <f t="shared" si="17"/>
        <v>0</v>
      </c>
      <c r="AF161" s="111">
        <f t="shared" si="18"/>
        <v>0</v>
      </c>
      <c r="AG161" s="111">
        <f t="shared" si="19"/>
        <v>0</v>
      </c>
      <c r="AH161" s="111">
        <f t="shared" si="20"/>
        <v>0</v>
      </c>
      <c r="AI161" s="111">
        <f t="shared" si="21"/>
        <v>0</v>
      </c>
      <c r="AJ161" s="182">
        <f t="shared" si="22"/>
        <v>0</v>
      </c>
      <c r="AL161" s="10">
        <v>4</v>
      </c>
      <c r="AM161" s="14" t="s">
        <v>22</v>
      </c>
      <c r="AN161" s="34" t="s">
        <v>16</v>
      </c>
      <c r="AO161" s="111">
        <f t="shared" si="23"/>
        <v>0</v>
      </c>
      <c r="AP161" s="111">
        <f t="shared" si="24"/>
        <v>0</v>
      </c>
      <c r="AQ161" s="111">
        <f t="shared" si="25"/>
        <v>0</v>
      </c>
      <c r="AR161" s="111">
        <f t="shared" si="26"/>
        <v>0</v>
      </c>
      <c r="AS161" s="111">
        <f t="shared" si="27"/>
        <v>0</v>
      </c>
      <c r="AT161" s="182">
        <f t="shared" si="28"/>
        <v>0</v>
      </c>
      <c r="AV161" s="10">
        <v>4</v>
      </c>
      <c r="AW161" s="14" t="s">
        <v>22</v>
      </c>
      <c r="AX161" s="34" t="s">
        <v>16</v>
      </c>
      <c r="AY161" s="111">
        <f t="shared" si="29"/>
        <v>0</v>
      </c>
      <c r="AZ161" s="111">
        <f t="shared" si="30"/>
        <v>0</v>
      </c>
      <c r="BA161" s="111">
        <f t="shared" si="31"/>
        <v>0</v>
      </c>
      <c r="BB161" s="111">
        <f t="shared" si="32"/>
        <v>0</v>
      </c>
      <c r="BC161" s="111">
        <f t="shared" si="33"/>
        <v>0</v>
      </c>
      <c r="BD161" s="182">
        <f t="shared" si="34"/>
        <v>0</v>
      </c>
    </row>
    <row r="162" spans="2:56" x14ac:dyDescent="0.25">
      <c r="B162" s="209" t="str">
        <f t="shared" si="5"/>
        <v>Plastic Section Modulus - X (Zx)</v>
      </c>
      <c r="C162" s="211">
        <f t="shared" si="6"/>
        <v>14.766103999999999</v>
      </c>
      <c r="D162" t="str">
        <f t="shared" si="7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11"/>
        <v>0</v>
      </c>
      <c r="U162" s="111">
        <f t="shared" si="12"/>
        <v>0</v>
      </c>
      <c r="V162" s="111">
        <f t="shared" si="13"/>
        <v>0</v>
      </c>
      <c r="W162" s="111">
        <f t="shared" si="14"/>
        <v>0</v>
      </c>
      <c r="X162" s="111">
        <f t="shared" si="15"/>
        <v>0</v>
      </c>
      <c r="Y162" s="182" t="e">
        <f t="shared" si="16"/>
        <v>#DIV/0!</v>
      </c>
      <c r="AB162" s="10">
        <v>5</v>
      </c>
      <c r="AC162" s="14" t="s">
        <v>35</v>
      </c>
      <c r="AD162" s="34" t="s">
        <v>16</v>
      </c>
      <c r="AE162" s="111">
        <f t="shared" si="17"/>
        <v>0</v>
      </c>
      <c r="AF162" s="111">
        <f t="shared" si="18"/>
        <v>0</v>
      </c>
      <c r="AG162" s="111">
        <f t="shared" si="19"/>
        <v>0</v>
      </c>
      <c r="AH162" s="111">
        <f t="shared" si="20"/>
        <v>0</v>
      </c>
      <c r="AI162" s="111">
        <f t="shared" si="21"/>
        <v>0</v>
      </c>
      <c r="AJ162" s="182">
        <f t="shared" si="22"/>
        <v>0</v>
      </c>
      <c r="AL162" s="10">
        <v>5</v>
      </c>
      <c r="AM162" s="14" t="s">
        <v>35</v>
      </c>
      <c r="AN162" s="34" t="s">
        <v>16</v>
      </c>
      <c r="AO162" s="111">
        <f t="shared" si="23"/>
        <v>0</v>
      </c>
      <c r="AP162" s="111">
        <f t="shared" si="24"/>
        <v>0</v>
      </c>
      <c r="AQ162" s="111">
        <f t="shared" si="25"/>
        <v>0</v>
      </c>
      <c r="AR162" s="111">
        <f t="shared" si="26"/>
        <v>0</v>
      </c>
      <c r="AS162" s="111">
        <f t="shared" si="27"/>
        <v>0</v>
      </c>
      <c r="AT162" s="182">
        <f t="shared" si="28"/>
        <v>0</v>
      </c>
      <c r="AV162" s="10">
        <v>5</v>
      </c>
      <c r="AW162" s="14" t="s">
        <v>35</v>
      </c>
      <c r="AX162" s="34" t="s">
        <v>16</v>
      </c>
      <c r="AY162" s="111">
        <f t="shared" si="29"/>
        <v>0</v>
      </c>
      <c r="AZ162" s="111">
        <f t="shared" si="30"/>
        <v>0</v>
      </c>
      <c r="BA162" s="111">
        <f t="shared" si="31"/>
        <v>0</v>
      </c>
      <c r="BB162" s="111">
        <f t="shared" si="32"/>
        <v>0</v>
      </c>
      <c r="BC162" s="111">
        <f t="shared" si="33"/>
        <v>0</v>
      </c>
      <c r="BD162" s="182">
        <f t="shared" si="34"/>
        <v>0</v>
      </c>
    </row>
    <row r="163" spans="2:56" ht="15.75" thickBot="1" x14ac:dyDescent="0.3">
      <c r="B163" s="213" t="str">
        <f t="shared" si="5"/>
        <v>Wh</v>
      </c>
      <c r="C163" s="212">
        <f t="shared" si="6"/>
        <v>5.4700000000000006</v>
      </c>
      <c r="D163" s="162" t="str">
        <f t="shared" si="7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11"/>
        <v>0</v>
      </c>
      <c r="U163" s="111">
        <f t="shared" si="12"/>
        <v>0</v>
      </c>
      <c r="V163" s="111">
        <f t="shared" si="13"/>
        <v>0</v>
      </c>
      <c r="W163" s="111">
        <f t="shared" si="14"/>
        <v>0</v>
      </c>
      <c r="X163" s="111">
        <f t="shared" si="15"/>
        <v>0</v>
      </c>
      <c r="Y163" s="182" t="e">
        <f t="shared" si="16"/>
        <v>#DIV/0!</v>
      </c>
      <c r="AB163" s="10">
        <v>6</v>
      </c>
      <c r="AC163" s="14" t="s">
        <v>36</v>
      </c>
      <c r="AD163" s="34" t="s">
        <v>16</v>
      </c>
      <c r="AE163" s="111">
        <f t="shared" si="17"/>
        <v>0</v>
      </c>
      <c r="AF163" s="111">
        <f t="shared" si="18"/>
        <v>0</v>
      </c>
      <c r="AG163" s="111">
        <f t="shared" si="19"/>
        <v>0</v>
      </c>
      <c r="AH163" s="111">
        <f t="shared" si="20"/>
        <v>0</v>
      </c>
      <c r="AI163" s="111">
        <f t="shared" si="21"/>
        <v>0</v>
      </c>
      <c r="AJ163" s="182">
        <f t="shared" si="22"/>
        <v>0</v>
      </c>
      <c r="AL163" s="10">
        <v>6</v>
      </c>
      <c r="AM163" s="14" t="s">
        <v>36</v>
      </c>
      <c r="AN163" s="34" t="s">
        <v>16</v>
      </c>
      <c r="AO163" s="111">
        <f t="shared" si="23"/>
        <v>0</v>
      </c>
      <c r="AP163" s="111">
        <f t="shared" si="24"/>
        <v>0</v>
      </c>
      <c r="AQ163" s="111">
        <f t="shared" si="25"/>
        <v>0</v>
      </c>
      <c r="AR163" s="111">
        <f t="shared" si="26"/>
        <v>0</v>
      </c>
      <c r="AS163" s="111">
        <f t="shared" si="27"/>
        <v>0</v>
      </c>
      <c r="AT163" s="182">
        <f t="shared" si="28"/>
        <v>0</v>
      </c>
      <c r="AV163" s="10">
        <v>6</v>
      </c>
      <c r="AW163" s="14" t="s">
        <v>36</v>
      </c>
      <c r="AX163" s="34" t="s">
        <v>16</v>
      </c>
      <c r="AY163" s="111">
        <f t="shared" si="29"/>
        <v>0</v>
      </c>
      <c r="AZ163" s="111">
        <f t="shared" si="30"/>
        <v>0</v>
      </c>
      <c r="BA163" s="111">
        <f t="shared" si="31"/>
        <v>0</v>
      </c>
      <c r="BB163" s="111">
        <f t="shared" si="32"/>
        <v>0</v>
      </c>
      <c r="BC163" s="111">
        <f t="shared" si="33"/>
        <v>0</v>
      </c>
      <c r="BD163" s="182">
        <f t="shared" si="34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11"/>
        <v>0</v>
      </c>
      <c r="U164" s="111">
        <f t="shared" si="12"/>
        <v>0</v>
      </c>
      <c r="V164" s="111">
        <f t="shared" si="13"/>
        <v>0</v>
      </c>
      <c r="W164" s="111">
        <f t="shared" si="14"/>
        <v>0</v>
      </c>
      <c r="X164" s="111">
        <f t="shared" si="15"/>
        <v>0</v>
      </c>
      <c r="Y164" s="182" t="e">
        <f t="shared" si="16"/>
        <v>#DIV/0!</v>
      </c>
      <c r="AB164" s="10">
        <v>7</v>
      </c>
      <c r="AC164" s="14" t="s">
        <v>33</v>
      </c>
      <c r="AD164" s="34" t="s">
        <v>16</v>
      </c>
      <c r="AE164" s="111">
        <f t="shared" si="17"/>
        <v>0</v>
      </c>
      <c r="AF164" s="111">
        <f t="shared" si="18"/>
        <v>0</v>
      </c>
      <c r="AG164" s="111">
        <f t="shared" si="19"/>
        <v>0</v>
      </c>
      <c r="AH164" s="111">
        <f t="shared" si="20"/>
        <v>0</v>
      </c>
      <c r="AI164" s="111">
        <f t="shared" si="21"/>
        <v>0</v>
      </c>
      <c r="AJ164" s="182">
        <f t="shared" si="22"/>
        <v>0</v>
      </c>
      <c r="AL164" s="10">
        <v>7</v>
      </c>
      <c r="AM164" s="14" t="s">
        <v>33</v>
      </c>
      <c r="AN164" s="34" t="s">
        <v>16</v>
      </c>
      <c r="AO164" s="111">
        <f t="shared" si="23"/>
        <v>0</v>
      </c>
      <c r="AP164" s="111">
        <f t="shared" si="24"/>
        <v>0</v>
      </c>
      <c r="AQ164" s="111">
        <f t="shared" si="25"/>
        <v>0</v>
      </c>
      <c r="AR164" s="111">
        <f t="shared" si="26"/>
        <v>0</v>
      </c>
      <c r="AS164" s="111">
        <f t="shared" si="27"/>
        <v>0</v>
      </c>
      <c r="AT164" s="182">
        <f t="shared" si="28"/>
        <v>0</v>
      </c>
      <c r="AV164" s="10">
        <v>7</v>
      </c>
      <c r="AW164" s="14" t="s">
        <v>33</v>
      </c>
      <c r="AX164" s="34" t="s">
        <v>16</v>
      </c>
      <c r="AY164" s="111">
        <f t="shared" si="29"/>
        <v>0</v>
      </c>
      <c r="AZ164" s="111">
        <f t="shared" si="30"/>
        <v>0</v>
      </c>
      <c r="BA164" s="111">
        <f t="shared" si="31"/>
        <v>0</v>
      </c>
      <c r="BB164" s="111">
        <f t="shared" si="32"/>
        <v>0</v>
      </c>
      <c r="BC164" s="111">
        <f t="shared" si="33"/>
        <v>0</v>
      </c>
      <c r="BD164" s="182">
        <f t="shared" si="34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11"/>
        <v>0</v>
      </c>
      <c r="U165" s="111">
        <f t="shared" si="12"/>
        <v>0</v>
      </c>
      <c r="V165" s="111">
        <f t="shared" si="13"/>
        <v>0</v>
      </c>
      <c r="W165" s="111">
        <f t="shared" si="14"/>
        <v>0</v>
      </c>
      <c r="X165" s="111">
        <f t="shared" si="15"/>
        <v>0</v>
      </c>
      <c r="Y165" s="182" t="e">
        <f t="shared" si="16"/>
        <v>#DIV/0!</v>
      </c>
      <c r="AB165" s="10">
        <v>8</v>
      </c>
      <c r="AC165" s="14" t="s">
        <v>34</v>
      </c>
      <c r="AD165" s="34" t="s">
        <v>16</v>
      </c>
      <c r="AE165" s="111">
        <f t="shared" si="17"/>
        <v>0</v>
      </c>
      <c r="AF165" s="111">
        <f t="shared" si="18"/>
        <v>0</v>
      </c>
      <c r="AG165" s="111">
        <f t="shared" si="19"/>
        <v>0</v>
      </c>
      <c r="AH165" s="111">
        <f t="shared" si="20"/>
        <v>0</v>
      </c>
      <c r="AI165" s="111">
        <f t="shared" si="21"/>
        <v>0</v>
      </c>
      <c r="AJ165" s="182">
        <f t="shared" si="22"/>
        <v>0</v>
      </c>
      <c r="AL165" s="10">
        <v>8</v>
      </c>
      <c r="AM165" s="14" t="s">
        <v>34</v>
      </c>
      <c r="AN165" s="34" t="s">
        <v>16</v>
      </c>
      <c r="AO165" s="111">
        <f t="shared" si="23"/>
        <v>0</v>
      </c>
      <c r="AP165" s="111">
        <f t="shared" si="24"/>
        <v>0</v>
      </c>
      <c r="AQ165" s="111">
        <f t="shared" si="25"/>
        <v>0</v>
      </c>
      <c r="AR165" s="111">
        <f t="shared" si="26"/>
        <v>0</v>
      </c>
      <c r="AS165" s="111">
        <f t="shared" si="27"/>
        <v>0</v>
      </c>
      <c r="AT165" s="182">
        <f t="shared" si="28"/>
        <v>0</v>
      </c>
      <c r="AV165" s="10">
        <v>8</v>
      </c>
      <c r="AW165" s="14" t="s">
        <v>34</v>
      </c>
      <c r="AX165" s="34" t="s">
        <v>16</v>
      </c>
      <c r="AY165" s="111">
        <f t="shared" si="29"/>
        <v>0</v>
      </c>
      <c r="AZ165" s="111">
        <f t="shared" si="30"/>
        <v>0</v>
      </c>
      <c r="BA165" s="111">
        <f t="shared" si="31"/>
        <v>0</v>
      </c>
      <c r="BB165" s="111">
        <f t="shared" si="32"/>
        <v>0</v>
      </c>
      <c r="BC165" s="111">
        <f t="shared" si="33"/>
        <v>0</v>
      </c>
      <c r="BD165" s="182">
        <f t="shared" si="34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11"/>
        <v>0</v>
      </c>
      <c r="U166" s="111">
        <f t="shared" si="12"/>
        <v>0</v>
      </c>
      <c r="V166" s="111">
        <f t="shared" si="13"/>
        <v>0</v>
      </c>
      <c r="W166" s="111">
        <f t="shared" si="14"/>
        <v>0</v>
      </c>
      <c r="X166" s="111">
        <f t="shared" si="15"/>
        <v>0</v>
      </c>
      <c r="Y166" s="182" t="e">
        <f t="shared" si="16"/>
        <v>#DIV/0!</v>
      </c>
      <c r="AB166" s="10">
        <v>9</v>
      </c>
      <c r="AC166" s="14" t="s">
        <v>23</v>
      </c>
      <c r="AD166" s="34" t="s">
        <v>16</v>
      </c>
      <c r="AE166" s="111">
        <f t="shared" si="17"/>
        <v>0</v>
      </c>
      <c r="AF166" s="111">
        <f t="shared" si="18"/>
        <v>0</v>
      </c>
      <c r="AG166" s="111">
        <f t="shared" si="19"/>
        <v>0</v>
      </c>
      <c r="AH166" s="111">
        <f t="shared" si="20"/>
        <v>0</v>
      </c>
      <c r="AI166" s="111">
        <f t="shared" si="21"/>
        <v>0</v>
      </c>
      <c r="AJ166" s="182">
        <f t="shared" si="22"/>
        <v>0</v>
      </c>
      <c r="AL166" s="10">
        <v>9</v>
      </c>
      <c r="AM166" s="14" t="s">
        <v>23</v>
      </c>
      <c r="AN166" s="34" t="s">
        <v>16</v>
      </c>
      <c r="AO166" s="111">
        <f t="shared" si="23"/>
        <v>0</v>
      </c>
      <c r="AP166" s="111">
        <f t="shared" si="24"/>
        <v>0</v>
      </c>
      <c r="AQ166" s="111">
        <f t="shared" si="25"/>
        <v>0</v>
      </c>
      <c r="AR166" s="111">
        <f t="shared" si="26"/>
        <v>0</v>
      </c>
      <c r="AS166" s="111">
        <f t="shared" si="27"/>
        <v>0</v>
      </c>
      <c r="AT166" s="182">
        <f t="shared" si="28"/>
        <v>0</v>
      </c>
      <c r="AV166" s="10">
        <v>9</v>
      </c>
      <c r="AW166" s="14" t="s">
        <v>23</v>
      </c>
      <c r="AX166" s="34" t="s">
        <v>16</v>
      </c>
      <c r="AY166" s="111">
        <f t="shared" si="29"/>
        <v>0</v>
      </c>
      <c r="AZ166" s="111">
        <f t="shared" si="30"/>
        <v>0</v>
      </c>
      <c r="BA166" s="111">
        <f t="shared" si="31"/>
        <v>0</v>
      </c>
      <c r="BB166" s="111">
        <f t="shared" si="32"/>
        <v>0</v>
      </c>
      <c r="BC166" s="111">
        <f t="shared" si="33"/>
        <v>0</v>
      </c>
      <c r="BD166" s="182">
        <f t="shared" si="34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11"/>
        <v>0</v>
      </c>
      <c r="U167" s="111">
        <f t="shared" si="12"/>
        <v>0</v>
      </c>
      <c r="V167" s="111">
        <f t="shared" si="13"/>
        <v>0</v>
      </c>
      <c r="W167" s="111">
        <f t="shared" si="14"/>
        <v>0</v>
      </c>
      <c r="X167" s="111">
        <f t="shared" si="15"/>
        <v>0</v>
      </c>
      <c r="Y167" s="182" t="e">
        <f t="shared" si="16"/>
        <v>#DIV/0!</v>
      </c>
      <c r="AB167" s="10">
        <v>10</v>
      </c>
      <c r="AC167" s="14" t="s">
        <v>24</v>
      </c>
      <c r="AD167" s="34" t="s">
        <v>16</v>
      </c>
      <c r="AE167" s="111">
        <f t="shared" si="17"/>
        <v>0</v>
      </c>
      <c r="AF167" s="111">
        <f t="shared" si="18"/>
        <v>0</v>
      </c>
      <c r="AG167" s="111">
        <f t="shared" si="19"/>
        <v>0</v>
      </c>
      <c r="AH167" s="111">
        <f t="shared" si="20"/>
        <v>0</v>
      </c>
      <c r="AI167" s="111">
        <f t="shared" si="21"/>
        <v>0</v>
      </c>
      <c r="AJ167" s="182">
        <f t="shared" si="22"/>
        <v>0</v>
      </c>
      <c r="AL167" s="10">
        <v>10</v>
      </c>
      <c r="AM167" s="14" t="s">
        <v>24</v>
      </c>
      <c r="AN167" s="34" t="s">
        <v>16</v>
      </c>
      <c r="AO167" s="111">
        <f t="shared" si="23"/>
        <v>0</v>
      </c>
      <c r="AP167" s="111">
        <f t="shared" si="24"/>
        <v>0</v>
      </c>
      <c r="AQ167" s="111">
        <f t="shared" si="25"/>
        <v>0</v>
      </c>
      <c r="AR167" s="111">
        <f t="shared" si="26"/>
        <v>0</v>
      </c>
      <c r="AS167" s="111">
        <f t="shared" si="27"/>
        <v>0</v>
      </c>
      <c r="AT167" s="182">
        <f t="shared" si="28"/>
        <v>0</v>
      </c>
      <c r="AV167" s="10">
        <v>10</v>
      </c>
      <c r="AW167" s="14" t="s">
        <v>24</v>
      </c>
      <c r="AX167" s="34" t="s">
        <v>16</v>
      </c>
      <c r="AY167" s="111">
        <f t="shared" si="29"/>
        <v>0</v>
      </c>
      <c r="AZ167" s="111">
        <f t="shared" si="30"/>
        <v>0</v>
      </c>
      <c r="BA167" s="111">
        <f t="shared" si="31"/>
        <v>0</v>
      </c>
      <c r="BB167" s="111">
        <f t="shared" si="32"/>
        <v>0</v>
      </c>
      <c r="BC167" s="111">
        <f t="shared" si="33"/>
        <v>0</v>
      </c>
      <c r="BD167" s="182">
        <f t="shared" si="34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11"/>
        <v>0</v>
      </c>
      <c r="U168" s="111">
        <f t="shared" si="12"/>
        <v>0</v>
      </c>
      <c r="V168" s="111">
        <f t="shared" si="13"/>
        <v>0</v>
      </c>
      <c r="W168" s="111">
        <f t="shared" si="14"/>
        <v>0</v>
      </c>
      <c r="X168" s="111">
        <f t="shared" si="15"/>
        <v>0</v>
      </c>
      <c r="Y168" s="182" t="e">
        <f t="shared" si="16"/>
        <v>#DIV/0!</v>
      </c>
      <c r="AB168" s="10">
        <v>11</v>
      </c>
      <c r="AC168" s="14" t="s">
        <v>25</v>
      </c>
      <c r="AD168" s="34" t="s">
        <v>16</v>
      </c>
      <c r="AE168" s="111">
        <f t="shared" si="17"/>
        <v>0</v>
      </c>
      <c r="AF168" s="111">
        <f t="shared" si="18"/>
        <v>0</v>
      </c>
      <c r="AG168" s="111">
        <f t="shared" si="19"/>
        <v>0</v>
      </c>
      <c r="AH168" s="111">
        <f t="shared" si="20"/>
        <v>0</v>
      </c>
      <c r="AI168" s="111">
        <f t="shared" si="21"/>
        <v>0</v>
      </c>
      <c r="AJ168" s="182">
        <f t="shared" si="22"/>
        <v>0</v>
      </c>
      <c r="AL168" s="10">
        <v>11</v>
      </c>
      <c r="AM168" s="14" t="s">
        <v>25</v>
      </c>
      <c r="AN168" s="34" t="s">
        <v>16</v>
      </c>
      <c r="AO168" s="111">
        <f t="shared" si="23"/>
        <v>0</v>
      </c>
      <c r="AP168" s="111">
        <f t="shared" si="24"/>
        <v>0</v>
      </c>
      <c r="AQ168" s="111">
        <f t="shared" si="25"/>
        <v>0</v>
      </c>
      <c r="AR168" s="111">
        <f t="shared" si="26"/>
        <v>0</v>
      </c>
      <c r="AS168" s="111">
        <f t="shared" si="27"/>
        <v>0</v>
      </c>
      <c r="AT168" s="182">
        <f t="shared" si="28"/>
        <v>0</v>
      </c>
      <c r="AV168" s="10">
        <v>11</v>
      </c>
      <c r="AW168" s="14" t="s">
        <v>25</v>
      </c>
      <c r="AX168" s="34" t="s">
        <v>16</v>
      </c>
      <c r="AY168" s="111">
        <f t="shared" si="29"/>
        <v>0</v>
      </c>
      <c r="AZ168" s="111">
        <f t="shared" si="30"/>
        <v>0</v>
      </c>
      <c r="BA168" s="111">
        <f t="shared" si="31"/>
        <v>0</v>
      </c>
      <c r="BB168" s="111">
        <f t="shared" si="32"/>
        <v>0</v>
      </c>
      <c r="BC168" s="111">
        <f t="shared" si="33"/>
        <v>0</v>
      </c>
      <c r="BD168" s="182">
        <f t="shared" si="34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11"/>
        <v>0</v>
      </c>
      <c r="U169" s="111">
        <f t="shared" si="12"/>
        <v>0</v>
      </c>
      <c r="V169" s="111">
        <f t="shared" si="13"/>
        <v>0</v>
      </c>
      <c r="W169" s="111">
        <f t="shared" si="14"/>
        <v>0</v>
      </c>
      <c r="X169" s="111">
        <f t="shared" si="15"/>
        <v>0</v>
      </c>
      <c r="Y169" s="182" t="e">
        <f t="shared" si="16"/>
        <v>#DIV/0!</v>
      </c>
      <c r="AB169" s="10">
        <v>12</v>
      </c>
      <c r="AC169" s="14" t="s">
        <v>26</v>
      </c>
      <c r="AD169" s="34" t="s">
        <v>16</v>
      </c>
      <c r="AE169" s="111">
        <f t="shared" si="17"/>
        <v>0</v>
      </c>
      <c r="AF169" s="111">
        <f t="shared" si="18"/>
        <v>0</v>
      </c>
      <c r="AG169" s="111">
        <f t="shared" si="19"/>
        <v>0</v>
      </c>
      <c r="AH169" s="111">
        <f t="shared" si="20"/>
        <v>0</v>
      </c>
      <c r="AI169" s="111">
        <f t="shared" si="21"/>
        <v>0</v>
      </c>
      <c r="AJ169" s="182">
        <f t="shared" si="22"/>
        <v>0</v>
      </c>
      <c r="AL169" s="10">
        <v>12</v>
      </c>
      <c r="AM169" s="14" t="s">
        <v>26</v>
      </c>
      <c r="AN169" s="34" t="s">
        <v>16</v>
      </c>
      <c r="AO169" s="111">
        <f t="shared" si="23"/>
        <v>0</v>
      </c>
      <c r="AP169" s="111">
        <f t="shared" si="24"/>
        <v>0</v>
      </c>
      <c r="AQ169" s="111">
        <f t="shared" si="25"/>
        <v>0</v>
      </c>
      <c r="AR169" s="111">
        <f t="shared" si="26"/>
        <v>0</v>
      </c>
      <c r="AS169" s="111">
        <f t="shared" si="27"/>
        <v>0</v>
      </c>
      <c r="AT169" s="182">
        <f t="shared" si="28"/>
        <v>0</v>
      </c>
      <c r="AV169" s="10">
        <v>12</v>
      </c>
      <c r="AW169" s="14" t="s">
        <v>26</v>
      </c>
      <c r="AX169" s="34" t="s">
        <v>16</v>
      </c>
      <c r="AY169" s="111">
        <f t="shared" si="29"/>
        <v>0</v>
      </c>
      <c r="AZ169" s="111">
        <f t="shared" si="30"/>
        <v>0</v>
      </c>
      <c r="BA169" s="111">
        <f t="shared" si="31"/>
        <v>0</v>
      </c>
      <c r="BB169" s="111">
        <f t="shared" si="32"/>
        <v>0</v>
      </c>
      <c r="BC169" s="111">
        <f t="shared" si="33"/>
        <v>0</v>
      </c>
      <c r="BD169" s="182">
        <f t="shared" si="34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11"/>
        <v>0</v>
      </c>
      <c r="U170" s="111">
        <f t="shared" si="12"/>
        <v>0</v>
      </c>
      <c r="V170" s="111">
        <f t="shared" si="13"/>
        <v>0</v>
      </c>
      <c r="W170" s="111">
        <f t="shared" si="14"/>
        <v>0</v>
      </c>
      <c r="X170" s="111">
        <f t="shared" si="15"/>
        <v>0</v>
      </c>
      <c r="Y170" s="182" t="e">
        <f t="shared" si="16"/>
        <v>#DIV/0!</v>
      </c>
      <c r="AB170" s="10">
        <v>13</v>
      </c>
      <c r="AC170" s="14" t="s">
        <v>27</v>
      </c>
      <c r="AD170" s="34" t="s">
        <v>16</v>
      </c>
      <c r="AE170" s="111">
        <f t="shared" si="17"/>
        <v>0</v>
      </c>
      <c r="AF170" s="111">
        <f t="shared" si="18"/>
        <v>0</v>
      </c>
      <c r="AG170" s="111">
        <f t="shared" si="19"/>
        <v>0</v>
      </c>
      <c r="AH170" s="111">
        <f t="shared" si="20"/>
        <v>0</v>
      </c>
      <c r="AI170" s="111">
        <f t="shared" si="21"/>
        <v>0</v>
      </c>
      <c r="AJ170" s="182">
        <f t="shared" si="22"/>
        <v>0</v>
      </c>
      <c r="AL170" s="10">
        <v>13</v>
      </c>
      <c r="AM170" s="14" t="s">
        <v>27</v>
      </c>
      <c r="AN170" s="34" t="s">
        <v>16</v>
      </c>
      <c r="AO170" s="111">
        <f t="shared" si="23"/>
        <v>0</v>
      </c>
      <c r="AP170" s="111">
        <f t="shared" si="24"/>
        <v>0</v>
      </c>
      <c r="AQ170" s="111">
        <f t="shared" si="25"/>
        <v>0</v>
      </c>
      <c r="AR170" s="111">
        <f t="shared" si="26"/>
        <v>0</v>
      </c>
      <c r="AS170" s="111">
        <f t="shared" si="27"/>
        <v>0</v>
      </c>
      <c r="AT170" s="182">
        <f t="shared" si="28"/>
        <v>0</v>
      </c>
      <c r="AV170" s="10">
        <v>13</v>
      </c>
      <c r="AW170" s="14" t="s">
        <v>27</v>
      </c>
      <c r="AX170" s="34" t="s">
        <v>16</v>
      </c>
      <c r="AY170" s="111">
        <f t="shared" si="29"/>
        <v>0</v>
      </c>
      <c r="AZ170" s="111">
        <f t="shared" si="30"/>
        <v>0</v>
      </c>
      <c r="BA170" s="111">
        <f t="shared" si="31"/>
        <v>0</v>
      </c>
      <c r="BB170" s="111">
        <f t="shared" si="32"/>
        <v>0</v>
      </c>
      <c r="BC170" s="111">
        <f t="shared" si="33"/>
        <v>0</v>
      </c>
      <c r="BD170" s="182">
        <f t="shared" si="34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11"/>
        <v>0</v>
      </c>
      <c r="U171" s="111">
        <f t="shared" si="12"/>
        <v>0</v>
      </c>
      <c r="V171" s="111">
        <f t="shared" si="13"/>
        <v>0</v>
      </c>
      <c r="W171" s="111">
        <f t="shared" si="14"/>
        <v>0</v>
      </c>
      <c r="X171" s="111">
        <f t="shared" si="15"/>
        <v>0</v>
      </c>
      <c r="Y171" s="182" t="e">
        <f t="shared" si="16"/>
        <v>#DIV/0!</v>
      </c>
      <c r="AB171" s="10">
        <v>14</v>
      </c>
      <c r="AC171" s="14" t="s">
        <v>28</v>
      </c>
      <c r="AD171" s="34" t="s">
        <v>16</v>
      </c>
      <c r="AE171" s="111">
        <f t="shared" si="17"/>
        <v>0</v>
      </c>
      <c r="AF171" s="111">
        <f t="shared" si="18"/>
        <v>0</v>
      </c>
      <c r="AG171" s="111">
        <f t="shared" si="19"/>
        <v>0</v>
      </c>
      <c r="AH171" s="111">
        <f t="shared" si="20"/>
        <v>0</v>
      </c>
      <c r="AI171" s="111">
        <f t="shared" si="21"/>
        <v>0</v>
      </c>
      <c r="AJ171" s="182">
        <f t="shared" si="22"/>
        <v>0</v>
      </c>
      <c r="AL171" s="10">
        <v>14</v>
      </c>
      <c r="AM171" s="14" t="s">
        <v>28</v>
      </c>
      <c r="AN171" s="34" t="s">
        <v>16</v>
      </c>
      <c r="AO171" s="111">
        <f t="shared" si="23"/>
        <v>0</v>
      </c>
      <c r="AP171" s="111">
        <f t="shared" si="24"/>
        <v>0</v>
      </c>
      <c r="AQ171" s="111">
        <f t="shared" si="25"/>
        <v>0</v>
      </c>
      <c r="AR171" s="111">
        <f t="shared" si="26"/>
        <v>0</v>
      </c>
      <c r="AS171" s="111">
        <f t="shared" si="27"/>
        <v>0</v>
      </c>
      <c r="AT171" s="182">
        <f t="shared" si="28"/>
        <v>0</v>
      </c>
      <c r="AV171" s="10">
        <v>14</v>
      </c>
      <c r="AW171" s="14" t="s">
        <v>28</v>
      </c>
      <c r="AX171" s="34" t="s">
        <v>16</v>
      </c>
      <c r="AY171" s="111">
        <f t="shared" si="29"/>
        <v>0</v>
      </c>
      <c r="AZ171" s="111">
        <f t="shared" si="30"/>
        <v>0</v>
      </c>
      <c r="BA171" s="111">
        <f t="shared" si="31"/>
        <v>0</v>
      </c>
      <c r="BB171" s="111">
        <f t="shared" si="32"/>
        <v>0</v>
      </c>
      <c r="BC171" s="111">
        <f t="shared" si="33"/>
        <v>0</v>
      </c>
      <c r="BD171" s="182">
        <f t="shared" si="34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170.594961966049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11"/>
        <v>0</v>
      </c>
      <c r="U172" s="111">
        <f t="shared" si="12"/>
        <v>0</v>
      </c>
      <c r="V172" s="111">
        <f t="shared" si="13"/>
        <v>0</v>
      </c>
      <c r="W172" s="111">
        <f t="shared" si="14"/>
        <v>0</v>
      </c>
      <c r="X172" s="111">
        <f t="shared" si="15"/>
        <v>0</v>
      </c>
      <c r="Y172" s="182" t="e">
        <f t="shared" si="16"/>
        <v>#DIV/0!</v>
      </c>
      <c r="AB172" s="10">
        <v>15</v>
      </c>
      <c r="AC172" s="14" t="s">
        <v>29</v>
      </c>
      <c r="AD172" s="34" t="s">
        <v>16</v>
      </c>
      <c r="AE172" s="111">
        <f t="shared" si="17"/>
        <v>0</v>
      </c>
      <c r="AF172" s="111">
        <f t="shared" si="18"/>
        <v>0</v>
      </c>
      <c r="AG172" s="111">
        <f t="shared" si="19"/>
        <v>0</v>
      </c>
      <c r="AH172" s="111">
        <f t="shared" si="20"/>
        <v>0</v>
      </c>
      <c r="AI172" s="111">
        <f t="shared" si="21"/>
        <v>0</v>
      </c>
      <c r="AJ172" s="182">
        <f t="shared" si="22"/>
        <v>0</v>
      </c>
      <c r="AL172" s="10">
        <v>15</v>
      </c>
      <c r="AM172" s="14" t="s">
        <v>29</v>
      </c>
      <c r="AN172" s="34" t="s">
        <v>16</v>
      </c>
      <c r="AO172" s="111">
        <f t="shared" si="23"/>
        <v>0</v>
      </c>
      <c r="AP172" s="111">
        <f t="shared" si="24"/>
        <v>0</v>
      </c>
      <c r="AQ172" s="111">
        <f t="shared" si="25"/>
        <v>0</v>
      </c>
      <c r="AR172" s="111">
        <f t="shared" si="26"/>
        <v>0</v>
      </c>
      <c r="AS172" s="111">
        <f t="shared" si="27"/>
        <v>0</v>
      </c>
      <c r="AT172" s="182">
        <f t="shared" si="28"/>
        <v>0</v>
      </c>
      <c r="AV172" s="10">
        <v>15</v>
      </c>
      <c r="AW172" s="14" t="s">
        <v>29</v>
      </c>
      <c r="AX172" s="34" t="s">
        <v>16</v>
      </c>
      <c r="AY172" s="111">
        <f t="shared" si="29"/>
        <v>0</v>
      </c>
      <c r="AZ172" s="111">
        <f t="shared" si="30"/>
        <v>0</v>
      </c>
      <c r="BA172" s="111">
        <f t="shared" si="31"/>
        <v>0</v>
      </c>
      <c r="BB172" s="111">
        <f t="shared" si="32"/>
        <v>0</v>
      </c>
      <c r="BC172" s="111">
        <f t="shared" si="33"/>
        <v>0</v>
      </c>
      <c r="BD172" s="182">
        <f t="shared" si="34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11"/>
        <v>0</v>
      </c>
      <c r="U173" s="111">
        <f t="shared" si="12"/>
        <v>0</v>
      </c>
      <c r="V173" s="111">
        <f t="shared" si="13"/>
        <v>0</v>
      </c>
      <c r="W173" s="111">
        <f t="shared" si="14"/>
        <v>0</v>
      </c>
      <c r="X173" s="111">
        <f t="shared" si="15"/>
        <v>0</v>
      </c>
      <c r="Y173" s="182" t="e">
        <f t="shared" si="16"/>
        <v>#DIV/0!</v>
      </c>
      <c r="AB173" s="10">
        <v>16</v>
      </c>
      <c r="AC173" s="14" t="s">
        <v>30</v>
      </c>
      <c r="AD173" s="34" t="s">
        <v>16</v>
      </c>
      <c r="AE173" s="111">
        <f t="shared" si="17"/>
        <v>0</v>
      </c>
      <c r="AF173" s="111">
        <f t="shared" si="18"/>
        <v>0</v>
      </c>
      <c r="AG173" s="111">
        <f t="shared" si="19"/>
        <v>0</v>
      </c>
      <c r="AH173" s="111">
        <f t="shared" si="20"/>
        <v>0</v>
      </c>
      <c r="AI173" s="111">
        <f t="shared" si="21"/>
        <v>0</v>
      </c>
      <c r="AJ173" s="182">
        <f t="shared" si="22"/>
        <v>0</v>
      </c>
      <c r="AL173" s="10">
        <v>16</v>
      </c>
      <c r="AM173" s="14" t="s">
        <v>30</v>
      </c>
      <c r="AN173" s="34" t="s">
        <v>16</v>
      </c>
      <c r="AO173" s="111">
        <f t="shared" si="23"/>
        <v>0</v>
      </c>
      <c r="AP173" s="111">
        <f t="shared" si="24"/>
        <v>0</v>
      </c>
      <c r="AQ173" s="111">
        <f t="shared" si="25"/>
        <v>0</v>
      </c>
      <c r="AR173" s="111">
        <f t="shared" si="26"/>
        <v>0</v>
      </c>
      <c r="AS173" s="111">
        <f t="shared" si="27"/>
        <v>0</v>
      </c>
      <c r="AT173" s="182">
        <f t="shared" si="28"/>
        <v>0</v>
      </c>
      <c r="AV173" s="10">
        <v>16</v>
      </c>
      <c r="AW173" s="14" t="s">
        <v>30</v>
      </c>
      <c r="AX173" s="34" t="s">
        <v>16</v>
      </c>
      <c r="AY173" s="111">
        <f t="shared" si="29"/>
        <v>0</v>
      </c>
      <c r="AZ173" s="111">
        <f t="shared" si="30"/>
        <v>0</v>
      </c>
      <c r="BA173" s="111">
        <f t="shared" si="31"/>
        <v>0</v>
      </c>
      <c r="BB173" s="111">
        <f t="shared" si="32"/>
        <v>0</v>
      </c>
      <c r="BC173" s="111">
        <f t="shared" si="33"/>
        <v>0</v>
      </c>
      <c r="BD173" s="182">
        <f t="shared" si="34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442.09892215568857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11"/>
        <v>0</v>
      </c>
      <c r="U174" s="111">
        <f t="shared" si="12"/>
        <v>0</v>
      </c>
      <c r="V174" s="111">
        <f t="shared" si="13"/>
        <v>0</v>
      </c>
      <c r="W174" s="111">
        <f t="shared" si="14"/>
        <v>0</v>
      </c>
      <c r="X174" s="111">
        <f t="shared" si="15"/>
        <v>0</v>
      </c>
      <c r="Y174" s="182" t="e">
        <f t="shared" si="16"/>
        <v>#DIV/0!</v>
      </c>
      <c r="AB174" s="10">
        <v>17</v>
      </c>
      <c r="AC174" s="14" t="s">
        <v>31</v>
      </c>
      <c r="AD174" s="34" t="s">
        <v>16</v>
      </c>
      <c r="AE174" s="111">
        <f t="shared" si="17"/>
        <v>0</v>
      </c>
      <c r="AF174" s="111">
        <f t="shared" si="18"/>
        <v>0</v>
      </c>
      <c r="AG174" s="111">
        <f t="shared" si="19"/>
        <v>0</v>
      </c>
      <c r="AH174" s="111">
        <f t="shared" si="20"/>
        <v>0</v>
      </c>
      <c r="AI174" s="111">
        <f t="shared" si="21"/>
        <v>0</v>
      </c>
      <c r="AJ174" s="182">
        <f t="shared" si="22"/>
        <v>0</v>
      </c>
      <c r="AL174" s="10">
        <v>17</v>
      </c>
      <c r="AM174" s="14" t="s">
        <v>31</v>
      </c>
      <c r="AN174" s="34" t="s">
        <v>16</v>
      </c>
      <c r="AO174" s="111">
        <f t="shared" si="23"/>
        <v>0</v>
      </c>
      <c r="AP174" s="111">
        <f t="shared" si="24"/>
        <v>0</v>
      </c>
      <c r="AQ174" s="111">
        <f t="shared" si="25"/>
        <v>0</v>
      </c>
      <c r="AR174" s="111">
        <f t="shared" si="26"/>
        <v>0</v>
      </c>
      <c r="AS174" s="111">
        <f t="shared" si="27"/>
        <v>0</v>
      </c>
      <c r="AT174" s="182">
        <f t="shared" si="28"/>
        <v>0</v>
      </c>
      <c r="AV174" s="10">
        <v>17</v>
      </c>
      <c r="AW174" s="14" t="s">
        <v>31</v>
      </c>
      <c r="AX174" s="34" t="s">
        <v>16</v>
      </c>
      <c r="AY174" s="111">
        <f t="shared" si="29"/>
        <v>0</v>
      </c>
      <c r="AZ174" s="111">
        <f t="shared" si="30"/>
        <v>0</v>
      </c>
      <c r="BA174" s="111">
        <f t="shared" si="31"/>
        <v>0</v>
      </c>
      <c r="BB174" s="111">
        <f t="shared" si="32"/>
        <v>0</v>
      </c>
      <c r="BC174" s="111">
        <f t="shared" si="33"/>
        <v>0</v>
      </c>
      <c r="BD174" s="182">
        <f t="shared" si="34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11"/>
        <v>0</v>
      </c>
      <c r="U175" s="111">
        <f t="shared" si="12"/>
        <v>0</v>
      </c>
      <c r="V175" s="111">
        <f t="shared" si="13"/>
        <v>0</v>
      </c>
      <c r="W175" s="111">
        <f t="shared" si="14"/>
        <v>0</v>
      </c>
      <c r="X175" s="111">
        <f t="shared" si="15"/>
        <v>0</v>
      </c>
      <c r="Y175" s="182" t="e">
        <f t="shared" si="16"/>
        <v>#DIV/0!</v>
      </c>
      <c r="AB175" s="10">
        <v>18</v>
      </c>
      <c r="AC175" s="14" t="s">
        <v>32</v>
      </c>
      <c r="AD175" s="34" t="s">
        <v>16</v>
      </c>
      <c r="AE175" s="111">
        <f t="shared" si="17"/>
        <v>0</v>
      </c>
      <c r="AF175" s="111">
        <f t="shared" si="18"/>
        <v>0</v>
      </c>
      <c r="AG175" s="111">
        <f t="shared" si="19"/>
        <v>0</v>
      </c>
      <c r="AH175" s="111">
        <f t="shared" si="20"/>
        <v>0</v>
      </c>
      <c r="AI175" s="111">
        <f t="shared" si="21"/>
        <v>0</v>
      </c>
      <c r="AJ175" s="182">
        <f t="shared" si="22"/>
        <v>0</v>
      </c>
      <c r="AL175" s="10">
        <v>18</v>
      </c>
      <c r="AM175" s="14" t="s">
        <v>32</v>
      </c>
      <c r="AN175" s="34" t="s">
        <v>16</v>
      </c>
      <c r="AO175" s="111">
        <f t="shared" si="23"/>
        <v>0</v>
      </c>
      <c r="AP175" s="111">
        <f t="shared" si="24"/>
        <v>0</v>
      </c>
      <c r="AQ175" s="111">
        <f t="shared" si="25"/>
        <v>0</v>
      </c>
      <c r="AR175" s="111">
        <f t="shared" si="26"/>
        <v>0</v>
      </c>
      <c r="AS175" s="111">
        <f t="shared" si="27"/>
        <v>0</v>
      </c>
      <c r="AT175" s="182">
        <f t="shared" si="28"/>
        <v>0</v>
      </c>
      <c r="AV175" s="10">
        <v>18</v>
      </c>
      <c r="AW175" s="14" t="s">
        <v>32</v>
      </c>
      <c r="AX175" s="34" t="s">
        <v>16</v>
      </c>
      <c r="AY175" s="111">
        <f t="shared" si="29"/>
        <v>0</v>
      </c>
      <c r="AZ175" s="111">
        <f t="shared" si="30"/>
        <v>0</v>
      </c>
      <c r="BA175" s="111">
        <f t="shared" si="31"/>
        <v>0</v>
      </c>
      <c r="BB175" s="111">
        <f t="shared" si="32"/>
        <v>0</v>
      </c>
      <c r="BC175" s="111">
        <f t="shared" si="33"/>
        <v>0</v>
      </c>
      <c r="BD175" s="182">
        <f t="shared" si="34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200.78790419161675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11"/>
        <v>0</v>
      </c>
      <c r="U176" s="111">
        <f t="shared" si="12"/>
        <v>0</v>
      </c>
      <c r="V176" s="111">
        <f t="shared" si="13"/>
        <v>0</v>
      </c>
      <c r="W176" s="111">
        <f t="shared" si="14"/>
        <v>0</v>
      </c>
      <c r="X176" s="111">
        <f t="shared" si="15"/>
        <v>0</v>
      </c>
      <c r="Y176" s="182" t="e">
        <f t="shared" si="16"/>
        <v>#DIV/0!</v>
      </c>
      <c r="AB176" s="10">
        <v>19</v>
      </c>
      <c r="AC176" s="14" t="s">
        <v>37</v>
      </c>
      <c r="AD176" s="34" t="s">
        <v>16</v>
      </c>
      <c r="AE176" s="111">
        <f t="shared" si="17"/>
        <v>0</v>
      </c>
      <c r="AF176" s="111">
        <f t="shared" si="18"/>
        <v>0</v>
      </c>
      <c r="AG176" s="111">
        <f t="shared" si="19"/>
        <v>0</v>
      </c>
      <c r="AH176" s="111">
        <f t="shared" si="20"/>
        <v>0</v>
      </c>
      <c r="AI176" s="111">
        <f t="shared" si="21"/>
        <v>0</v>
      </c>
      <c r="AJ176" s="182">
        <f t="shared" si="22"/>
        <v>0</v>
      </c>
      <c r="AL176" s="10">
        <v>19</v>
      </c>
      <c r="AM176" s="14" t="s">
        <v>37</v>
      </c>
      <c r="AN176" s="34" t="s">
        <v>16</v>
      </c>
      <c r="AO176" s="111">
        <f t="shared" si="23"/>
        <v>0</v>
      </c>
      <c r="AP176" s="111">
        <f t="shared" si="24"/>
        <v>0</v>
      </c>
      <c r="AQ176" s="111">
        <f t="shared" si="25"/>
        <v>0</v>
      </c>
      <c r="AR176" s="111">
        <f t="shared" si="26"/>
        <v>0</v>
      </c>
      <c r="AS176" s="111">
        <f t="shared" si="27"/>
        <v>0</v>
      </c>
      <c r="AT176" s="182">
        <f t="shared" si="28"/>
        <v>0</v>
      </c>
      <c r="AV176" s="10">
        <v>19</v>
      </c>
      <c r="AW176" s="14" t="s">
        <v>37</v>
      </c>
      <c r="AX176" s="34" t="s">
        <v>16</v>
      </c>
      <c r="AY176" s="111">
        <f t="shared" si="29"/>
        <v>0</v>
      </c>
      <c r="AZ176" s="111">
        <f t="shared" si="30"/>
        <v>0</v>
      </c>
      <c r="BA176" s="111">
        <f t="shared" si="31"/>
        <v>0</v>
      </c>
      <c r="BB176" s="111">
        <f t="shared" si="32"/>
        <v>0</v>
      </c>
      <c r="BC176" s="111">
        <f t="shared" si="33"/>
        <v>0</v>
      </c>
      <c r="BD176" s="182">
        <f t="shared" si="34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11"/>
        <v>0</v>
      </c>
      <c r="U177" s="111">
        <f t="shared" si="12"/>
        <v>0</v>
      </c>
      <c r="V177" s="111">
        <f t="shared" si="13"/>
        <v>0</v>
      </c>
      <c r="W177" s="111">
        <f t="shared" si="14"/>
        <v>0</v>
      </c>
      <c r="X177" s="111">
        <f t="shared" si="15"/>
        <v>0</v>
      </c>
      <c r="Y177" s="182" t="e">
        <f t="shared" si="16"/>
        <v>#DIV/0!</v>
      </c>
      <c r="AB177" s="10">
        <v>20</v>
      </c>
      <c r="AC177" s="14" t="s">
        <v>38</v>
      </c>
      <c r="AD177" s="34" t="s">
        <v>16</v>
      </c>
      <c r="AE177" s="111">
        <f t="shared" si="17"/>
        <v>0</v>
      </c>
      <c r="AF177" s="111">
        <f t="shared" si="18"/>
        <v>0</v>
      </c>
      <c r="AG177" s="111">
        <f t="shared" si="19"/>
        <v>0</v>
      </c>
      <c r="AH177" s="111">
        <f t="shared" si="20"/>
        <v>0</v>
      </c>
      <c r="AI177" s="111">
        <f t="shared" si="21"/>
        <v>0</v>
      </c>
      <c r="AJ177" s="182">
        <f t="shared" si="22"/>
        <v>0</v>
      </c>
      <c r="AL177" s="10">
        <v>20</v>
      </c>
      <c r="AM177" s="14" t="s">
        <v>38</v>
      </c>
      <c r="AN177" s="34" t="s">
        <v>16</v>
      </c>
      <c r="AO177" s="111">
        <f t="shared" si="23"/>
        <v>0</v>
      </c>
      <c r="AP177" s="111">
        <f t="shared" si="24"/>
        <v>0</v>
      </c>
      <c r="AQ177" s="111">
        <f t="shared" si="25"/>
        <v>0</v>
      </c>
      <c r="AR177" s="111">
        <f t="shared" si="26"/>
        <v>0</v>
      </c>
      <c r="AS177" s="111">
        <f t="shared" si="27"/>
        <v>0</v>
      </c>
      <c r="AT177" s="182">
        <f t="shared" si="28"/>
        <v>0</v>
      </c>
      <c r="AV177" s="10">
        <v>20</v>
      </c>
      <c r="AW177" s="14" t="s">
        <v>38</v>
      </c>
      <c r="AX177" s="34" t="s">
        <v>16</v>
      </c>
      <c r="AY177" s="111">
        <f t="shared" si="29"/>
        <v>0</v>
      </c>
      <c r="AZ177" s="111">
        <f t="shared" si="30"/>
        <v>0</v>
      </c>
      <c r="BA177" s="111">
        <f t="shared" si="31"/>
        <v>0</v>
      </c>
      <c r="BB177" s="111">
        <f t="shared" si="32"/>
        <v>0</v>
      </c>
      <c r="BC177" s="111">
        <f t="shared" si="33"/>
        <v>0</v>
      </c>
      <c r="BD177" s="182">
        <f t="shared" si="34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28.95808383233533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11"/>
        <v>0</v>
      </c>
      <c r="U178" s="111">
        <f t="shared" si="12"/>
        <v>0</v>
      </c>
      <c r="V178" s="111">
        <f t="shared" si="13"/>
        <v>0</v>
      </c>
      <c r="W178" s="111">
        <f t="shared" si="14"/>
        <v>0</v>
      </c>
      <c r="X178" s="111">
        <f t="shared" si="15"/>
        <v>0</v>
      </c>
      <c r="Y178" s="182" t="e">
        <f t="shared" si="16"/>
        <v>#DIV/0!</v>
      </c>
      <c r="AB178" s="10">
        <v>21</v>
      </c>
      <c r="AC178" s="14" t="s">
        <v>39</v>
      </c>
      <c r="AD178" s="34" t="s">
        <v>16</v>
      </c>
      <c r="AE178" s="111">
        <f t="shared" si="17"/>
        <v>0</v>
      </c>
      <c r="AF178" s="111">
        <f t="shared" si="18"/>
        <v>0</v>
      </c>
      <c r="AG178" s="111">
        <f t="shared" si="19"/>
        <v>0</v>
      </c>
      <c r="AH178" s="111">
        <f t="shared" si="20"/>
        <v>0</v>
      </c>
      <c r="AI178" s="111">
        <f t="shared" si="21"/>
        <v>0</v>
      </c>
      <c r="AJ178" s="182">
        <f t="shared" si="22"/>
        <v>0</v>
      </c>
      <c r="AL178" s="10">
        <v>21</v>
      </c>
      <c r="AM178" s="14" t="s">
        <v>39</v>
      </c>
      <c r="AN178" s="34" t="s">
        <v>16</v>
      </c>
      <c r="AO178" s="111">
        <f t="shared" si="23"/>
        <v>0</v>
      </c>
      <c r="AP178" s="111">
        <f t="shared" si="24"/>
        <v>0</v>
      </c>
      <c r="AQ178" s="111">
        <f t="shared" si="25"/>
        <v>0</v>
      </c>
      <c r="AR178" s="111">
        <f t="shared" si="26"/>
        <v>0</v>
      </c>
      <c r="AS178" s="111">
        <f t="shared" si="27"/>
        <v>0</v>
      </c>
      <c r="AT178" s="182">
        <f t="shared" si="28"/>
        <v>0</v>
      </c>
      <c r="AV178" s="10">
        <v>21</v>
      </c>
      <c r="AW178" s="14" t="s">
        <v>39</v>
      </c>
      <c r="AX178" s="34" t="s">
        <v>16</v>
      </c>
      <c r="AY178" s="111">
        <f t="shared" si="29"/>
        <v>0</v>
      </c>
      <c r="AZ178" s="111">
        <f t="shared" si="30"/>
        <v>0</v>
      </c>
      <c r="BA178" s="111">
        <f t="shared" si="31"/>
        <v>0</v>
      </c>
      <c r="BB178" s="111">
        <f t="shared" si="32"/>
        <v>0</v>
      </c>
      <c r="BC178" s="111">
        <f t="shared" si="33"/>
        <v>0</v>
      </c>
      <c r="BD178" s="182">
        <f t="shared" si="34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11"/>
        <v>0</v>
      </c>
      <c r="U179" s="106">
        <f t="shared" si="12"/>
        <v>0</v>
      </c>
      <c r="V179" s="106">
        <f t="shared" si="13"/>
        <v>0</v>
      </c>
      <c r="W179" s="106">
        <f t="shared" si="14"/>
        <v>0</v>
      </c>
      <c r="X179" s="106">
        <f t="shared" si="15"/>
        <v>0</v>
      </c>
      <c r="Y179" s="183" t="e">
        <f t="shared" si="16"/>
        <v>#DIV/0!</v>
      </c>
      <c r="AB179" s="13">
        <v>22</v>
      </c>
      <c r="AC179" s="15" t="s">
        <v>40</v>
      </c>
      <c r="AD179" s="36" t="s">
        <v>16</v>
      </c>
      <c r="AE179" s="106">
        <f t="shared" si="17"/>
        <v>0</v>
      </c>
      <c r="AF179" s="106">
        <f t="shared" si="18"/>
        <v>0</v>
      </c>
      <c r="AG179" s="106">
        <f t="shared" si="19"/>
        <v>0</v>
      </c>
      <c r="AH179" s="106">
        <f t="shared" si="20"/>
        <v>0</v>
      </c>
      <c r="AI179" s="106">
        <f t="shared" si="21"/>
        <v>0</v>
      </c>
      <c r="AJ179" s="183">
        <f t="shared" si="22"/>
        <v>0</v>
      </c>
      <c r="AL179" s="13">
        <v>22</v>
      </c>
      <c r="AM179" s="15" t="s">
        <v>40</v>
      </c>
      <c r="AN179" s="36" t="s">
        <v>16</v>
      </c>
      <c r="AO179" s="106">
        <f t="shared" si="23"/>
        <v>0</v>
      </c>
      <c r="AP179" s="106">
        <f t="shared" si="24"/>
        <v>0</v>
      </c>
      <c r="AQ179" s="106">
        <f t="shared" si="25"/>
        <v>0</v>
      </c>
      <c r="AR179" s="106">
        <f t="shared" si="26"/>
        <v>0</v>
      </c>
      <c r="AS179" s="106">
        <f t="shared" si="27"/>
        <v>0</v>
      </c>
      <c r="AT179" s="183">
        <f t="shared" si="28"/>
        <v>0</v>
      </c>
      <c r="AV179" s="13">
        <v>22</v>
      </c>
      <c r="AW179" s="15" t="s">
        <v>40</v>
      </c>
      <c r="AX179" s="36" t="s">
        <v>16</v>
      </c>
      <c r="AY179" s="106">
        <f t="shared" si="29"/>
        <v>0</v>
      </c>
      <c r="AZ179" s="106">
        <f t="shared" si="30"/>
        <v>0</v>
      </c>
      <c r="BA179" s="106">
        <f t="shared" si="31"/>
        <v>0</v>
      </c>
      <c r="BB179" s="106">
        <f t="shared" si="32"/>
        <v>0</v>
      </c>
      <c r="BC179" s="106">
        <f t="shared" si="33"/>
        <v>0</v>
      </c>
      <c r="BD179" s="183">
        <f t="shared" si="34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78.944910179640715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442.09892215568857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20.25" customHeight="1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5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6">IF($E39&gt;=0,$E39/1000+$X$36,$E39/1000-$X$36)</f>
        <v>0</v>
      </c>
      <c r="U185" s="111">
        <f t="shared" ref="U185:U205" si="37">$F39/1000+$X$31/1000</f>
        <v>0</v>
      </c>
      <c r="V185" s="111">
        <f t="shared" ref="V185:V205" si="38">IF($G39&gt;=0,$G39/1000+$X$39,$G39/1000-$X$39)</f>
        <v>0</v>
      </c>
      <c r="W185" s="111">
        <f t="shared" ref="W185:W205" si="39">IF(($H39/1000)-($G39/1000)*$S$24&gt;=0,($H39/1000)-($G39/1000)*$S$24+$X$39,($H39/1000)-($G39/1000)*$S$24-$X$39)</f>
        <v>0</v>
      </c>
      <c r="X185" s="111">
        <f t="shared" ref="X185:X205" si="40">IF(($I39/1000)-($E39/1000)*$S$24&gt;=0,($I39/1000)-($E39/1000)*$S$24+$X$38,($I39/1000)-($E39/1000)*$S$24-$X$38)</f>
        <v>0</v>
      </c>
      <c r="Y185" s="182" t="e">
        <f t="shared" si="35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41">IF($E39&gt;=0,$E39/1000+$AI$36,$E39/1000-$AI$36)</f>
        <v>0</v>
      </c>
      <c r="AF185" s="111">
        <f t="shared" ref="AF185:AF205" si="42">$F39/1000+$AI$31/1000</f>
        <v>0</v>
      </c>
      <c r="AG185" s="111">
        <f t="shared" ref="AG185:AG205" si="43">IF($G39&gt;=0,$G39/1000+$AI$39,$G39/1000-$AI$39)</f>
        <v>0</v>
      </c>
      <c r="AH185" s="111">
        <f t="shared" ref="AH185:AH205" si="44">IF(($H39/1000)-($G39/1000)*$AD$24&gt;=0,($H39/1000)-($G39/1000)*$AD$24+$AI$39,($H39/1000)-($G39/1000)*$AD$24-$AI$39)</f>
        <v>0</v>
      </c>
      <c r="AI185" s="111">
        <f t="shared" ref="AI185:AI205" si="45">IF(($I39/1000)-($E39/1000)*$AD$24&gt;=0,($I39/1000)-($E39/1000)*$AD$24+$AI$38,($I39/1000)-($E39/1000)*$AD$24-$AI$38)</f>
        <v>0</v>
      </c>
      <c r="AJ185" s="182">
        <f t="shared" ref="AJ185:AJ205" si="46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7">IF($E39&gt;=0,$E39/1000+$AS$36,$E39/1000-$AS$36)</f>
        <v>0</v>
      </c>
      <c r="AP185" s="111">
        <f t="shared" ref="AP185:AP205" si="48">$F39/1000+$AS$31/1000</f>
        <v>0</v>
      </c>
      <c r="AQ185" s="111">
        <f t="shared" ref="AQ185:AQ205" si="49">IF($G39&gt;=0,$G39/1000+$AS$39,$G39/1000-$AS$39)</f>
        <v>0</v>
      </c>
      <c r="AR185" s="111">
        <f t="shared" ref="AR185:AR205" si="50">IF(($H39/1000)-($G39/1000)*$AN$24&gt;=0,($H39/1000)-($G39/1000)*$AN$24+$AS$39,($H39/1000)-($G39/1000)*$AN$24-$AS$39)</f>
        <v>0</v>
      </c>
      <c r="AS185" s="111">
        <f t="shared" ref="AS185:AS205" si="51">IF(($I39/1000)-($E39/1000)*$AN$24&gt;=0,($I39/1000)-($E39/1000)*$AN$24+$AS$38,($I39/1000)-($E39/1000)*$AN$24-$AS$38)</f>
        <v>0</v>
      </c>
      <c r="AT185" s="182">
        <f t="shared" ref="AT185:AT205" si="52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3">IF($E39&gt;=0,$E39/1000+$BC$36,$E39/1000-$BC$36)</f>
        <v>0</v>
      </c>
      <c r="AZ185" s="111">
        <f t="shared" ref="AZ185:AZ205" si="54">$F39/1000+$BC$31/1000</f>
        <v>0</v>
      </c>
      <c r="BA185" s="111">
        <f t="shared" ref="BA185:BA205" si="55">IF($G39&gt;=0,$G39/1000+$BC$39,$G39/1000-$BC$39)</f>
        <v>0</v>
      </c>
      <c r="BB185" s="111">
        <f t="shared" ref="BB185:BB205" si="56">IF(($H39/1000)-($G39/1000)*$AX$24&gt;=0,($H39/1000)-($G39/1000)*$AX$24+$BC$39,($H39/1000)-($G39/1000)*$AX$24-$BC$39)</f>
        <v>0</v>
      </c>
      <c r="BC185" s="111">
        <f t="shared" ref="BC185:BC205" si="57">IF(($I39/1000)-($E39/1000)*$AX$24&gt;=0,($I39/1000)-($E39/1000)*$AX$24+$BC$38,($I39/1000)-($E39/1000)*$AX$24-$BC$38)</f>
        <v>0</v>
      </c>
      <c r="BD185" s="182">
        <f t="shared" ref="BD185:BD205" si="58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6"/>
        <v>0</v>
      </c>
      <c r="U186" s="111">
        <f t="shared" si="37"/>
        <v>0</v>
      </c>
      <c r="V186" s="111">
        <f t="shared" si="38"/>
        <v>0</v>
      </c>
      <c r="W186" s="111">
        <f t="shared" si="39"/>
        <v>0</v>
      </c>
      <c r="X186" s="111">
        <f t="shared" si="40"/>
        <v>0</v>
      </c>
      <c r="Y186" s="182" t="e">
        <f t="shared" si="35"/>
        <v>#DIV/0!</v>
      </c>
      <c r="AB186" s="10">
        <v>3</v>
      </c>
      <c r="AC186" s="14" t="s">
        <v>21</v>
      </c>
      <c r="AD186" s="34" t="s">
        <v>16</v>
      </c>
      <c r="AE186" s="111">
        <f t="shared" si="41"/>
        <v>0</v>
      </c>
      <c r="AF186" s="111">
        <f t="shared" si="42"/>
        <v>0</v>
      </c>
      <c r="AG186" s="111">
        <f t="shared" si="43"/>
        <v>0</v>
      </c>
      <c r="AH186" s="111">
        <f t="shared" si="44"/>
        <v>0</v>
      </c>
      <c r="AI186" s="111">
        <f t="shared" si="45"/>
        <v>0</v>
      </c>
      <c r="AJ186" s="182">
        <f t="shared" si="46"/>
        <v>0</v>
      </c>
      <c r="AL186" s="10">
        <v>3</v>
      </c>
      <c r="AM186" s="14" t="s">
        <v>21</v>
      </c>
      <c r="AN186" s="34" t="s">
        <v>16</v>
      </c>
      <c r="AO186" s="111">
        <f t="shared" si="47"/>
        <v>0</v>
      </c>
      <c r="AP186" s="111">
        <f t="shared" si="48"/>
        <v>0</v>
      </c>
      <c r="AQ186" s="111">
        <f t="shared" si="49"/>
        <v>0</v>
      </c>
      <c r="AR186" s="111">
        <f t="shared" si="50"/>
        <v>0</v>
      </c>
      <c r="AS186" s="111">
        <f t="shared" si="51"/>
        <v>0</v>
      </c>
      <c r="AT186" s="182">
        <f t="shared" si="52"/>
        <v>0</v>
      </c>
      <c r="AV186" s="10">
        <v>3</v>
      </c>
      <c r="AW186" s="14" t="s">
        <v>21</v>
      </c>
      <c r="AX186" s="34" t="s">
        <v>16</v>
      </c>
      <c r="AY186" s="111">
        <f t="shared" si="53"/>
        <v>0</v>
      </c>
      <c r="AZ186" s="111">
        <f t="shared" si="54"/>
        <v>0</v>
      </c>
      <c r="BA186" s="111">
        <f t="shared" si="55"/>
        <v>0</v>
      </c>
      <c r="BB186" s="111">
        <f t="shared" si="56"/>
        <v>0</v>
      </c>
      <c r="BC186" s="111">
        <f t="shared" si="57"/>
        <v>0</v>
      </c>
      <c r="BD186" s="182">
        <f t="shared" si="58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6"/>
        <v>0</v>
      </c>
      <c r="U187" s="111">
        <f t="shared" si="37"/>
        <v>0</v>
      </c>
      <c r="V187" s="111">
        <f t="shared" si="38"/>
        <v>0</v>
      </c>
      <c r="W187" s="111">
        <f t="shared" si="39"/>
        <v>0</v>
      </c>
      <c r="X187" s="111">
        <f t="shared" si="40"/>
        <v>0</v>
      </c>
      <c r="Y187" s="182" t="e">
        <f t="shared" si="35"/>
        <v>#DIV/0!</v>
      </c>
      <c r="AB187" s="10">
        <v>4</v>
      </c>
      <c r="AC187" s="14" t="s">
        <v>22</v>
      </c>
      <c r="AD187" s="34" t="s">
        <v>16</v>
      </c>
      <c r="AE187" s="111">
        <f t="shared" si="41"/>
        <v>0</v>
      </c>
      <c r="AF187" s="111">
        <f t="shared" si="42"/>
        <v>0</v>
      </c>
      <c r="AG187" s="111">
        <f t="shared" si="43"/>
        <v>0</v>
      </c>
      <c r="AH187" s="111">
        <f t="shared" si="44"/>
        <v>0</v>
      </c>
      <c r="AI187" s="111">
        <f t="shared" si="45"/>
        <v>0</v>
      </c>
      <c r="AJ187" s="182">
        <f t="shared" si="46"/>
        <v>0</v>
      </c>
      <c r="AL187" s="10">
        <v>4</v>
      </c>
      <c r="AM187" s="14" t="s">
        <v>22</v>
      </c>
      <c r="AN187" s="34" t="s">
        <v>16</v>
      </c>
      <c r="AO187" s="111">
        <f t="shared" si="47"/>
        <v>0</v>
      </c>
      <c r="AP187" s="111">
        <f t="shared" si="48"/>
        <v>0</v>
      </c>
      <c r="AQ187" s="111">
        <f t="shared" si="49"/>
        <v>0</v>
      </c>
      <c r="AR187" s="111">
        <f t="shared" si="50"/>
        <v>0</v>
      </c>
      <c r="AS187" s="111">
        <f t="shared" si="51"/>
        <v>0</v>
      </c>
      <c r="AT187" s="182">
        <f t="shared" si="52"/>
        <v>0</v>
      </c>
      <c r="AV187" s="10">
        <v>4</v>
      </c>
      <c r="AW187" s="14" t="s">
        <v>22</v>
      </c>
      <c r="AX187" s="34" t="s">
        <v>16</v>
      </c>
      <c r="AY187" s="111">
        <f t="shared" si="53"/>
        <v>0</v>
      </c>
      <c r="AZ187" s="111">
        <f t="shared" si="54"/>
        <v>0</v>
      </c>
      <c r="BA187" s="111">
        <f t="shared" si="55"/>
        <v>0</v>
      </c>
      <c r="BB187" s="111">
        <f t="shared" si="56"/>
        <v>0</v>
      </c>
      <c r="BC187" s="111">
        <f t="shared" si="57"/>
        <v>0</v>
      </c>
      <c r="BD187" s="182">
        <f t="shared" si="58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1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6"/>
        <v>0</v>
      </c>
      <c r="U188" s="111">
        <f t="shared" si="37"/>
        <v>0</v>
      </c>
      <c r="V188" s="111">
        <f t="shared" si="38"/>
        <v>0</v>
      </c>
      <c r="W188" s="111">
        <f t="shared" si="39"/>
        <v>0</v>
      </c>
      <c r="X188" s="111">
        <f t="shared" si="40"/>
        <v>0</v>
      </c>
      <c r="Y188" s="182" t="e">
        <f t="shared" si="35"/>
        <v>#DIV/0!</v>
      </c>
      <c r="AB188" s="10">
        <v>5</v>
      </c>
      <c r="AC188" s="14" t="s">
        <v>35</v>
      </c>
      <c r="AD188" s="34" t="s">
        <v>16</v>
      </c>
      <c r="AE188" s="111">
        <f t="shared" si="41"/>
        <v>0</v>
      </c>
      <c r="AF188" s="111">
        <f t="shared" si="42"/>
        <v>0</v>
      </c>
      <c r="AG188" s="111">
        <f t="shared" si="43"/>
        <v>0</v>
      </c>
      <c r="AH188" s="111">
        <f t="shared" si="44"/>
        <v>0</v>
      </c>
      <c r="AI188" s="111">
        <f t="shared" si="45"/>
        <v>0</v>
      </c>
      <c r="AJ188" s="182">
        <f t="shared" si="46"/>
        <v>0</v>
      </c>
      <c r="AL188" s="10">
        <v>5</v>
      </c>
      <c r="AM188" s="14" t="s">
        <v>35</v>
      </c>
      <c r="AN188" s="34" t="s">
        <v>16</v>
      </c>
      <c r="AO188" s="111">
        <f t="shared" si="47"/>
        <v>0</v>
      </c>
      <c r="AP188" s="111">
        <f t="shared" si="48"/>
        <v>0</v>
      </c>
      <c r="AQ188" s="111">
        <f t="shared" si="49"/>
        <v>0</v>
      </c>
      <c r="AR188" s="111">
        <f t="shared" si="50"/>
        <v>0</v>
      </c>
      <c r="AS188" s="111">
        <f t="shared" si="51"/>
        <v>0</v>
      </c>
      <c r="AT188" s="182">
        <f t="shared" si="52"/>
        <v>0</v>
      </c>
      <c r="AV188" s="10">
        <v>5</v>
      </c>
      <c r="AW188" s="14" t="s">
        <v>35</v>
      </c>
      <c r="AX188" s="34" t="s">
        <v>16</v>
      </c>
      <c r="AY188" s="111">
        <f t="shared" si="53"/>
        <v>0</v>
      </c>
      <c r="AZ188" s="111">
        <f t="shared" si="54"/>
        <v>0</v>
      </c>
      <c r="BA188" s="111">
        <f t="shared" si="55"/>
        <v>0</v>
      </c>
      <c r="BB188" s="111">
        <f t="shared" si="56"/>
        <v>0</v>
      </c>
      <c r="BC188" s="111">
        <f t="shared" si="57"/>
        <v>0</v>
      </c>
      <c r="BD188" s="182">
        <f t="shared" si="58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6"/>
        <v>0</v>
      </c>
      <c r="U189" s="111">
        <f t="shared" si="37"/>
        <v>0</v>
      </c>
      <c r="V189" s="111">
        <f t="shared" si="38"/>
        <v>0</v>
      </c>
      <c r="W189" s="111">
        <f t="shared" si="39"/>
        <v>0</v>
      </c>
      <c r="X189" s="111">
        <f t="shared" si="40"/>
        <v>0</v>
      </c>
      <c r="Y189" s="182" t="e">
        <f t="shared" si="35"/>
        <v>#DIV/0!</v>
      </c>
      <c r="AB189" s="10">
        <v>6</v>
      </c>
      <c r="AC189" s="14" t="s">
        <v>36</v>
      </c>
      <c r="AD189" s="34" t="s">
        <v>16</v>
      </c>
      <c r="AE189" s="111">
        <f t="shared" si="41"/>
        <v>0</v>
      </c>
      <c r="AF189" s="111">
        <f t="shared" si="42"/>
        <v>0</v>
      </c>
      <c r="AG189" s="111">
        <f t="shared" si="43"/>
        <v>0</v>
      </c>
      <c r="AH189" s="111">
        <f t="shared" si="44"/>
        <v>0</v>
      </c>
      <c r="AI189" s="111">
        <f t="shared" si="45"/>
        <v>0</v>
      </c>
      <c r="AJ189" s="182">
        <f t="shared" si="46"/>
        <v>0</v>
      </c>
      <c r="AL189" s="10">
        <v>6</v>
      </c>
      <c r="AM189" s="14" t="s">
        <v>36</v>
      </c>
      <c r="AN189" s="34" t="s">
        <v>16</v>
      </c>
      <c r="AO189" s="111">
        <f t="shared" si="47"/>
        <v>0</v>
      </c>
      <c r="AP189" s="111">
        <f t="shared" si="48"/>
        <v>0</v>
      </c>
      <c r="AQ189" s="111">
        <f t="shared" si="49"/>
        <v>0</v>
      </c>
      <c r="AR189" s="111">
        <f t="shared" si="50"/>
        <v>0</v>
      </c>
      <c r="AS189" s="111">
        <f t="shared" si="51"/>
        <v>0</v>
      </c>
      <c r="AT189" s="182">
        <f t="shared" si="52"/>
        <v>0</v>
      </c>
      <c r="AV189" s="10">
        <v>6</v>
      </c>
      <c r="AW189" s="14" t="s">
        <v>36</v>
      </c>
      <c r="AX189" s="34" t="s">
        <v>16</v>
      </c>
      <c r="AY189" s="111">
        <f t="shared" si="53"/>
        <v>0</v>
      </c>
      <c r="AZ189" s="111">
        <f t="shared" si="54"/>
        <v>0</v>
      </c>
      <c r="BA189" s="111">
        <f t="shared" si="55"/>
        <v>0</v>
      </c>
      <c r="BB189" s="111">
        <f t="shared" si="56"/>
        <v>0</v>
      </c>
      <c r="BC189" s="111">
        <f t="shared" si="57"/>
        <v>0</v>
      </c>
      <c r="BD189" s="182">
        <f t="shared" si="58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6"/>
        <v>0</v>
      </c>
      <c r="U190" s="111">
        <f t="shared" si="37"/>
        <v>0</v>
      </c>
      <c r="V190" s="111">
        <f t="shared" si="38"/>
        <v>0</v>
      </c>
      <c r="W190" s="111">
        <f t="shared" si="39"/>
        <v>0</v>
      </c>
      <c r="X190" s="111">
        <f t="shared" si="40"/>
        <v>0</v>
      </c>
      <c r="Y190" s="182" t="e">
        <f t="shared" si="35"/>
        <v>#DIV/0!</v>
      </c>
      <c r="AB190" s="10">
        <v>7</v>
      </c>
      <c r="AC190" s="14" t="s">
        <v>33</v>
      </c>
      <c r="AD190" s="34" t="s">
        <v>16</v>
      </c>
      <c r="AE190" s="111">
        <f t="shared" si="41"/>
        <v>0</v>
      </c>
      <c r="AF190" s="111">
        <f t="shared" si="42"/>
        <v>0</v>
      </c>
      <c r="AG190" s="111">
        <f t="shared" si="43"/>
        <v>0</v>
      </c>
      <c r="AH190" s="111">
        <f t="shared" si="44"/>
        <v>0</v>
      </c>
      <c r="AI190" s="111">
        <f t="shared" si="45"/>
        <v>0</v>
      </c>
      <c r="AJ190" s="182">
        <f t="shared" si="46"/>
        <v>0</v>
      </c>
      <c r="AL190" s="10">
        <v>7</v>
      </c>
      <c r="AM190" s="14" t="s">
        <v>33</v>
      </c>
      <c r="AN190" s="34" t="s">
        <v>16</v>
      </c>
      <c r="AO190" s="111">
        <f t="shared" si="47"/>
        <v>0</v>
      </c>
      <c r="AP190" s="111">
        <f t="shared" si="48"/>
        <v>0</v>
      </c>
      <c r="AQ190" s="111">
        <f t="shared" si="49"/>
        <v>0</v>
      </c>
      <c r="AR190" s="111">
        <f t="shared" si="50"/>
        <v>0</v>
      </c>
      <c r="AS190" s="111">
        <f t="shared" si="51"/>
        <v>0</v>
      </c>
      <c r="AT190" s="182">
        <f t="shared" si="52"/>
        <v>0</v>
      </c>
      <c r="AV190" s="10">
        <v>7</v>
      </c>
      <c r="AW190" s="14" t="s">
        <v>33</v>
      </c>
      <c r="AX190" s="34" t="s">
        <v>16</v>
      </c>
      <c r="AY190" s="111">
        <f t="shared" si="53"/>
        <v>0</v>
      </c>
      <c r="AZ190" s="111">
        <f t="shared" si="54"/>
        <v>0</v>
      </c>
      <c r="BA190" s="111">
        <f t="shared" si="55"/>
        <v>0</v>
      </c>
      <c r="BB190" s="111">
        <f t="shared" si="56"/>
        <v>0</v>
      </c>
      <c r="BC190" s="111">
        <f t="shared" si="57"/>
        <v>0</v>
      </c>
      <c r="BD190" s="182">
        <f t="shared" si="58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6"/>
        <v>0</v>
      </c>
      <c r="U191" s="111">
        <f t="shared" si="37"/>
        <v>0</v>
      </c>
      <c r="V191" s="111">
        <f t="shared" si="38"/>
        <v>0</v>
      </c>
      <c r="W191" s="111">
        <f t="shared" si="39"/>
        <v>0</v>
      </c>
      <c r="X191" s="111">
        <f t="shared" si="40"/>
        <v>0</v>
      </c>
      <c r="Y191" s="182" t="e">
        <f t="shared" si="35"/>
        <v>#DIV/0!</v>
      </c>
      <c r="AB191" s="10">
        <v>8</v>
      </c>
      <c r="AC191" s="14" t="s">
        <v>34</v>
      </c>
      <c r="AD191" s="34" t="s">
        <v>16</v>
      </c>
      <c r="AE191" s="111">
        <f t="shared" si="41"/>
        <v>0</v>
      </c>
      <c r="AF191" s="111">
        <f t="shared" si="42"/>
        <v>0</v>
      </c>
      <c r="AG191" s="111">
        <f t="shared" si="43"/>
        <v>0</v>
      </c>
      <c r="AH191" s="111">
        <f t="shared" si="44"/>
        <v>0</v>
      </c>
      <c r="AI191" s="111">
        <f t="shared" si="45"/>
        <v>0</v>
      </c>
      <c r="AJ191" s="182">
        <f t="shared" si="46"/>
        <v>0</v>
      </c>
      <c r="AL191" s="10">
        <v>8</v>
      </c>
      <c r="AM191" s="14" t="s">
        <v>34</v>
      </c>
      <c r="AN191" s="34" t="s">
        <v>16</v>
      </c>
      <c r="AO191" s="111">
        <f t="shared" si="47"/>
        <v>0</v>
      </c>
      <c r="AP191" s="111">
        <f t="shared" si="48"/>
        <v>0</v>
      </c>
      <c r="AQ191" s="111">
        <f t="shared" si="49"/>
        <v>0</v>
      </c>
      <c r="AR191" s="111">
        <f t="shared" si="50"/>
        <v>0</v>
      </c>
      <c r="AS191" s="111">
        <f t="shared" si="51"/>
        <v>0</v>
      </c>
      <c r="AT191" s="182">
        <f t="shared" si="52"/>
        <v>0</v>
      </c>
      <c r="AV191" s="10">
        <v>8</v>
      </c>
      <c r="AW191" s="14" t="s">
        <v>34</v>
      </c>
      <c r="AX191" s="34" t="s">
        <v>16</v>
      </c>
      <c r="AY191" s="111">
        <f t="shared" si="53"/>
        <v>0</v>
      </c>
      <c r="AZ191" s="111">
        <f t="shared" si="54"/>
        <v>0</v>
      </c>
      <c r="BA191" s="111">
        <f t="shared" si="55"/>
        <v>0</v>
      </c>
      <c r="BB191" s="111">
        <f t="shared" si="56"/>
        <v>0</v>
      </c>
      <c r="BC191" s="111">
        <f t="shared" si="57"/>
        <v>0</v>
      </c>
      <c r="BD191" s="182">
        <f t="shared" si="58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6"/>
        <v>0</v>
      </c>
      <c r="U192" s="111">
        <f t="shared" si="37"/>
        <v>0</v>
      </c>
      <c r="V192" s="111">
        <f t="shared" si="38"/>
        <v>0</v>
      </c>
      <c r="W192" s="111">
        <f t="shared" si="39"/>
        <v>0</v>
      </c>
      <c r="X192" s="111">
        <f t="shared" si="40"/>
        <v>0</v>
      </c>
      <c r="Y192" s="182" t="e">
        <f t="shared" si="35"/>
        <v>#DIV/0!</v>
      </c>
      <c r="AB192" s="10">
        <v>9</v>
      </c>
      <c r="AC192" s="14" t="s">
        <v>23</v>
      </c>
      <c r="AD192" s="34" t="s">
        <v>16</v>
      </c>
      <c r="AE192" s="111">
        <f t="shared" si="41"/>
        <v>0</v>
      </c>
      <c r="AF192" s="111">
        <f t="shared" si="42"/>
        <v>0</v>
      </c>
      <c r="AG192" s="111">
        <f t="shared" si="43"/>
        <v>0</v>
      </c>
      <c r="AH192" s="111">
        <f t="shared" si="44"/>
        <v>0</v>
      </c>
      <c r="AI192" s="111">
        <f t="shared" si="45"/>
        <v>0</v>
      </c>
      <c r="AJ192" s="182">
        <f t="shared" si="46"/>
        <v>0</v>
      </c>
      <c r="AL192" s="10">
        <v>9</v>
      </c>
      <c r="AM192" s="14" t="s">
        <v>23</v>
      </c>
      <c r="AN192" s="34" t="s">
        <v>16</v>
      </c>
      <c r="AO192" s="111">
        <f t="shared" si="47"/>
        <v>0</v>
      </c>
      <c r="AP192" s="111">
        <f t="shared" si="48"/>
        <v>0</v>
      </c>
      <c r="AQ192" s="111">
        <f t="shared" si="49"/>
        <v>0</v>
      </c>
      <c r="AR192" s="111">
        <f t="shared" si="50"/>
        <v>0</v>
      </c>
      <c r="AS192" s="111">
        <f t="shared" si="51"/>
        <v>0</v>
      </c>
      <c r="AT192" s="182">
        <f t="shared" si="52"/>
        <v>0</v>
      </c>
      <c r="AV192" s="10">
        <v>9</v>
      </c>
      <c r="AW192" s="14" t="s">
        <v>23</v>
      </c>
      <c r="AX192" s="34" t="s">
        <v>16</v>
      </c>
      <c r="AY192" s="111">
        <f t="shared" si="53"/>
        <v>0</v>
      </c>
      <c r="AZ192" s="111">
        <f t="shared" si="54"/>
        <v>0</v>
      </c>
      <c r="BA192" s="111">
        <f t="shared" si="55"/>
        <v>0</v>
      </c>
      <c r="BB192" s="111">
        <f t="shared" si="56"/>
        <v>0</v>
      </c>
      <c r="BC192" s="111">
        <f t="shared" si="57"/>
        <v>0</v>
      </c>
      <c r="BD192" s="182">
        <f t="shared" si="58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6"/>
        <v>0</v>
      </c>
      <c r="U193" s="111">
        <f t="shared" si="37"/>
        <v>0</v>
      </c>
      <c r="V193" s="111">
        <f t="shared" si="38"/>
        <v>0</v>
      </c>
      <c r="W193" s="111">
        <f t="shared" si="39"/>
        <v>0</v>
      </c>
      <c r="X193" s="111">
        <f t="shared" si="40"/>
        <v>0</v>
      </c>
      <c r="Y193" s="182" t="e">
        <f t="shared" si="35"/>
        <v>#DIV/0!</v>
      </c>
      <c r="AB193" s="10">
        <v>10</v>
      </c>
      <c r="AC193" s="14" t="s">
        <v>24</v>
      </c>
      <c r="AD193" s="34" t="s">
        <v>16</v>
      </c>
      <c r="AE193" s="111">
        <f t="shared" si="41"/>
        <v>0</v>
      </c>
      <c r="AF193" s="111">
        <f t="shared" si="42"/>
        <v>0</v>
      </c>
      <c r="AG193" s="111">
        <f t="shared" si="43"/>
        <v>0</v>
      </c>
      <c r="AH193" s="111">
        <f t="shared" si="44"/>
        <v>0</v>
      </c>
      <c r="AI193" s="111">
        <f t="shared" si="45"/>
        <v>0</v>
      </c>
      <c r="AJ193" s="182">
        <f t="shared" si="46"/>
        <v>0</v>
      </c>
      <c r="AL193" s="10">
        <v>10</v>
      </c>
      <c r="AM193" s="14" t="s">
        <v>24</v>
      </c>
      <c r="AN193" s="34" t="s">
        <v>16</v>
      </c>
      <c r="AO193" s="111">
        <f t="shared" si="47"/>
        <v>0</v>
      </c>
      <c r="AP193" s="111">
        <f t="shared" si="48"/>
        <v>0</v>
      </c>
      <c r="AQ193" s="111">
        <f t="shared" si="49"/>
        <v>0</v>
      </c>
      <c r="AR193" s="111">
        <f t="shared" si="50"/>
        <v>0</v>
      </c>
      <c r="AS193" s="111">
        <f t="shared" si="51"/>
        <v>0</v>
      </c>
      <c r="AT193" s="182">
        <f t="shared" si="52"/>
        <v>0</v>
      </c>
      <c r="AV193" s="10">
        <v>10</v>
      </c>
      <c r="AW193" s="14" t="s">
        <v>24</v>
      </c>
      <c r="AX193" s="34" t="s">
        <v>16</v>
      </c>
      <c r="AY193" s="111">
        <f t="shared" si="53"/>
        <v>0</v>
      </c>
      <c r="AZ193" s="111">
        <f t="shared" si="54"/>
        <v>0</v>
      </c>
      <c r="BA193" s="111">
        <f t="shared" si="55"/>
        <v>0</v>
      </c>
      <c r="BB193" s="111">
        <f t="shared" si="56"/>
        <v>0</v>
      </c>
      <c r="BC193" s="111">
        <f t="shared" si="57"/>
        <v>0</v>
      </c>
      <c r="BD193" s="182">
        <f t="shared" si="58"/>
        <v>0</v>
      </c>
    </row>
    <row r="194" spans="2:56" x14ac:dyDescent="0.25">
      <c r="B194" s="335" t="s">
        <v>348</v>
      </c>
      <c r="C194" s="336"/>
      <c r="Q194" s="10">
        <v>11</v>
      </c>
      <c r="R194" s="14" t="s">
        <v>25</v>
      </c>
      <c r="S194" s="34" t="s">
        <v>16</v>
      </c>
      <c r="T194" s="111">
        <f t="shared" si="36"/>
        <v>0</v>
      </c>
      <c r="U194" s="111">
        <f t="shared" si="37"/>
        <v>0</v>
      </c>
      <c r="V194" s="111">
        <f t="shared" si="38"/>
        <v>0</v>
      </c>
      <c r="W194" s="111">
        <f t="shared" si="39"/>
        <v>0</v>
      </c>
      <c r="X194" s="111">
        <f t="shared" si="40"/>
        <v>0</v>
      </c>
      <c r="Y194" s="182" t="e">
        <f t="shared" si="35"/>
        <v>#DIV/0!</v>
      </c>
      <c r="AB194" s="10">
        <v>11</v>
      </c>
      <c r="AC194" s="14" t="s">
        <v>25</v>
      </c>
      <c r="AD194" s="34" t="s">
        <v>16</v>
      </c>
      <c r="AE194" s="111">
        <f t="shared" si="41"/>
        <v>0</v>
      </c>
      <c r="AF194" s="111">
        <f t="shared" si="42"/>
        <v>0</v>
      </c>
      <c r="AG194" s="111">
        <f t="shared" si="43"/>
        <v>0</v>
      </c>
      <c r="AH194" s="111">
        <f t="shared" si="44"/>
        <v>0</v>
      </c>
      <c r="AI194" s="111">
        <f t="shared" si="45"/>
        <v>0</v>
      </c>
      <c r="AJ194" s="182">
        <f t="shared" si="46"/>
        <v>0</v>
      </c>
      <c r="AL194" s="10">
        <v>11</v>
      </c>
      <c r="AM194" s="14" t="s">
        <v>25</v>
      </c>
      <c r="AN194" s="34" t="s">
        <v>16</v>
      </c>
      <c r="AO194" s="111">
        <f t="shared" si="47"/>
        <v>0</v>
      </c>
      <c r="AP194" s="111">
        <f t="shared" si="48"/>
        <v>0</v>
      </c>
      <c r="AQ194" s="111">
        <f t="shared" si="49"/>
        <v>0</v>
      </c>
      <c r="AR194" s="111">
        <f t="shared" si="50"/>
        <v>0</v>
      </c>
      <c r="AS194" s="111">
        <f t="shared" si="51"/>
        <v>0</v>
      </c>
      <c r="AT194" s="182">
        <f t="shared" si="52"/>
        <v>0</v>
      </c>
      <c r="AV194" s="10">
        <v>11</v>
      </c>
      <c r="AW194" s="14" t="s">
        <v>25</v>
      </c>
      <c r="AX194" s="34" t="s">
        <v>16</v>
      </c>
      <c r="AY194" s="111">
        <f t="shared" si="53"/>
        <v>0</v>
      </c>
      <c r="AZ194" s="111">
        <f t="shared" si="54"/>
        <v>0</v>
      </c>
      <c r="BA194" s="111">
        <f t="shared" si="55"/>
        <v>0</v>
      </c>
      <c r="BB194" s="111">
        <f t="shared" si="56"/>
        <v>0</v>
      </c>
      <c r="BC194" s="111">
        <f t="shared" si="57"/>
        <v>0</v>
      </c>
      <c r="BD194" s="182">
        <f t="shared" si="58"/>
        <v>0</v>
      </c>
    </row>
    <row r="195" spans="2:56" ht="15.75" thickBot="1" x14ac:dyDescent="0.3">
      <c r="B195" s="337"/>
      <c r="C195" s="338"/>
      <c r="Q195" s="10">
        <v>12</v>
      </c>
      <c r="R195" s="14" t="s">
        <v>26</v>
      </c>
      <c r="S195" s="34" t="s">
        <v>16</v>
      </c>
      <c r="T195" s="111">
        <f t="shared" si="36"/>
        <v>0</v>
      </c>
      <c r="U195" s="111">
        <f t="shared" si="37"/>
        <v>0</v>
      </c>
      <c r="V195" s="111">
        <f t="shared" si="38"/>
        <v>0</v>
      </c>
      <c r="W195" s="111">
        <f t="shared" si="39"/>
        <v>0</v>
      </c>
      <c r="X195" s="111">
        <f t="shared" si="40"/>
        <v>0</v>
      </c>
      <c r="Y195" s="182" t="e">
        <f t="shared" si="35"/>
        <v>#DIV/0!</v>
      </c>
      <c r="AB195" s="10">
        <v>12</v>
      </c>
      <c r="AC195" s="14" t="s">
        <v>26</v>
      </c>
      <c r="AD195" s="34" t="s">
        <v>16</v>
      </c>
      <c r="AE195" s="111">
        <f t="shared" si="41"/>
        <v>0</v>
      </c>
      <c r="AF195" s="111">
        <f t="shared" si="42"/>
        <v>0</v>
      </c>
      <c r="AG195" s="111">
        <f t="shared" si="43"/>
        <v>0</v>
      </c>
      <c r="AH195" s="111">
        <f t="shared" si="44"/>
        <v>0</v>
      </c>
      <c r="AI195" s="111">
        <f t="shared" si="45"/>
        <v>0</v>
      </c>
      <c r="AJ195" s="182">
        <f t="shared" si="46"/>
        <v>0</v>
      </c>
      <c r="AL195" s="10">
        <v>12</v>
      </c>
      <c r="AM195" s="14" t="s">
        <v>26</v>
      </c>
      <c r="AN195" s="34" t="s">
        <v>16</v>
      </c>
      <c r="AO195" s="111">
        <f t="shared" si="47"/>
        <v>0</v>
      </c>
      <c r="AP195" s="111">
        <f t="shared" si="48"/>
        <v>0</v>
      </c>
      <c r="AQ195" s="111">
        <f t="shared" si="49"/>
        <v>0</v>
      </c>
      <c r="AR195" s="111">
        <f t="shared" si="50"/>
        <v>0</v>
      </c>
      <c r="AS195" s="111">
        <f t="shared" si="51"/>
        <v>0</v>
      </c>
      <c r="AT195" s="182">
        <f t="shared" si="52"/>
        <v>0</v>
      </c>
      <c r="AV195" s="10">
        <v>12</v>
      </c>
      <c r="AW195" s="14" t="s">
        <v>26</v>
      </c>
      <c r="AX195" s="34" t="s">
        <v>16</v>
      </c>
      <c r="AY195" s="111">
        <f t="shared" si="53"/>
        <v>0</v>
      </c>
      <c r="AZ195" s="111">
        <f t="shared" si="54"/>
        <v>0</v>
      </c>
      <c r="BA195" s="111">
        <f t="shared" si="55"/>
        <v>0</v>
      </c>
      <c r="BB195" s="111">
        <f t="shared" si="56"/>
        <v>0</v>
      </c>
      <c r="BC195" s="111">
        <f t="shared" si="57"/>
        <v>0</v>
      </c>
      <c r="BD195" s="182">
        <f t="shared" si="58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6"/>
        <v>0</v>
      </c>
      <c r="U196" s="111">
        <f t="shared" si="37"/>
        <v>0</v>
      </c>
      <c r="V196" s="111">
        <f t="shared" si="38"/>
        <v>0</v>
      </c>
      <c r="W196" s="111">
        <f t="shared" si="39"/>
        <v>0</v>
      </c>
      <c r="X196" s="111">
        <f t="shared" si="40"/>
        <v>0</v>
      </c>
      <c r="Y196" s="182" t="e">
        <f t="shared" si="35"/>
        <v>#DIV/0!</v>
      </c>
      <c r="AB196" s="10">
        <v>13</v>
      </c>
      <c r="AC196" s="14" t="s">
        <v>27</v>
      </c>
      <c r="AD196" s="34" t="s">
        <v>16</v>
      </c>
      <c r="AE196" s="111">
        <f t="shared" si="41"/>
        <v>0</v>
      </c>
      <c r="AF196" s="111">
        <f t="shared" si="42"/>
        <v>0</v>
      </c>
      <c r="AG196" s="111">
        <f t="shared" si="43"/>
        <v>0</v>
      </c>
      <c r="AH196" s="111">
        <f t="shared" si="44"/>
        <v>0</v>
      </c>
      <c r="AI196" s="111">
        <f t="shared" si="45"/>
        <v>0</v>
      </c>
      <c r="AJ196" s="182">
        <f t="shared" si="46"/>
        <v>0</v>
      </c>
      <c r="AL196" s="10">
        <v>13</v>
      </c>
      <c r="AM196" s="14" t="s">
        <v>27</v>
      </c>
      <c r="AN196" s="34" t="s">
        <v>16</v>
      </c>
      <c r="AO196" s="111">
        <f t="shared" si="47"/>
        <v>0</v>
      </c>
      <c r="AP196" s="111">
        <f t="shared" si="48"/>
        <v>0</v>
      </c>
      <c r="AQ196" s="111">
        <f t="shared" si="49"/>
        <v>0</v>
      </c>
      <c r="AR196" s="111">
        <f t="shared" si="50"/>
        <v>0</v>
      </c>
      <c r="AS196" s="111">
        <f t="shared" si="51"/>
        <v>0</v>
      </c>
      <c r="AT196" s="182">
        <f t="shared" si="52"/>
        <v>0</v>
      </c>
      <c r="AV196" s="10">
        <v>13</v>
      </c>
      <c r="AW196" s="14" t="s">
        <v>27</v>
      </c>
      <c r="AX196" s="34" t="s">
        <v>16</v>
      </c>
      <c r="AY196" s="111">
        <f t="shared" si="53"/>
        <v>0</v>
      </c>
      <c r="AZ196" s="111">
        <f t="shared" si="54"/>
        <v>0</v>
      </c>
      <c r="BA196" s="111">
        <f t="shared" si="55"/>
        <v>0</v>
      </c>
      <c r="BB196" s="111">
        <f t="shared" si="56"/>
        <v>0</v>
      </c>
      <c r="BC196" s="111">
        <f t="shared" si="57"/>
        <v>0</v>
      </c>
      <c r="BD196" s="182">
        <f t="shared" si="58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6"/>
        <v>0</v>
      </c>
      <c r="U197" s="111">
        <f t="shared" si="37"/>
        <v>0</v>
      </c>
      <c r="V197" s="111">
        <f t="shared" si="38"/>
        <v>0</v>
      </c>
      <c r="W197" s="111">
        <f t="shared" si="39"/>
        <v>0</v>
      </c>
      <c r="X197" s="111">
        <f t="shared" si="40"/>
        <v>0</v>
      </c>
      <c r="Y197" s="182" t="e">
        <f t="shared" si="35"/>
        <v>#DIV/0!</v>
      </c>
      <c r="AB197" s="10">
        <v>14</v>
      </c>
      <c r="AC197" s="14" t="s">
        <v>28</v>
      </c>
      <c r="AD197" s="34" t="s">
        <v>16</v>
      </c>
      <c r="AE197" s="111">
        <f t="shared" si="41"/>
        <v>0</v>
      </c>
      <c r="AF197" s="111">
        <f t="shared" si="42"/>
        <v>0</v>
      </c>
      <c r="AG197" s="111">
        <f t="shared" si="43"/>
        <v>0</v>
      </c>
      <c r="AH197" s="111">
        <f t="shared" si="44"/>
        <v>0</v>
      </c>
      <c r="AI197" s="111">
        <f t="shared" si="45"/>
        <v>0</v>
      </c>
      <c r="AJ197" s="182">
        <f t="shared" si="46"/>
        <v>0</v>
      </c>
      <c r="AL197" s="10">
        <v>14</v>
      </c>
      <c r="AM197" s="14" t="s">
        <v>28</v>
      </c>
      <c r="AN197" s="34" t="s">
        <v>16</v>
      </c>
      <c r="AO197" s="111">
        <f t="shared" si="47"/>
        <v>0</v>
      </c>
      <c r="AP197" s="111">
        <f t="shared" si="48"/>
        <v>0</v>
      </c>
      <c r="AQ197" s="111">
        <f t="shared" si="49"/>
        <v>0</v>
      </c>
      <c r="AR197" s="111">
        <f t="shared" si="50"/>
        <v>0</v>
      </c>
      <c r="AS197" s="111">
        <f t="shared" si="51"/>
        <v>0</v>
      </c>
      <c r="AT197" s="182">
        <f t="shared" si="52"/>
        <v>0</v>
      </c>
      <c r="AV197" s="10">
        <v>14</v>
      </c>
      <c r="AW197" s="14" t="s">
        <v>28</v>
      </c>
      <c r="AX197" s="34" t="s">
        <v>16</v>
      </c>
      <c r="AY197" s="111">
        <f t="shared" si="53"/>
        <v>0</v>
      </c>
      <c r="AZ197" s="111">
        <f t="shared" si="54"/>
        <v>0</v>
      </c>
      <c r="BA197" s="111">
        <f t="shared" si="55"/>
        <v>0</v>
      </c>
      <c r="BB197" s="111">
        <f t="shared" si="56"/>
        <v>0</v>
      </c>
      <c r="BC197" s="111">
        <f t="shared" si="57"/>
        <v>0</v>
      </c>
      <c r="BD197" s="182">
        <f t="shared" si="58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6"/>
        <v>0</v>
      </c>
      <c r="U198" s="111">
        <f t="shared" si="37"/>
        <v>0</v>
      </c>
      <c r="V198" s="111">
        <f t="shared" si="38"/>
        <v>0</v>
      </c>
      <c r="W198" s="111">
        <f t="shared" si="39"/>
        <v>0</v>
      </c>
      <c r="X198" s="111">
        <f t="shared" si="40"/>
        <v>0</v>
      </c>
      <c r="Y198" s="182" t="e">
        <f t="shared" si="35"/>
        <v>#DIV/0!</v>
      </c>
      <c r="AB198" s="10">
        <v>15</v>
      </c>
      <c r="AC198" s="14" t="s">
        <v>29</v>
      </c>
      <c r="AD198" s="34" t="s">
        <v>16</v>
      </c>
      <c r="AE198" s="111">
        <f t="shared" si="41"/>
        <v>0</v>
      </c>
      <c r="AF198" s="111">
        <f t="shared" si="42"/>
        <v>0</v>
      </c>
      <c r="AG198" s="111">
        <f t="shared" si="43"/>
        <v>0</v>
      </c>
      <c r="AH198" s="111">
        <f t="shared" si="44"/>
        <v>0</v>
      </c>
      <c r="AI198" s="111">
        <f t="shared" si="45"/>
        <v>0</v>
      </c>
      <c r="AJ198" s="182">
        <f t="shared" si="46"/>
        <v>0</v>
      </c>
      <c r="AL198" s="10">
        <v>15</v>
      </c>
      <c r="AM198" s="14" t="s">
        <v>29</v>
      </c>
      <c r="AN198" s="34" t="s">
        <v>16</v>
      </c>
      <c r="AO198" s="111">
        <f t="shared" si="47"/>
        <v>0</v>
      </c>
      <c r="AP198" s="111">
        <f t="shared" si="48"/>
        <v>0</v>
      </c>
      <c r="AQ198" s="111">
        <f t="shared" si="49"/>
        <v>0</v>
      </c>
      <c r="AR198" s="111">
        <f t="shared" si="50"/>
        <v>0</v>
      </c>
      <c r="AS198" s="111">
        <f t="shared" si="51"/>
        <v>0</v>
      </c>
      <c r="AT198" s="182">
        <f t="shared" si="52"/>
        <v>0</v>
      </c>
      <c r="AV198" s="10">
        <v>15</v>
      </c>
      <c r="AW198" s="14" t="s">
        <v>29</v>
      </c>
      <c r="AX198" s="34" t="s">
        <v>16</v>
      </c>
      <c r="AY198" s="111">
        <f t="shared" si="53"/>
        <v>0</v>
      </c>
      <c r="AZ198" s="111">
        <f t="shared" si="54"/>
        <v>0</v>
      </c>
      <c r="BA198" s="111">
        <f t="shared" si="55"/>
        <v>0</v>
      </c>
      <c r="BB198" s="111">
        <f t="shared" si="56"/>
        <v>0</v>
      </c>
      <c r="BC198" s="111">
        <f t="shared" si="57"/>
        <v>0</v>
      </c>
      <c r="BD198" s="182">
        <f t="shared" si="58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6"/>
        <v>0</v>
      </c>
      <c r="U199" s="111">
        <f t="shared" si="37"/>
        <v>0</v>
      </c>
      <c r="V199" s="111">
        <f t="shared" si="38"/>
        <v>0</v>
      </c>
      <c r="W199" s="111">
        <f t="shared" si="39"/>
        <v>0</v>
      </c>
      <c r="X199" s="111">
        <f t="shared" si="40"/>
        <v>0</v>
      </c>
      <c r="Y199" s="182" t="e">
        <f t="shared" si="35"/>
        <v>#DIV/0!</v>
      </c>
      <c r="AB199" s="10">
        <v>16</v>
      </c>
      <c r="AC199" s="14" t="s">
        <v>30</v>
      </c>
      <c r="AD199" s="34" t="s">
        <v>16</v>
      </c>
      <c r="AE199" s="111">
        <f t="shared" si="41"/>
        <v>0</v>
      </c>
      <c r="AF199" s="111">
        <f t="shared" si="42"/>
        <v>0</v>
      </c>
      <c r="AG199" s="111">
        <f t="shared" si="43"/>
        <v>0</v>
      </c>
      <c r="AH199" s="111">
        <f t="shared" si="44"/>
        <v>0</v>
      </c>
      <c r="AI199" s="111">
        <f t="shared" si="45"/>
        <v>0</v>
      </c>
      <c r="AJ199" s="182">
        <f t="shared" si="46"/>
        <v>0</v>
      </c>
      <c r="AL199" s="10">
        <v>16</v>
      </c>
      <c r="AM199" s="14" t="s">
        <v>30</v>
      </c>
      <c r="AN199" s="34" t="s">
        <v>16</v>
      </c>
      <c r="AO199" s="111">
        <f t="shared" si="47"/>
        <v>0</v>
      </c>
      <c r="AP199" s="111">
        <f t="shared" si="48"/>
        <v>0</v>
      </c>
      <c r="AQ199" s="111">
        <f t="shared" si="49"/>
        <v>0</v>
      </c>
      <c r="AR199" s="111">
        <f t="shared" si="50"/>
        <v>0</v>
      </c>
      <c r="AS199" s="111">
        <f t="shared" si="51"/>
        <v>0</v>
      </c>
      <c r="AT199" s="182">
        <f t="shared" si="52"/>
        <v>0</v>
      </c>
      <c r="AV199" s="10">
        <v>16</v>
      </c>
      <c r="AW199" s="14" t="s">
        <v>30</v>
      </c>
      <c r="AX199" s="34" t="s">
        <v>16</v>
      </c>
      <c r="AY199" s="111">
        <f t="shared" si="53"/>
        <v>0</v>
      </c>
      <c r="AZ199" s="111">
        <f t="shared" si="54"/>
        <v>0</v>
      </c>
      <c r="BA199" s="111">
        <f t="shared" si="55"/>
        <v>0</v>
      </c>
      <c r="BB199" s="111">
        <f t="shared" si="56"/>
        <v>0</v>
      </c>
      <c r="BC199" s="111">
        <f t="shared" si="57"/>
        <v>0</v>
      </c>
      <c r="BD199" s="182">
        <f t="shared" si="58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6"/>
        <v>0</v>
      </c>
      <c r="U200" s="111">
        <f t="shared" si="37"/>
        <v>0</v>
      </c>
      <c r="V200" s="111">
        <f t="shared" si="38"/>
        <v>0</v>
      </c>
      <c r="W200" s="111">
        <f t="shared" si="39"/>
        <v>0</v>
      </c>
      <c r="X200" s="111">
        <f t="shared" si="40"/>
        <v>0</v>
      </c>
      <c r="Y200" s="182" t="e">
        <f t="shared" si="35"/>
        <v>#DIV/0!</v>
      </c>
      <c r="AB200" s="10">
        <v>17</v>
      </c>
      <c r="AC200" s="14" t="s">
        <v>31</v>
      </c>
      <c r="AD200" s="34" t="s">
        <v>16</v>
      </c>
      <c r="AE200" s="111">
        <f t="shared" si="41"/>
        <v>0</v>
      </c>
      <c r="AF200" s="111">
        <f t="shared" si="42"/>
        <v>0</v>
      </c>
      <c r="AG200" s="111">
        <f t="shared" si="43"/>
        <v>0</v>
      </c>
      <c r="AH200" s="111">
        <f t="shared" si="44"/>
        <v>0</v>
      </c>
      <c r="AI200" s="111">
        <f t="shared" si="45"/>
        <v>0</v>
      </c>
      <c r="AJ200" s="182">
        <f t="shared" si="46"/>
        <v>0</v>
      </c>
      <c r="AL200" s="10">
        <v>17</v>
      </c>
      <c r="AM200" s="14" t="s">
        <v>31</v>
      </c>
      <c r="AN200" s="34" t="s">
        <v>16</v>
      </c>
      <c r="AO200" s="111">
        <f t="shared" si="47"/>
        <v>0</v>
      </c>
      <c r="AP200" s="111">
        <f t="shared" si="48"/>
        <v>0</v>
      </c>
      <c r="AQ200" s="111">
        <f t="shared" si="49"/>
        <v>0</v>
      </c>
      <c r="AR200" s="111">
        <f t="shared" si="50"/>
        <v>0</v>
      </c>
      <c r="AS200" s="111">
        <f t="shared" si="51"/>
        <v>0</v>
      </c>
      <c r="AT200" s="182">
        <f t="shared" si="52"/>
        <v>0</v>
      </c>
      <c r="AV200" s="10">
        <v>17</v>
      </c>
      <c r="AW200" s="14" t="s">
        <v>31</v>
      </c>
      <c r="AX200" s="34" t="s">
        <v>16</v>
      </c>
      <c r="AY200" s="111">
        <f t="shared" si="53"/>
        <v>0</v>
      </c>
      <c r="AZ200" s="111">
        <f t="shared" si="54"/>
        <v>0</v>
      </c>
      <c r="BA200" s="111">
        <f t="shared" si="55"/>
        <v>0</v>
      </c>
      <c r="BB200" s="111">
        <f t="shared" si="56"/>
        <v>0</v>
      </c>
      <c r="BC200" s="111">
        <f t="shared" si="57"/>
        <v>0</v>
      </c>
      <c r="BD200" s="182">
        <f t="shared" si="58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6"/>
        <v>0</v>
      </c>
      <c r="U201" s="111">
        <f t="shared" si="37"/>
        <v>0</v>
      </c>
      <c r="V201" s="111">
        <f t="shared" si="38"/>
        <v>0</v>
      </c>
      <c r="W201" s="111">
        <f t="shared" si="39"/>
        <v>0</v>
      </c>
      <c r="X201" s="111">
        <f t="shared" si="40"/>
        <v>0</v>
      </c>
      <c r="Y201" s="182" t="e">
        <f t="shared" si="35"/>
        <v>#DIV/0!</v>
      </c>
      <c r="AB201" s="10">
        <v>18</v>
      </c>
      <c r="AC201" s="14" t="s">
        <v>32</v>
      </c>
      <c r="AD201" s="34" t="s">
        <v>16</v>
      </c>
      <c r="AE201" s="111">
        <f t="shared" si="41"/>
        <v>0</v>
      </c>
      <c r="AF201" s="111">
        <f t="shared" si="42"/>
        <v>0</v>
      </c>
      <c r="AG201" s="111">
        <f t="shared" si="43"/>
        <v>0</v>
      </c>
      <c r="AH201" s="111">
        <f t="shared" si="44"/>
        <v>0</v>
      </c>
      <c r="AI201" s="111">
        <f t="shared" si="45"/>
        <v>0</v>
      </c>
      <c r="AJ201" s="182">
        <f t="shared" si="46"/>
        <v>0</v>
      </c>
      <c r="AL201" s="10">
        <v>18</v>
      </c>
      <c r="AM201" s="14" t="s">
        <v>32</v>
      </c>
      <c r="AN201" s="34" t="s">
        <v>16</v>
      </c>
      <c r="AO201" s="111">
        <f t="shared" si="47"/>
        <v>0</v>
      </c>
      <c r="AP201" s="111">
        <f t="shared" si="48"/>
        <v>0</v>
      </c>
      <c r="AQ201" s="111">
        <f t="shared" si="49"/>
        <v>0</v>
      </c>
      <c r="AR201" s="111">
        <f t="shared" si="50"/>
        <v>0</v>
      </c>
      <c r="AS201" s="111">
        <f t="shared" si="51"/>
        <v>0</v>
      </c>
      <c r="AT201" s="182">
        <f t="shared" si="52"/>
        <v>0</v>
      </c>
      <c r="AV201" s="10">
        <v>18</v>
      </c>
      <c r="AW201" s="14" t="s">
        <v>32</v>
      </c>
      <c r="AX201" s="34" t="s">
        <v>16</v>
      </c>
      <c r="AY201" s="111">
        <f t="shared" si="53"/>
        <v>0</v>
      </c>
      <c r="AZ201" s="111">
        <f t="shared" si="54"/>
        <v>0</v>
      </c>
      <c r="BA201" s="111">
        <f t="shared" si="55"/>
        <v>0</v>
      </c>
      <c r="BB201" s="111">
        <f t="shared" si="56"/>
        <v>0</v>
      </c>
      <c r="BC201" s="111">
        <f t="shared" si="57"/>
        <v>0</v>
      </c>
      <c r="BD201" s="182">
        <f t="shared" si="58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6"/>
        <v>0</v>
      </c>
      <c r="U202" s="111">
        <f t="shared" si="37"/>
        <v>0</v>
      </c>
      <c r="V202" s="111">
        <f t="shared" si="38"/>
        <v>0</v>
      </c>
      <c r="W202" s="111">
        <f t="shared" si="39"/>
        <v>0</v>
      </c>
      <c r="X202" s="111">
        <f t="shared" si="40"/>
        <v>0</v>
      </c>
      <c r="Y202" s="182" t="e">
        <f t="shared" si="35"/>
        <v>#DIV/0!</v>
      </c>
      <c r="AB202" s="10">
        <v>19</v>
      </c>
      <c r="AC202" s="14" t="s">
        <v>37</v>
      </c>
      <c r="AD202" s="34" t="s">
        <v>16</v>
      </c>
      <c r="AE202" s="111">
        <f t="shared" si="41"/>
        <v>0</v>
      </c>
      <c r="AF202" s="111">
        <f t="shared" si="42"/>
        <v>0</v>
      </c>
      <c r="AG202" s="111">
        <f t="shared" si="43"/>
        <v>0</v>
      </c>
      <c r="AH202" s="111">
        <f t="shared" si="44"/>
        <v>0</v>
      </c>
      <c r="AI202" s="111">
        <f t="shared" si="45"/>
        <v>0</v>
      </c>
      <c r="AJ202" s="182">
        <f t="shared" si="46"/>
        <v>0</v>
      </c>
      <c r="AL202" s="10">
        <v>19</v>
      </c>
      <c r="AM202" s="14" t="s">
        <v>37</v>
      </c>
      <c r="AN202" s="34" t="s">
        <v>16</v>
      </c>
      <c r="AO202" s="111">
        <f t="shared" si="47"/>
        <v>0</v>
      </c>
      <c r="AP202" s="111">
        <f t="shared" si="48"/>
        <v>0</v>
      </c>
      <c r="AQ202" s="111">
        <f t="shared" si="49"/>
        <v>0</v>
      </c>
      <c r="AR202" s="111">
        <f t="shared" si="50"/>
        <v>0</v>
      </c>
      <c r="AS202" s="111">
        <f t="shared" si="51"/>
        <v>0</v>
      </c>
      <c r="AT202" s="182">
        <f t="shared" si="52"/>
        <v>0</v>
      </c>
      <c r="AV202" s="10">
        <v>19</v>
      </c>
      <c r="AW202" s="14" t="s">
        <v>37</v>
      </c>
      <c r="AX202" s="34" t="s">
        <v>16</v>
      </c>
      <c r="AY202" s="111">
        <f t="shared" si="53"/>
        <v>0</v>
      </c>
      <c r="AZ202" s="111">
        <f t="shared" si="54"/>
        <v>0</v>
      </c>
      <c r="BA202" s="111">
        <f t="shared" si="55"/>
        <v>0</v>
      </c>
      <c r="BB202" s="111">
        <f t="shared" si="56"/>
        <v>0</v>
      </c>
      <c r="BC202" s="111">
        <f t="shared" si="57"/>
        <v>0</v>
      </c>
      <c r="BD202" s="182">
        <f t="shared" si="58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in^2</v>
      </c>
      <c r="E203" s="214" t="str">
        <f t="shared" ref="E203:E210" si="59">AR11</f>
        <v>Moment of Inertia - y (Iy)</v>
      </c>
      <c r="F203" s="155"/>
      <c r="G203" s="210">
        <f t="shared" ref="G203:H206" si="60">AT11</f>
        <v>13.279850213333331</v>
      </c>
      <c r="H203" s="166" t="str">
        <f t="shared" si="60"/>
        <v>in^4</v>
      </c>
      <c r="Q203" s="10">
        <v>20</v>
      </c>
      <c r="R203" s="14" t="s">
        <v>38</v>
      </c>
      <c r="S203" s="34" t="s">
        <v>16</v>
      </c>
      <c r="T203" s="111">
        <f t="shared" si="36"/>
        <v>0</v>
      </c>
      <c r="U203" s="111">
        <f t="shared" si="37"/>
        <v>0</v>
      </c>
      <c r="V203" s="111">
        <f t="shared" si="38"/>
        <v>0</v>
      </c>
      <c r="W203" s="111">
        <f t="shared" si="39"/>
        <v>0</v>
      </c>
      <c r="X203" s="111">
        <f t="shared" si="40"/>
        <v>0</v>
      </c>
      <c r="Y203" s="182" t="e">
        <f t="shared" si="35"/>
        <v>#DIV/0!</v>
      </c>
      <c r="AB203" s="10">
        <v>20</v>
      </c>
      <c r="AC203" s="14" t="s">
        <v>38</v>
      </c>
      <c r="AD203" s="34" t="s">
        <v>16</v>
      </c>
      <c r="AE203" s="111">
        <f t="shared" si="41"/>
        <v>0</v>
      </c>
      <c r="AF203" s="111">
        <f t="shared" si="42"/>
        <v>0</v>
      </c>
      <c r="AG203" s="111">
        <f t="shared" si="43"/>
        <v>0</v>
      </c>
      <c r="AH203" s="111">
        <f t="shared" si="44"/>
        <v>0</v>
      </c>
      <c r="AI203" s="111">
        <f t="shared" si="45"/>
        <v>0</v>
      </c>
      <c r="AJ203" s="182">
        <f t="shared" si="46"/>
        <v>0</v>
      </c>
      <c r="AL203" s="10">
        <v>20</v>
      </c>
      <c r="AM203" s="14" t="s">
        <v>38</v>
      </c>
      <c r="AN203" s="34" t="s">
        <v>16</v>
      </c>
      <c r="AO203" s="111">
        <f t="shared" si="47"/>
        <v>0</v>
      </c>
      <c r="AP203" s="111">
        <f t="shared" si="48"/>
        <v>0</v>
      </c>
      <c r="AQ203" s="111">
        <f t="shared" si="49"/>
        <v>0</v>
      </c>
      <c r="AR203" s="111">
        <f t="shared" si="50"/>
        <v>0</v>
      </c>
      <c r="AS203" s="111">
        <f t="shared" si="51"/>
        <v>0</v>
      </c>
      <c r="AT203" s="182">
        <f t="shared" si="52"/>
        <v>0</v>
      </c>
      <c r="AV203" s="10">
        <v>20</v>
      </c>
      <c r="AW203" s="14" t="s">
        <v>38</v>
      </c>
      <c r="AX203" s="34" t="s">
        <v>16</v>
      </c>
      <c r="AY203" s="111">
        <f t="shared" si="53"/>
        <v>0</v>
      </c>
      <c r="AZ203" s="111">
        <f t="shared" si="54"/>
        <v>0</v>
      </c>
      <c r="BA203" s="111">
        <f t="shared" si="55"/>
        <v>0</v>
      </c>
      <c r="BB203" s="111">
        <f t="shared" si="56"/>
        <v>0</v>
      </c>
      <c r="BC203" s="111">
        <f t="shared" si="57"/>
        <v>0</v>
      </c>
      <c r="BD203" s="182">
        <f t="shared" si="58"/>
        <v>0</v>
      </c>
    </row>
    <row r="204" spans="2:56" x14ac:dyDescent="0.25">
      <c r="B204" s="209" t="str">
        <f t="shared" ref="B204:B211" si="61">AC12</f>
        <v>Depth (d)</v>
      </c>
      <c r="C204" s="211">
        <f t="shared" ref="C204:C212" si="62">AO12</f>
        <v>6.2</v>
      </c>
      <c r="D204" t="str">
        <f t="shared" ref="D204:D212" si="63">AP12</f>
        <v>in</v>
      </c>
      <c r="E204" s="19" t="str">
        <f t="shared" si="59"/>
        <v>Elastic Section Modulus - y (Sy)</v>
      </c>
      <c r="G204" s="211">
        <f t="shared" si="60"/>
        <v>4.4119103698781839</v>
      </c>
      <c r="H204" s="159" t="str">
        <f t="shared" si="60"/>
        <v>in^3</v>
      </c>
      <c r="Q204" s="10">
        <v>21</v>
      </c>
      <c r="R204" s="14" t="s">
        <v>39</v>
      </c>
      <c r="S204" s="34" t="s">
        <v>16</v>
      </c>
      <c r="T204" s="111">
        <f t="shared" si="36"/>
        <v>0</v>
      </c>
      <c r="U204" s="111">
        <f t="shared" si="37"/>
        <v>0</v>
      </c>
      <c r="V204" s="111">
        <f t="shared" si="38"/>
        <v>0</v>
      </c>
      <c r="W204" s="111">
        <f t="shared" si="39"/>
        <v>0</v>
      </c>
      <c r="X204" s="111">
        <f t="shared" si="40"/>
        <v>0</v>
      </c>
      <c r="Y204" s="182" t="e">
        <f t="shared" si="35"/>
        <v>#DIV/0!</v>
      </c>
      <c r="AB204" s="10">
        <v>21</v>
      </c>
      <c r="AC204" s="14" t="s">
        <v>39</v>
      </c>
      <c r="AD204" s="34" t="s">
        <v>16</v>
      </c>
      <c r="AE204" s="111">
        <f t="shared" si="41"/>
        <v>0</v>
      </c>
      <c r="AF204" s="111">
        <f t="shared" si="42"/>
        <v>0</v>
      </c>
      <c r="AG204" s="111">
        <f t="shared" si="43"/>
        <v>0</v>
      </c>
      <c r="AH204" s="111">
        <f t="shared" si="44"/>
        <v>0</v>
      </c>
      <c r="AI204" s="111">
        <f t="shared" si="45"/>
        <v>0</v>
      </c>
      <c r="AJ204" s="182">
        <f t="shared" si="46"/>
        <v>0</v>
      </c>
      <c r="AL204" s="10">
        <v>21</v>
      </c>
      <c r="AM204" s="14" t="s">
        <v>39</v>
      </c>
      <c r="AN204" s="34" t="s">
        <v>16</v>
      </c>
      <c r="AO204" s="111">
        <f t="shared" si="47"/>
        <v>0</v>
      </c>
      <c r="AP204" s="111">
        <f t="shared" si="48"/>
        <v>0</v>
      </c>
      <c r="AQ204" s="111">
        <f t="shared" si="49"/>
        <v>0</v>
      </c>
      <c r="AR204" s="111">
        <f t="shared" si="50"/>
        <v>0</v>
      </c>
      <c r="AS204" s="111">
        <f t="shared" si="51"/>
        <v>0</v>
      </c>
      <c r="AT204" s="182">
        <f t="shared" si="52"/>
        <v>0</v>
      </c>
      <c r="AV204" s="10">
        <v>21</v>
      </c>
      <c r="AW204" s="14" t="s">
        <v>39</v>
      </c>
      <c r="AX204" s="34" t="s">
        <v>16</v>
      </c>
      <c r="AY204" s="111">
        <f t="shared" si="53"/>
        <v>0</v>
      </c>
      <c r="AZ204" s="111">
        <f t="shared" si="54"/>
        <v>0</v>
      </c>
      <c r="BA204" s="111">
        <f t="shared" si="55"/>
        <v>0</v>
      </c>
      <c r="BB204" s="111">
        <f t="shared" si="56"/>
        <v>0</v>
      </c>
      <c r="BC204" s="111">
        <f t="shared" si="57"/>
        <v>0</v>
      </c>
      <c r="BD204" s="182">
        <f t="shared" si="58"/>
        <v>0</v>
      </c>
    </row>
    <row r="205" spans="2:56" ht="15.75" thickBot="1" x14ac:dyDescent="0.3">
      <c r="B205" s="209" t="str">
        <f t="shared" si="61"/>
        <v>Web Thickness (tw)</v>
      </c>
      <c r="C205" s="211">
        <f t="shared" si="62"/>
        <v>0.26</v>
      </c>
      <c r="D205" t="str">
        <f t="shared" si="63"/>
        <v>in</v>
      </c>
      <c r="E205" s="19" t="str">
        <f t="shared" si="59"/>
        <v>Radius of Gyration - y (ry)</v>
      </c>
      <c r="G205" s="211">
        <f t="shared" si="60"/>
        <v>1.5</v>
      </c>
      <c r="H205" s="159" t="str">
        <f t="shared" si="60"/>
        <v>in^3</v>
      </c>
      <c r="Q205" s="13">
        <v>22</v>
      </c>
      <c r="R205" s="15" t="s">
        <v>40</v>
      </c>
      <c r="S205" s="36" t="s">
        <v>16</v>
      </c>
      <c r="T205" s="106">
        <f t="shared" si="36"/>
        <v>0</v>
      </c>
      <c r="U205" s="106">
        <f t="shared" si="37"/>
        <v>0</v>
      </c>
      <c r="V205" s="106">
        <f t="shared" si="38"/>
        <v>0</v>
      </c>
      <c r="W205" s="106">
        <f t="shared" si="39"/>
        <v>0</v>
      </c>
      <c r="X205" s="106">
        <f t="shared" si="40"/>
        <v>0</v>
      </c>
      <c r="Y205" s="183" t="e">
        <f t="shared" si="35"/>
        <v>#DIV/0!</v>
      </c>
      <c r="AB205" s="13">
        <v>22</v>
      </c>
      <c r="AC205" s="15" t="s">
        <v>40</v>
      </c>
      <c r="AD205" s="36" t="s">
        <v>16</v>
      </c>
      <c r="AE205" s="106">
        <f t="shared" si="41"/>
        <v>0</v>
      </c>
      <c r="AF205" s="106">
        <f t="shared" si="42"/>
        <v>0</v>
      </c>
      <c r="AG205" s="106">
        <f t="shared" si="43"/>
        <v>0</v>
      </c>
      <c r="AH205" s="106">
        <f t="shared" si="44"/>
        <v>0</v>
      </c>
      <c r="AI205" s="106">
        <f t="shared" si="45"/>
        <v>0</v>
      </c>
      <c r="AJ205" s="183">
        <f t="shared" si="46"/>
        <v>0</v>
      </c>
      <c r="AL205" s="13">
        <v>22</v>
      </c>
      <c r="AM205" s="15" t="s">
        <v>40</v>
      </c>
      <c r="AN205" s="36" t="s">
        <v>16</v>
      </c>
      <c r="AO205" s="106">
        <f t="shared" si="47"/>
        <v>0</v>
      </c>
      <c r="AP205" s="106">
        <f t="shared" si="48"/>
        <v>0</v>
      </c>
      <c r="AQ205" s="106">
        <f t="shared" si="49"/>
        <v>0</v>
      </c>
      <c r="AR205" s="106">
        <f t="shared" si="50"/>
        <v>0</v>
      </c>
      <c r="AS205" s="106">
        <f t="shared" si="51"/>
        <v>0</v>
      </c>
      <c r="AT205" s="183">
        <f t="shared" si="52"/>
        <v>0</v>
      </c>
      <c r="AV205" s="13">
        <v>22</v>
      </c>
      <c r="AW205" s="15" t="s">
        <v>40</v>
      </c>
      <c r="AX205" s="36" t="s">
        <v>16</v>
      </c>
      <c r="AY205" s="106">
        <f t="shared" si="53"/>
        <v>0</v>
      </c>
      <c r="AZ205" s="106">
        <f t="shared" si="54"/>
        <v>0</v>
      </c>
      <c r="BA205" s="106">
        <f t="shared" si="55"/>
        <v>0</v>
      </c>
      <c r="BB205" s="106">
        <f t="shared" si="56"/>
        <v>0</v>
      </c>
      <c r="BC205" s="106">
        <f t="shared" si="57"/>
        <v>0</v>
      </c>
      <c r="BD205" s="183">
        <f t="shared" si="58"/>
        <v>0</v>
      </c>
    </row>
    <row r="206" spans="2:56" x14ac:dyDescent="0.25">
      <c r="B206" s="209" t="str">
        <f t="shared" si="61"/>
        <v>Flange Thickness (tf)</v>
      </c>
      <c r="C206" s="211">
        <f t="shared" si="62"/>
        <v>0.36499999999999999</v>
      </c>
      <c r="D206" t="str">
        <f t="shared" si="63"/>
        <v>in</v>
      </c>
      <c r="E206" s="19" t="str">
        <f t="shared" si="59"/>
        <v>Plastic Section Modulus - y (Zy)</v>
      </c>
      <c r="G206" s="211">
        <f t="shared" si="60"/>
        <v>6.7063159999999993</v>
      </c>
      <c r="H206" s="159" t="str">
        <f t="shared" si="60"/>
        <v>in^3</v>
      </c>
    </row>
    <row r="207" spans="2:56" x14ac:dyDescent="0.25">
      <c r="B207" s="209" t="str">
        <f t="shared" si="61"/>
        <v>Flange Width (bf)</v>
      </c>
      <c r="C207" s="211">
        <f t="shared" si="62"/>
        <v>6.02</v>
      </c>
      <c r="D207" t="str">
        <f t="shared" si="63"/>
        <v>in</v>
      </c>
      <c r="E207" s="19" t="str">
        <f t="shared" si="59"/>
        <v>ho</v>
      </c>
      <c r="G207" s="211">
        <f>AT15</f>
        <v>5.835</v>
      </c>
      <c r="H207" s="159"/>
    </row>
    <row r="208" spans="2:56" x14ac:dyDescent="0.25">
      <c r="B208" s="209" t="str">
        <f t="shared" si="61"/>
        <v>Moment of Inertia x (Ix)</v>
      </c>
      <c r="C208" s="211">
        <f t="shared" si="62"/>
        <v>41.000898293333343</v>
      </c>
      <c r="D208" t="str">
        <f t="shared" si="63"/>
        <v>in^4</v>
      </c>
      <c r="E208" s="19" t="str">
        <f t="shared" si="59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61"/>
        <v>Elastic Section Modulus x (Sx)</v>
      </c>
      <c r="C209" s="211">
        <f t="shared" si="62"/>
        <v>13.226096223655915</v>
      </c>
      <c r="D209" t="str">
        <f t="shared" si="63"/>
        <v>in^3</v>
      </c>
      <c r="E209" s="19" t="str">
        <f t="shared" si="59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61"/>
        <v>Radius of Gyration about X (rx)</v>
      </c>
      <c r="C210" s="211">
        <f t="shared" si="62"/>
        <v>2.6549394458704163</v>
      </c>
      <c r="D210" t="str">
        <f t="shared" si="63"/>
        <v>in</v>
      </c>
      <c r="E210" s="19" t="str">
        <f t="shared" si="59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61"/>
        <v>Plastic Section Modulus - X (Zx)</v>
      </c>
      <c r="C211" s="211">
        <f t="shared" si="62"/>
        <v>14.766103999999999</v>
      </c>
      <c r="D211" t="str">
        <f t="shared" si="63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62"/>
        <v>5.4700000000000006</v>
      </c>
      <c r="D212" s="162" t="str">
        <f t="shared" si="63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1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35" t="s">
        <v>349</v>
      </c>
      <c r="C243" s="336"/>
    </row>
    <row r="244" spans="2:8" ht="15.75" thickBot="1" x14ac:dyDescent="0.3">
      <c r="B244" s="337"/>
      <c r="C244" s="338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4">BB11</f>
        <v>Moment of Inertia - y (Iy)</v>
      </c>
      <c r="F252" s="155"/>
      <c r="G252" s="210">
        <f t="shared" ref="G252:H255" si="65">BD11</f>
        <v>17.058911573333333</v>
      </c>
      <c r="H252" s="166" t="str">
        <f t="shared" si="65"/>
        <v>in^4</v>
      </c>
    </row>
    <row r="253" spans="2:8" x14ac:dyDescent="0.25">
      <c r="B253" s="209" t="str">
        <f t="shared" ref="B253:B261" si="66">AW12</f>
        <v>Depth (d)</v>
      </c>
      <c r="C253" s="211">
        <f t="shared" ref="C253:C261" si="67">AY12</f>
        <v>6.38</v>
      </c>
      <c r="D253" t="str">
        <f t="shared" ref="D253:D261" si="68">AZ12</f>
        <v>in</v>
      </c>
      <c r="E253" s="19" t="str">
        <f t="shared" si="64"/>
        <v>Elastic Section Modulus - y (Sy)</v>
      </c>
      <c r="G253" s="211">
        <f t="shared" si="65"/>
        <v>5.6114840701754387</v>
      </c>
      <c r="H253" s="159" t="str">
        <f t="shared" si="65"/>
        <v>in^3</v>
      </c>
    </row>
    <row r="254" spans="2:8" x14ac:dyDescent="0.25">
      <c r="B254" s="209" t="str">
        <f t="shared" si="66"/>
        <v>Web Thickness (tw)</v>
      </c>
      <c r="C254" s="211">
        <f t="shared" si="67"/>
        <v>0.32</v>
      </c>
      <c r="D254" t="str">
        <f t="shared" si="68"/>
        <v>in</v>
      </c>
      <c r="E254" s="19" t="str">
        <f t="shared" si="64"/>
        <v>Radius of Gyration - y (ry)</v>
      </c>
      <c r="G254" s="211">
        <f t="shared" si="65"/>
        <v>1.52</v>
      </c>
      <c r="H254" s="159" t="str">
        <f t="shared" si="65"/>
        <v>in^3</v>
      </c>
    </row>
    <row r="255" spans="2:8" x14ac:dyDescent="0.25">
      <c r="B255" s="209" t="str">
        <f t="shared" si="66"/>
        <v>Flange Thickness (tf)</v>
      </c>
      <c r="C255" s="211">
        <f t="shared" si="67"/>
        <v>0.45500000000000002</v>
      </c>
      <c r="D255" t="str">
        <f t="shared" si="68"/>
        <v>in</v>
      </c>
      <c r="E255" s="19" t="str">
        <f t="shared" si="64"/>
        <v>Plastic Section Modulus - y (Zy)</v>
      </c>
      <c r="G255" s="211">
        <f t="shared" si="65"/>
        <v>8.5498879999999993</v>
      </c>
      <c r="H255" s="159" t="str">
        <f t="shared" si="65"/>
        <v>in^3</v>
      </c>
    </row>
    <row r="256" spans="2:8" x14ac:dyDescent="0.25">
      <c r="B256" s="209" t="str">
        <f t="shared" si="66"/>
        <v>Flange Width (bf)</v>
      </c>
      <c r="C256" s="211">
        <f t="shared" si="67"/>
        <v>6.08</v>
      </c>
      <c r="D256" t="str">
        <f t="shared" si="68"/>
        <v>in</v>
      </c>
      <c r="E256" s="19" t="str">
        <f t="shared" si="64"/>
        <v>ho</v>
      </c>
      <c r="G256" s="211">
        <f>BD15</f>
        <v>5.9249999999999998</v>
      </c>
      <c r="H256" s="159"/>
    </row>
    <row r="257" spans="2:9" x14ac:dyDescent="0.25">
      <c r="B257" s="209" t="str">
        <f t="shared" si="66"/>
        <v>Moment of Inertia x (Ix)</v>
      </c>
      <c r="C257" s="211">
        <f t="shared" si="67"/>
        <v>53.018014773333327</v>
      </c>
      <c r="D257" t="str">
        <f t="shared" si="68"/>
        <v>in^4</v>
      </c>
      <c r="E257" s="19" t="str">
        <f t="shared" si="64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6"/>
        <v>Elastic Section Modulus x (Sx)</v>
      </c>
      <c r="C258" s="211">
        <f t="shared" si="67"/>
        <v>16.62006732706374</v>
      </c>
      <c r="D258" t="str">
        <f t="shared" si="68"/>
        <v>in^3</v>
      </c>
      <c r="E258" s="19" t="str">
        <f t="shared" si="64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6"/>
        <v>Radius of Gyration about X (rx)</v>
      </c>
      <c r="C259" s="211">
        <f t="shared" si="67"/>
        <v>2.6980538466027935</v>
      </c>
      <c r="D259" t="str">
        <f t="shared" si="68"/>
        <v>in</v>
      </c>
      <c r="E259" s="19" t="str">
        <f t="shared" si="64"/>
        <v>h/tw</v>
      </c>
      <c r="G259" s="211">
        <f>BD18</f>
        <v>17.09375</v>
      </c>
      <c r="H259" s="159"/>
    </row>
    <row r="260" spans="2:9" x14ac:dyDescent="0.25">
      <c r="B260" s="209" t="str">
        <f t="shared" si="66"/>
        <v>Plastic Section Modulus - X (Zx)</v>
      </c>
      <c r="C260" s="211">
        <f t="shared" si="67"/>
        <v>18.784591999999996</v>
      </c>
      <c r="D260" t="str">
        <f t="shared" si="68"/>
        <v>in^3</v>
      </c>
      <c r="E260" s="19"/>
      <c r="G260" s="211"/>
      <c r="H260" s="159"/>
    </row>
    <row r="261" spans="2:9" ht="15.75" thickBot="1" x14ac:dyDescent="0.3">
      <c r="B261" s="213" t="str">
        <f t="shared" si="66"/>
        <v>Wh</v>
      </c>
      <c r="C261" s="212">
        <f t="shared" si="67"/>
        <v>5.47</v>
      </c>
      <c r="D261" s="162" t="str">
        <f t="shared" si="68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1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O16:P16"/>
    <mergeCell ref="R118:S118"/>
    <mergeCell ref="AC118:AD118"/>
    <mergeCell ref="AM118:AN118"/>
    <mergeCell ref="AW118:AX118"/>
    <mergeCell ref="R133:S133"/>
    <mergeCell ref="AC133:AD133"/>
    <mergeCell ref="AM133:AN133"/>
    <mergeCell ref="AW133:AX133"/>
    <mergeCell ref="AM19:AN19"/>
    <mergeCell ref="AW19:AX19"/>
    <mergeCell ref="R20:S20"/>
    <mergeCell ref="AC20:AD20"/>
    <mergeCell ref="AM20:AN20"/>
    <mergeCell ref="AW20:AX20"/>
    <mergeCell ref="AH17:AI17"/>
    <mergeCell ref="AM17:AN17"/>
    <mergeCell ref="AR17:AS17"/>
    <mergeCell ref="AW17:AX17"/>
    <mergeCell ref="R19:S19"/>
    <mergeCell ref="AC19:AD19"/>
    <mergeCell ref="R145:S145"/>
    <mergeCell ref="AC145:AD145"/>
    <mergeCell ref="AM145:AN145"/>
    <mergeCell ref="AW145:AX145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R115:S115"/>
    <mergeCell ref="AC115:AD115"/>
    <mergeCell ref="AM115:AN115"/>
    <mergeCell ref="AW115:AX115"/>
    <mergeCell ref="BB28:BC28"/>
    <mergeCell ref="R95:S95"/>
    <mergeCell ref="AC95:AD95"/>
    <mergeCell ref="AM95:AN95"/>
    <mergeCell ref="AW95:AX95"/>
    <mergeCell ref="R99:S99"/>
    <mergeCell ref="AC99:AD99"/>
    <mergeCell ref="AM99:AN99"/>
    <mergeCell ref="AW99:AX99"/>
    <mergeCell ref="W28:X28"/>
    <mergeCell ref="AH28:AI28"/>
    <mergeCell ref="AR28:AS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C17:AD17"/>
    <mergeCell ref="R17:S17"/>
    <mergeCell ref="W17:X17"/>
    <mergeCell ref="W15:X15"/>
    <mergeCell ref="AC15:AD15"/>
    <mergeCell ref="AH15:AI15"/>
    <mergeCell ref="AM15:AN15"/>
    <mergeCell ref="AR15:AS15"/>
    <mergeCell ref="AW15:AX15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R15:S15"/>
    <mergeCell ref="W13:X13"/>
    <mergeCell ref="AC13:AD13"/>
    <mergeCell ref="AH13:AI13"/>
    <mergeCell ref="AM13:AN13"/>
    <mergeCell ref="AR13:AS13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1:X11"/>
    <mergeCell ref="AC11:AD11"/>
    <mergeCell ref="AH11:AI11"/>
    <mergeCell ref="AM11:AN11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R11:S11"/>
    <mergeCell ref="B90:C91"/>
    <mergeCell ref="B99:H99"/>
    <mergeCell ref="B117:I117"/>
    <mergeCell ref="B153:H153"/>
    <mergeCell ref="B171:I171"/>
    <mergeCell ref="B202:H202"/>
    <mergeCell ref="B220:I220"/>
    <mergeCell ref="B251:H251"/>
    <mergeCell ref="B269:I269"/>
    <mergeCell ref="B145:C146"/>
    <mergeCell ref="B194:C195"/>
    <mergeCell ref="B243:C244"/>
    <mergeCell ref="AV155:BD155"/>
    <mergeCell ref="AV156:BD156"/>
    <mergeCell ref="AV181:BD181"/>
    <mergeCell ref="AV182:BD182"/>
    <mergeCell ref="AL181:AT181"/>
    <mergeCell ref="AB182:AJ182"/>
    <mergeCell ref="Q156:Y156"/>
    <mergeCell ref="Q181:Y181"/>
    <mergeCell ref="Q155:Y155"/>
    <mergeCell ref="AL182:AT182"/>
    <mergeCell ref="AB181:AJ181"/>
    <mergeCell ref="Q182:Y182"/>
    <mergeCell ref="AB155:AJ155"/>
    <mergeCell ref="AB156:AJ156"/>
    <mergeCell ref="AL155:AT155"/>
    <mergeCell ref="AL156:AT156"/>
    <mergeCell ref="B10:I10"/>
    <mergeCell ref="C2:D2"/>
    <mergeCell ref="C6:D6"/>
    <mergeCell ref="B9:I9"/>
    <mergeCell ref="C7:D7"/>
    <mergeCell ref="F6:G7"/>
    <mergeCell ref="C3:D4"/>
    <mergeCell ref="B35:I35"/>
    <mergeCell ref="B36:I36"/>
    <mergeCell ref="C63:E63"/>
    <mergeCell ref="C64:C65"/>
    <mergeCell ref="D64:D65"/>
    <mergeCell ref="E64:E65"/>
    <mergeCell ref="C61:E61"/>
    <mergeCell ref="C62:E62"/>
    <mergeCell ref="C66:C67"/>
    <mergeCell ref="D66:D67"/>
    <mergeCell ref="E66:E67"/>
    <mergeCell ref="C71:E71"/>
    <mergeCell ref="C72:C73"/>
    <mergeCell ref="D72:D73"/>
    <mergeCell ref="E72:E73"/>
    <mergeCell ref="C68:C69"/>
    <mergeCell ref="D68:D69"/>
    <mergeCell ref="E68:E69"/>
    <mergeCell ref="C82:C83"/>
    <mergeCell ref="D82:D83"/>
    <mergeCell ref="E82:E83"/>
    <mergeCell ref="C74:C75"/>
    <mergeCell ref="D74:D75"/>
    <mergeCell ref="E74:E75"/>
    <mergeCell ref="C79:E79"/>
    <mergeCell ref="C80:C81"/>
    <mergeCell ref="D80:D81"/>
    <mergeCell ref="E80:E81"/>
    <mergeCell ref="C76:C77"/>
    <mergeCell ref="D76:D77"/>
    <mergeCell ref="E76:E77"/>
  </mergeCells>
  <conditionalFormatting sqref="I34:I35">
    <cfRule type="expression" dxfId="448" priority="91">
      <formula>ABS(I34)=MAX(ABS($I$12:$I$33),ABS($I$38:$I$59))</formula>
    </cfRule>
  </conditionalFormatting>
  <conditionalFormatting sqref="E34:I35">
    <cfRule type="expression" priority="90" stopIfTrue="1">
      <formula>E34=""</formula>
    </cfRule>
  </conditionalFormatting>
  <conditionalFormatting sqref="E12:I33">
    <cfRule type="expression" dxfId="447" priority="89">
      <formula>ABS(E12)=MAX(ABS($E$12:$E$33),ABS($E$38:$E$59))</formula>
    </cfRule>
  </conditionalFormatting>
  <conditionalFormatting sqref="F12:F33">
    <cfRule type="expression" dxfId="446" priority="88">
      <formula>ABS(F12)=MAX(ABS($F$12:$F$33),ABS($F$38:$F$59))</formula>
    </cfRule>
  </conditionalFormatting>
  <conditionalFormatting sqref="G12:G33">
    <cfRule type="expression" dxfId="445" priority="87">
      <formula>ABS(G12)=MAX(ABS($G$12:$G$33),ABS($G$38:$G$59))</formula>
    </cfRule>
  </conditionalFormatting>
  <conditionalFormatting sqref="H12:H33">
    <cfRule type="expression" dxfId="444" priority="86">
      <formula>ABS(H12)=MAX(ABS($H$12:$H$33),ABS($H$38:$H$59))</formula>
    </cfRule>
  </conditionalFormatting>
  <conditionalFormatting sqref="I12:I33">
    <cfRule type="expression" dxfId="443" priority="85">
      <formula>ABS(I12)=MAX(ABS($I$12:$I$33),ABS($I$38:$I$59))</formula>
    </cfRule>
  </conditionalFormatting>
  <conditionalFormatting sqref="E12:I33">
    <cfRule type="expression" priority="84" stopIfTrue="1">
      <formula>E12=0</formula>
    </cfRule>
  </conditionalFormatting>
  <conditionalFormatting sqref="C132 C186 C235 C284">
    <cfRule type="cellIs" dxfId="442" priority="41" operator="greaterThan">
      <formula>1</formula>
    </cfRule>
  </conditionalFormatting>
  <conditionalFormatting sqref="E38:I59">
    <cfRule type="expression" dxfId="441" priority="40">
      <formula>ABS(E38)=MAX(ABS($E$12:$E$33),ABS($E$38:$E$59))</formula>
    </cfRule>
  </conditionalFormatting>
  <conditionalFormatting sqref="F38:F59">
    <cfRule type="expression" dxfId="440" priority="39">
      <formula>ABS(F38)=MAX(ABS($F$12:$F$33),ABS($F$38:$F$59))</formula>
    </cfRule>
  </conditionalFormatting>
  <conditionalFormatting sqref="G38:G59">
    <cfRule type="expression" dxfId="439" priority="38">
      <formula>ABS(G38)=MAX(ABS($G$12:$G$33),ABS($G$38:$G$59))</formula>
    </cfRule>
  </conditionalFormatting>
  <conditionalFormatting sqref="H38:H59">
    <cfRule type="expression" dxfId="438" priority="37">
      <formula>ABS(H38)=MAX(ABS($H$12:$H$33),ABS($H$38:$H$59))</formula>
    </cfRule>
  </conditionalFormatting>
  <conditionalFormatting sqref="I38:I59">
    <cfRule type="expression" dxfId="437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436" priority="29">
      <formula>$F$9="Zone 5"</formula>
    </cfRule>
    <cfRule type="expression" dxfId="435" priority="30">
      <formula>$F$9="Zone 4"</formula>
    </cfRule>
    <cfRule type="expression" dxfId="434" priority="31">
      <formula>$F$9="Zone 3"</formula>
    </cfRule>
    <cfRule type="expression" dxfId="433" priority="32">
      <formula>$F$9="Zone 2"</formula>
    </cfRule>
    <cfRule type="expression" dxfId="432" priority="33">
      <formula>$F$9="Zone 1"</formula>
    </cfRule>
    <cfRule type="expression" dxfId="431" priority="34">
      <formula>$F$9="Zone 1 - Drive"</formula>
    </cfRule>
  </conditionalFormatting>
  <conditionalFormatting sqref="Y41:Y150 AJ41:AJ150 AT41:AT150 BD41:BD150">
    <cfRule type="expression" dxfId="430" priority="28">
      <formula>Y41="Satisfactory"</formula>
    </cfRule>
  </conditionalFormatting>
  <conditionalFormatting sqref="AG4">
    <cfRule type="expression" dxfId="429" priority="22">
      <formula>$F$9="Zone 5"</formula>
    </cfRule>
    <cfRule type="expression" dxfId="428" priority="23">
      <formula>$F$9="Zone 4"</formula>
    </cfRule>
    <cfRule type="expression" dxfId="427" priority="24">
      <formula>$F$9="Zone 3"</formula>
    </cfRule>
    <cfRule type="expression" dxfId="426" priority="25">
      <formula>$F$9="Zone 2"</formula>
    </cfRule>
    <cfRule type="expression" dxfId="425" priority="26">
      <formula>$F$9="Zone 1"</formula>
    </cfRule>
    <cfRule type="expression" dxfId="424" priority="27">
      <formula>$F$9="Zone 1 - Drive"</formula>
    </cfRule>
  </conditionalFormatting>
  <conditionalFormatting sqref="AQ4">
    <cfRule type="expression" dxfId="423" priority="16">
      <formula>$F$9="Zone 5"</formula>
    </cfRule>
    <cfRule type="expression" dxfId="422" priority="17">
      <formula>$F$9="Zone 4"</formula>
    </cfRule>
    <cfRule type="expression" dxfId="421" priority="18">
      <formula>$F$9="Zone 3"</formula>
    </cfRule>
    <cfRule type="expression" dxfId="420" priority="19">
      <formula>$F$9="Zone 2"</formula>
    </cfRule>
    <cfRule type="expression" dxfId="419" priority="20">
      <formula>$F$9="Zone 1"</formula>
    </cfRule>
    <cfRule type="expression" dxfId="418" priority="21">
      <formula>$F$9="Zone 1 - Drive"</formula>
    </cfRule>
  </conditionalFormatting>
  <conditionalFormatting sqref="BA4">
    <cfRule type="expression" dxfId="417" priority="10">
      <formula>$F$9="Zone 5"</formula>
    </cfRule>
    <cfRule type="expression" dxfId="416" priority="11">
      <formula>$F$9="Zone 4"</formula>
    </cfRule>
    <cfRule type="expression" dxfId="415" priority="12">
      <formula>$F$9="Zone 3"</formula>
    </cfRule>
    <cfRule type="expression" dxfId="414" priority="13">
      <formula>$F$9="Zone 2"</formula>
    </cfRule>
    <cfRule type="expression" dxfId="413" priority="14">
      <formula>$F$9="Zone 1"</formula>
    </cfRule>
    <cfRule type="expression" dxfId="412" priority="15">
      <formula>$F$9="Zone 1 - Drive"</formula>
    </cfRule>
  </conditionalFormatting>
  <conditionalFormatting sqref="Y31:Y40 AJ31:AJ40 AT31:AT40 BD31:BD40">
    <cfRule type="expression" dxfId="411" priority="9">
      <formula>Y31="Satisfactory"</formula>
    </cfRule>
  </conditionalFormatting>
  <conditionalFormatting sqref="Y158:Y179">
    <cfRule type="top10" dxfId="410" priority="8" rank="1"/>
  </conditionalFormatting>
  <conditionalFormatting sqref="Y184:Y205">
    <cfRule type="top10" dxfId="409" priority="7" rank="1"/>
  </conditionalFormatting>
  <conditionalFormatting sqref="AJ158:AJ179">
    <cfRule type="top10" dxfId="408" priority="6" rank="1"/>
  </conditionalFormatting>
  <conditionalFormatting sqref="AJ184:AJ205">
    <cfRule type="top10" dxfId="407" priority="5" rank="1"/>
  </conditionalFormatting>
  <conditionalFormatting sqref="AT158:AT179">
    <cfRule type="top10" dxfId="406" priority="4" rank="1"/>
  </conditionalFormatting>
  <conditionalFormatting sqref="AT184:AT205">
    <cfRule type="top10" dxfId="405" priority="3" rank="1"/>
  </conditionalFormatting>
  <conditionalFormatting sqref="BD158:BD179">
    <cfRule type="top10" dxfId="404" priority="2" rank="1"/>
  </conditionalFormatting>
  <conditionalFormatting sqref="BD184:BD205">
    <cfRule type="top10" dxfId="403" priority="1" rank="1"/>
  </conditionalFormatting>
  <dataValidations count="1">
    <dataValidation type="list" allowBlank="1" showInputMessage="1" showErrorMessage="1" sqref="P17" xr:uid="{7D4F7133-0792-4225-8EBC-CA6CFD0AEB40}">
      <formula1>"No,Yes"</formula1>
    </dataValidation>
  </dataValidations>
  <pageMargins left="0.7" right="0.7" top="0.75" bottom="0.75" header="0.3" footer="0.3"/>
  <pageSetup scale="42" orientation="portrait" r:id="rId1"/>
  <colBreaks count="1" manualBreakCount="1">
    <brk id="28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98A9DB-E5B0-4D88-971F-130DA86D641F}">
          <x14:formula1>
            <xm:f>Shapes!$A$2:$A$17</xm:f>
          </x14:formula1>
          <xm:sqref>C151 C200 C97 C249</xm:sqref>
        </x14:dataValidation>
        <x14:dataValidation type="list" allowBlank="1" showInputMessage="1" showErrorMessage="1" xr:uid="{B3ADABE9-B0A8-4EF3-AE1B-69F6CC0E6DB5}">
          <x14:formula1>
            <xm:f>List!$D$2:$D$5</xm:f>
          </x14:formula1>
          <xm:sqref>P21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55382-FBA6-4A58-A3A9-FC70D018CF26}">
  <sheetPr codeName="Sheet3">
    <pageSetUpPr fitToPage="1"/>
  </sheetPr>
  <dimension ref="B2:BG284"/>
  <sheetViews>
    <sheetView showGridLines="0" view="pageBreakPreview" zoomScale="70" zoomScaleNormal="100" zoomScaleSheetLayoutView="70" workbookViewId="0">
      <selection activeCell="L13" sqref="L13"/>
    </sheetView>
  </sheetViews>
  <sheetFormatPr defaultRowHeight="15" x14ac:dyDescent="0.25"/>
  <cols>
    <col min="2" max="2" width="37.28515625" bestFit="1" customWidth="1"/>
    <col min="3" max="3" width="35.7109375" bestFit="1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13.7109375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5" t="s">
        <v>99</v>
      </c>
      <c r="D3" s="336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37"/>
      <c r="D4" s="338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21.7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7.25" customHeight="1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52.5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3.9547929600000002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8.3722498051719185</v>
      </c>
      <c r="Z11" s="166" t="s">
        <v>173</v>
      </c>
      <c r="AC11" s="341" t="s">
        <v>171</v>
      </c>
      <c r="AD11" s="340"/>
      <c r="AE11" s="164">
        <f>2*(AE15*AE14)+((AE12-(2*AE14))*AE13)</f>
        <v>5.3930289599999996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12.274338640417513</v>
      </c>
      <c r="AK11" s="166" t="s">
        <v>173</v>
      </c>
      <c r="AM11" s="341" t="s">
        <v>171</v>
      </c>
      <c r="AN11" s="340"/>
      <c r="AO11" s="164">
        <f>2*(AO15*AO14)+((AO12-(2*AO14))*AO13)</f>
        <v>5.3930289599999996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12.274338640417513</v>
      </c>
      <c r="AU11" s="166" t="s">
        <v>173</v>
      </c>
      <c r="AW11" s="341" t="s">
        <v>171</v>
      </c>
      <c r="AX11" s="340"/>
      <c r="AY11" s="164">
        <f>2*(AY15*AY14)+((AY12-(2*AY14))*AY13)</f>
        <v>6.8537649599999995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Loads'!E63</f>
        <v>0</v>
      </c>
      <c r="F12" s="21">
        <f>'0 Degree Loads'!F63</f>
        <v>0</v>
      </c>
      <c r="G12" s="21">
        <f>'0 Degree Loads'!G63</f>
        <v>0</v>
      </c>
      <c r="H12" s="21">
        <f>'0 Degree Loads'!H63</f>
        <v>0</v>
      </c>
      <c r="I12" s="22">
        <f>'0 Degree Loads'!I63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INDEX(Shapes!$D$2:$D$17,MATCH(Profile_Zone_1_STD,Shapes!$A$2:$A$17,0))-T9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INDEX(Shapes!$D$2:$D$17,MATCH(Profile_Zone_1_1,Shapes!$A$2:$A$17,0))-AE9</f>
        <v>6.1764000000000001</v>
      </c>
      <c r="AF12" t="s">
        <v>170</v>
      </c>
      <c r="AG12" s="168"/>
      <c r="AH12" s="342" t="s">
        <v>405</v>
      </c>
      <c r="AI12" s="342"/>
      <c r="AJ12" s="8">
        <f>(2*AJ11)/AE15</f>
        <v>4.0939025550055081</v>
      </c>
      <c r="AK12" s="159" t="s">
        <v>175</v>
      </c>
      <c r="AM12" s="343" t="s">
        <v>174</v>
      </c>
      <c r="AN12" s="342"/>
      <c r="AO12" s="167">
        <f>INDEX(Shapes!$D$2:$D$17,MATCH(Profile_Zone_1_2,Shapes!$A$2:$A$17,0))-AO9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INDEX(Shapes!$D$2:$D$17,MATCH(Profile_Zone_1_3,Shapes!$A$2:$A$17,0))-AY9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Loads'!E64</f>
        <v>0</v>
      </c>
      <c r="F13" s="23">
        <f>'0 Degree Loads'!F64</f>
        <v>0</v>
      </c>
      <c r="G13" s="23">
        <f>'0 Degree Loads'!G64</f>
        <v>0</v>
      </c>
      <c r="H13" s="23">
        <f>'0 Degree Loads'!H64</f>
        <v>0</v>
      </c>
      <c r="I13" s="24">
        <f>'0 Degree Loads'!I64</f>
        <v>0</v>
      </c>
      <c r="R13" s="343" t="s">
        <v>176</v>
      </c>
      <c r="S13" s="342"/>
      <c r="T13" s="167">
        <f>INDEX(Shapes!$H$2:$H$17,MATCH(Profile_Zone_1_STD,Shapes!$A$2:$A$17,0))-T9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INDEX(Shapes!$Y$2:$Y$17,MATCH(Profile_Zone_1_STD,Shapes!$A$2:$A$17,0))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INDEX(Shapes!$H$2:$H$17,MATCH(Profile_Zone_1_1,Shapes!$A$2:$A$17,0))-AE9</f>
        <v>0.2364</v>
      </c>
      <c r="AF13" t="s">
        <v>170</v>
      </c>
      <c r="AG13" s="168"/>
      <c r="AH13" s="342" t="s">
        <v>177</v>
      </c>
      <c r="AI13" s="342"/>
      <c r="AJ13" s="8">
        <f>INDEX(Shapes!$Y$2:$Y$17,MATCH(Profile_Zone_1_1,Shapes!$A$2:$A$17,0))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INDEX(Shapes!$Y$2:$Y$17,MATCH(Profile_Zone_1_2,Shapes!$A$2:$A$17,0))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INDEX(Shapes!$H$2:$H$17,MATCH(Profile_Zone_1_3,Shapes!$A$2:$A$17,0))-AY9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INDEX(Shapes!$Y$2:$Y$17,MATCH(Profile_Zone_1_3,Shapes!$A$2:$A$17,0))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Loads'!E65</f>
        <v>0</v>
      </c>
      <c r="F14" s="23">
        <f>'0 Degree Loads'!F65</f>
        <v>0</v>
      </c>
      <c r="G14" s="23">
        <f>'0 Degree Loads'!G65</f>
        <v>0</v>
      </c>
      <c r="H14" s="23">
        <f>'0 Degree Loads'!H65</f>
        <v>0</v>
      </c>
      <c r="I14" s="24">
        <f>'0 Degree Loads'!I65</f>
        <v>0</v>
      </c>
      <c r="R14" s="343" t="s">
        <v>178</v>
      </c>
      <c r="S14" s="342"/>
      <c r="T14" s="167">
        <f>INDEX(Shapes!$K$2:$K$17,MATCH(Profile_Zone_1_STD,Shapes!$A$2:$A$17,0))-T9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INDEX(Shapes!$K$2:$K$17,MATCH(Profile_Zone_1_1,Shapes!$A$2:$A$17,0))-AE9</f>
        <v>0.34139999999999998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6.2145803763359986</v>
      </c>
      <c r="AK14" s="159" t="s">
        <v>175</v>
      </c>
      <c r="AM14" s="343" t="s">
        <v>178</v>
      </c>
      <c r="AN14" s="342"/>
      <c r="AO14" s="167">
        <f>INDEX(Shapes!$K$2:$K$17,MATCH(Profile_Zone_1_2,Shapes!$A$2:$A$17,0))-AO9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INDEX(Shapes!$K$2:$K$17,MATCH(Profile_Zone_1_3,Shapes!$A$2:$A$17,0))-AY9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Loads'!E66</f>
        <v>0</v>
      </c>
      <c r="F15" s="23">
        <f>'0 Degree Loads'!F66</f>
        <v>0</v>
      </c>
      <c r="G15" s="23">
        <f>'0 Degree Loads'!G66</f>
        <v>0</v>
      </c>
      <c r="H15" s="23">
        <f>'0 Degree Loads'!H66</f>
        <v>0</v>
      </c>
      <c r="I15" s="24">
        <f>'0 Degree Loads'!I66</f>
        <v>0</v>
      </c>
      <c r="R15" s="343" t="s">
        <v>179</v>
      </c>
      <c r="S15" s="342"/>
      <c r="T15" s="167">
        <f>INDEX(Shapes!$F$2:$F$17,MATCH(Profile_Zone_1_STD,Shapes!$A$2:$A$17,0))-T9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INDEX(Shapes!$F$2:$F$17,MATCH(Profile_Zone_1_1,Shapes!$A$2:$A$17,0))-AE9</f>
        <v>5.9963999999999995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INDEX(Shapes!$F$2:$F$17,MATCH(Profile_Zone_1_3,Shapes!$A$2:$A$17,0))-AY9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Loads'!E67</f>
        <v>0</v>
      </c>
      <c r="F16" s="23">
        <f>'0 Degree Loads'!F67</f>
        <v>0</v>
      </c>
      <c r="G16" s="23">
        <f>'0 Degree Loads'!G67</f>
        <v>0</v>
      </c>
      <c r="H16" s="23">
        <f>'0 Degree Loads'!H67</f>
        <v>0</v>
      </c>
      <c r="I16" s="24">
        <f>'0 Degree Loads'!I67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38.156171840207598</v>
      </c>
      <c r="AF16" t="s">
        <v>173</v>
      </c>
      <c r="AG16" s="168"/>
      <c r="AH16" s="342" t="s">
        <v>182</v>
      </c>
      <c r="AI16" s="342"/>
      <c r="AJ16" s="8">
        <f>SQRT((AJ11*AJ15)/(2*AE17))</f>
        <v>1.7024516792693745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Loads'!E68</f>
        <v>0</v>
      </c>
      <c r="F17" s="23">
        <f>'0 Degree Loads'!F68</f>
        <v>0</v>
      </c>
      <c r="G17" s="23">
        <f>'0 Degree Loads'!G68</f>
        <v>0</v>
      </c>
      <c r="H17" s="23">
        <f>'0 Degree Loads'!H68</f>
        <v>0</v>
      </c>
      <c r="I17" s="24">
        <f>'0 Degree Loads'!I68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12.355473039378149</v>
      </c>
      <c r="AF17" t="s">
        <v>175</v>
      </c>
      <c r="AG17" s="168"/>
      <c r="AH17" s="342" t="s">
        <v>184</v>
      </c>
      <c r="AI17" s="342"/>
      <c r="AJ17" s="8">
        <f>((2*AE15*AE14^3)+(AJ15*AE13^3))/3</f>
        <v>0.18476638096141437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Loads'!E69</f>
        <v>0</v>
      </c>
      <c r="F18" s="23">
        <f>'0 Degree Loads'!F69</f>
        <v>0</v>
      </c>
      <c r="G18" s="23">
        <f>'0 Degree Loads'!G69</f>
        <v>0</v>
      </c>
      <c r="H18" s="23">
        <f>'0 Degree Loads'!H69</f>
        <v>0</v>
      </c>
      <c r="I18" s="24">
        <f>'0 Degree Loads'!I69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2.6599043628066652</v>
      </c>
      <c r="AF18" t="s">
        <v>170</v>
      </c>
      <c r="AG18" s="168"/>
      <c r="AH18" s="342" t="s">
        <v>186</v>
      </c>
      <c r="AI18" s="342"/>
      <c r="AJ18" s="8">
        <f>AE20/AE13</f>
        <v>23.238578680203045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Loads'!E70</f>
        <v>0</v>
      </c>
      <c r="F19" s="23">
        <f>'0 Degree Loads'!F70</f>
        <v>0</v>
      </c>
      <c r="G19" s="23">
        <f>'0 Degree Loads'!G70</f>
        <v>0</v>
      </c>
      <c r="H19" s="23">
        <f>'0 Degree Loads'!H70</f>
        <v>0</v>
      </c>
      <c r="I19" s="24">
        <f>'0 Degree Loads'!I70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13.728859332336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Loads'!E71</f>
        <v>0</v>
      </c>
      <c r="F20" s="23">
        <f>'0 Degree Loads'!F71</f>
        <v>0</v>
      </c>
      <c r="G20" s="23">
        <f>'0 Degree Loads'!G71</f>
        <v>0</v>
      </c>
      <c r="H20" s="23">
        <f>'0 Degree Loads'!H71</f>
        <v>0</v>
      </c>
      <c r="I20" s="24">
        <f>'0 Degree Loads'!I71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Loads'!E72</f>
        <v>0</v>
      </c>
      <c r="F21" s="23">
        <f>'0 Degree Loads'!F72</f>
        <v>0</v>
      </c>
      <c r="G21" s="23">
        <f>'0 Degree Loads'!G72</f>
        <v>0</v>
      </c>
      <c r="H21" s="23">
        <f>'0 Degree Loads'!H72</f>
        <v>0</v>
      </c>
      <c r="I21" s="24">
        <f>'0 Degree Loads'!I72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Loads'!E73</f>
        <v>0</v>
      </c>
      <c r="F22" s="23">
        <f>'0 Degree Loads'!F73</f>
        <v>0</v>
      </c>
      <c r="G22" s="23">
        <f>'0 Degree Loads'!G73</f>
        <v>0</v>
      </c>
      <c r="H22" s="23">
        <f>'0 Degree Loads'!H73</f>
        <v>0</v>
      </c>
      <c r="I22" s="24">
        <f>'0 Degree Loads'!I73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Loads'!E74</f>
        <v>0</v>
      </c>
      <c r="F23" s="23">
        <f>'0 Degree Loads'!F74</f>
        <v>0</v>
      </c>
      <c r="G23" s="23">
        <f>'0 Degree Loads'!G74</f>
        <v>0</v>
      </c>
      <c r="H23" s="23">
        <f>'0 Degree Loads'!H74</f>
        <v>0</v>
      </c>
      <c r="I23" s="24">
        <f>'0 Degree Loads'!I74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Loads'!E75</f>
        <v>0</v>
      </c>
      <c r="F24" s="23">
        <f>'0 Degree Loads'!F75</f>
        <v>0</v>
      </c>
      <c r="G24" s="23">
        <f>'0 Degree Loads'!G75</f>
        <v>0</v>
      </c>
      <c r="H24" s="23">
        <f>'0 Degree Loads'!H75</f>
        <v>0</v>
      </c>
      <c r="I24" s="24">
        <f>'0 Degree Loads'!I75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Loads'!E76</f>
        <v>0</v>
      </c>
      <c r="F25" s="23">
        <f>'0 Degree Loads'!F76</f>
        <v>0</v>
      </c>
      <c r="G25" s="23">
        <f>'0 Degree Loads'!G76</f>
        <v>0</v>
      </c>
      <c r="H25" s="23">
        <f>'0 Degree Loads'!H76</f>
        <v>0</v>
      </c>
      <c r="I25" s="24">
        <f>'0 Degree Loads'!I76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Loads'!E77</f>
        <v>0</v>
      </c>
      <c r="F26" s="23">
        <f>'0 Degree Loads'!F77</f>
        <v>0</v>
      </c>
      <c r="G26" s="23">
        <f>'0 Degree Loads'!G77</f>
        <v>0</v>
      </c>
      <c r="H26" s="23">
        <f>'0 Degree Loads'!H77</f>
        <v>0</v>
      </c>
      <c r="I26" s="24">
        <f>'0 Degree Loads'!I77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Loads'!E78</f>
        <v>0</v>
      </c>
      <c r="F27" s="23">
        <f>'0 Degree Loads'!F78</f>
        <v>0</v>
      </c>
      <c r="G27" s="23">
        <f>'0 Degree Loads'!G78</f>
        <v>0</v>
      </c>
      <c r="H27" s="23">
        <f>'0 Degree Loads'!H78</f>
        <v>0</v>
      </c>
      <c r="I27" s="24">
        <f>'0 Degree Loads'!I78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Loads'!E79</f>
        <v>0</v>
      </c>
      <c r="F28" s="23">
        <f>'0 Degree Loads'!F79</f>
        <v>0</v>
      </c>
      <c r="G28" s="23">
        <f>'0 Degree Loads'!G79</f>
        <v>0</v>
      </c>
      <c r="H28" s="23">
        <f>'0 Degree Loads'!H79</f>
        <v>0</v>
      </c>
      <c r="I28" s="24">
        <f>'0 Degree Loads'!I79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Loads'!E80</f>
        <v>0</v>
      </c>
      <c r="F29" s="23">
        <f>'0 Degree Loads'!F80</f>
        <v>0</v>
      </c>
      <c r="G29" s="23">
        <f>'0 Degree Loads'!G80</f>
        <v>0</v>
      </c>
      <c r="H29" s="23">
        <f>'0 Degree Loads'!H80</f>
        <v>0</v>
      </c>
      <c r="I29" s="24">
        <f>'0 Degree Loads'!I80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8.7820738137082603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Loads'!E81</f>
        <v>0</v>
      </c>
      <c r="F30" s="23">
        <f>'0 Degree Loads'!F81</f>
        <v>0</v>
      </c>
      <c r="G30" s="23">
        <f>'0 Degree Loads'!G81</f>
        <v>0</v>
      </c>
      <c r="H30" s="23">
        <f>'0 Degree Loads'!H81</f>
        <v>0</v>
      </c>
      <c r="I30" s="24">
        <f>'0 Degree Loads'!I81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Loads'!E82</f>
        <v>0</v>
      </c>
      <c r="F31" s="23">
        <f>'0 Degree Loads'!F82</f>
        <v>0</v>
      </c>
      <c r="G31" s="23">
        <f>'0 Degree Loads'!G82</f>
        <v>0</v>
      </c>
      <c r="H31" s="23">
        <f>'0 Degree Loads'!H82</f>
        <v>0</v>
      </c>
      <c r="I31" s="24">
        <f>'0 Degree Loads'!I82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Loads'!E83</f>
        <v>0</v>
      </c>
      <c r="F32" s="23">
        <f>'0 Degree Loads'!F83</f>
        <v>0</v>
      </c>
      <c r="G32" s="23">
        <f>'0 Degree Loads'!G83</f>
        <v>0</v>
      </c>
      <c r="H32" s="23">
        <f>'0 Degree Loads'!H83</f>
        <v>0</v>
      </c>
      <c r="I32" s="24">
        <f>'0 Degree Loads'!I83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23.238578680203045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9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Loads'!E84</f>
        <v>0</v>
      </c>
      <c r="F33" s="31">
        <f>'0 Degree Loads'!F84</f>
        <v>0</v>
      </c>
      <c r="G33" s="31">
        <f>'0 Degree Loads'!G84</f>
        <v>0</v>
      </c>
      <c r="H33" s="31">
        <f>'0 Degree Loads'!H84</f>
        <v>0</v>
      </c>
      <c r="I33" s="32">
        <f>'0 Degree Loads'!I84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9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9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9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8.7820738137082603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9" s="16" customFormat="1" ht="54.6" customHeight="1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G37" s="17"/>
    </row>
    <row r="38" spans="2:59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Loads'!E63</f>
        <v>0</v>
      </c>
      <c r="F38" s="21">
        <f>'55 Degree Loads'!F63</f>
        <v>0</v>
      </c>
      <c r="G38" s="21">
        <f>'55 Degree Loads'!G63</f>
        <v>0</v>
      </c>
      <c r="H38" s="21">
        <f>'55 Degree Loads'!H63</f>
        <v>0</v>
      </c>
      <c r="I38" s="22">
        <f>'55 Degree Loads'!I63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9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Loads'!E64</f>
        <v>0</v>
      </c>
      <c r="F39" s="23">
        <f>'55 Degree Loads'!F64</f>
        <v>0</v>
      </c>
      <c r="G39" s="23">
        <f>'55 Degree Loads'!G64</f>
        <v>0</v>
      </c>
      <c r="H39" s="23">
        <f>'55 Degree Loads'!H64</f>
        <v>0</v>
      </c>
      <c r="I39" s="24">
        <f>'55 Degree Loads'!I64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23.238578680203045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9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Loads'!E65</f>
        <v>0</v>
      </c>
      <c r="F40" s="23">
        <f>'55 Degree Loads'!F65</f>
        <v>0</v>
      </c>
      <c r="G40" s="23">
        <f>'55 Degree Loads'!G65</f>
        <v>0</v>
      </c>
      <c r="H40" s="23">
        <f>'55 Degree Loads'!H65</f>
        <v>0</v>
      </c>
      <c r="I40" s="24">
        <f>'55 Degree Loads'!I65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9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Loads'!E66</f>
        <v>0</v>
      </c>
      <c r="F41" s="23">
        <f>'55 Degree Loads'!F66</f>
        <v>0</v>
      </c>
      <c r="G41" s="23">
        <f>'55 Degree Loads'!G66</f>
        <v>0</v>
      </c>
      <c r="H41" s="23">
        <f>'55 Degree Loads'!H66</f>
        <v>0</v>
      </c>
      <c r="I41" s="24">
        <f>'55 Degree Loads'!I66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9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Loads'!E67</f>
        <v>0</v>
      </c>
      <c r="F42" s="23">
        <f>'55 Degree Loads'!F67</f>
        <v>0</v>
      </c>
      <c r="G42" s="23">
        <f>'55 Degree Loads'!G67</f>
        <v>0</v>
      </c>
      <c r="H42" s="23">
        <f>'55 Degree Loads'!H67</f>
        <v>0</v>
      </c>
      <c r="I42" s="24">
        <f>'55 Degree Loads'!I67</f>
        <v>0</v>
      </c>
    </row>
    <row r="43" spans="2:59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Loads'!E68</f>
        <v>0</v>
      </c>
      <c r="F43" s="23">
        <f>'55 Degree Loads'!F68</f>
        <v>0</v>
      </c>
      <c r="G43" s="23">
        <f>'55 Degree Loads'!G68</f>
        <v>0</v>
      </c>
      <c r="H43" s="23">
        <f>'55 Degree Loads'!H68</f>
        <v>0</v>
      </c>
      <c r="I43" s="24">
        <f>'55 Degree Loads'!I68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9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Loads'!E69</f>
        <v>0</v>
      </c>
      <c r="F44" s="23">
        <f>'55 Degree Loads'!F69</f>
        <v>0</v>
      </c>
      <c r="G44" s="23">
        <f>'55 Degree Loads'!G69</f>
        <v>0</v>
      </c>
      <c r="H44" s="23">
        <f>'55 Degree Loads'!H69</f>
        <v>0</v>
      </c>
      <c r="I44" s="24">
        <f>'55 Degree Loads'!I69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9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Loads'!E70</f>
        <v>0</v>
      </c>
      <c r="F45" s="23">
        <f>'55 Degree Loads'!F70</f>
        <v>0</v>
      </c>
      <c r="G45" s="23">
        <f>'55 Degree Loads'!G70</f>
        <v>0</v>
      </c>
      <c r="H45" s="23">
        <f>'55 Degree Loads'!H70</f>
        <v>0</v>
      </c>
      <c r="I45" s="24">
        <f>'55 Degree Loads'!I70</f>
        <v>0</v>
      </c>
    </row>
    <row r="46" spans="2:59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Loads'!E71</f>
        <v>0</v>
      </c>
      <c r="F46" s="23">
        <f>'55 Degree Loads'!F71</f>
        <v>0</v>
      </c>
      <c r="G46" s="23">
        <f>'55 Degree Loads'!G71</f>
        <v>0</v>
      </c>
      <c r="H46" s="23">
        <f>'55 Degree Loads'!H71</f>
        <v>0</v>
      </c>
      <c r="I46" s="24">
        <f>'55 Degree Loads'!I71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9.4740248380244729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27.979566428971172</v>
      </c>
    </row>
    <row r="47" spans="2:59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Loads'!E72</f>
        <v>0</v>
      </c>
      <c r="F47" s="23">
        <f>'55 Degree Loads'!F72</f>
        <v>0</v>
      </c>
      <c r="G47" s="23">
        <f>'55 Degree Loads'!G72</f>
        <v>0</v>
      </c>
      <c r="H47" s="23">
        <f>'55 Degree Loads'!H72</f>
        <v>0</v>
      </c>
      <c r="I47" s="24">
        <f>'55 Degree Loads'!I72</f>
        <v>0</v>
      </c>
      <c r="S47" s="173"/>
      <c r="AD47" s="173"/>
      <c r="AN47" s="173"/>
      <c r="AX47" s="173"/>
    </row>
    <row r="48" spans="2:59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Loads'!E73</f>
        <v>0</v>
      </c>
      <c r="F48" s="23">
        <f>'55 Degree Loads'!F73</f>
        <v>0</v>
      </c>
      <c r="G48" s="23">
        <f>'55 Degree Loads'!G73</f>
        <v>0</v>
      </c>
      <c r="H48" s="23">
        <f>'55 Degree Loads'!H73</f>
        <v>0</v>
      </c>
      <c r="I48" s="24">
        <f>'55 Degree Loads'!I73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Loads'!E74</f>
        <v>0</v>
      </c>
      <c r="F49" s="23">
        <f>'55 Degree Loads'!F74</f>
        <v>0</v>
      </c>
      <c r="G49" s="23">
        <f>'55 Degree Loads'!G74</f>
        <v>0</v>
      </c>
      <c r="H49" s="23">
        <f>'55 Degree Loads'!H74</f>
        <v>0</v>
      </c>
      <c r="I49" s="24">
        <f>'55 Degree Loads'!I74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Loads'!E75</f>
        <v>0</v>
      </c>
      <c r="F50" s="23">
        <f>'55 Degree Loads'!F75</f>
        <v>0</v>
      </c>
      <c r="G50" s="23">
        <f>'55 Degree Loads'!G75</f>
        <v>0</v>
      </c>
      <c r="H50" s="23">
        <f>'55 Degree Loads'!H75</f>
        <v>0</v>
      </c>
      <c r="I50" s="24">
        <f>'55 Degree Loads'!I75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Loads'!E76</f>
        <v>0</v>
      </c>
      <c r="F51" s="23">
        <f>'55 Degree Loads'!F76</f>
        <v>0</v>
      </c>
      <c r="G51" s="23">
        <f>'55 Degree Loads'!G76</f>
        <v>0</v>
      </c>
      <c r="H51" s="23">
        <f>'55 Degree Loads'!H76</f>
        <v>0</v>
      </c>
      <c r="I51" s="24">
        <f>'55 Degree Loads'!I76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Loads'!E77</f>
        <v>0</v>
      </c>
      <c r="F52" s="23">
        <f>'55 Degree Loads'!F77</f>
        <v>0</v>
      </c>
      <c r="G52" s="23">
        <f>'55 Degree Loads'!G77</f>
        <v>0</v>
      </c>
      <c r="H52" s="23">
        <f>'55 Degree Loads'!H77</f>
        <v>0</v>
      </c>
      <c r="I52" s="24">
        <f>'55 Degree Loads'!I77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Loads'!E78</f>
        <v>0</v>
      </c>
      <c r="F53" s="23">
        <f>'55 Degree Loads'!F78</f>
        <v>0</v>
      </c>
      <c r="G53" s="23">
        <f>'55 Degree Loads'!G78</f>
        <v>0</v>
      </c>
      <c r="H53" s="23">
        <f>'55 Degree Loads'!H78</f>
        <v>0</v>
      </c>
      <c r="I53" s="24">
        <f>'55 Degree Loads'!I78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Loads'!E79</f>
        <v>0</v>
      </c>
      <c r="F54" s="23">
        <f>'55 Degree Loads'!F79</f>
        <v>0</v>
      </c>
      <c r="G54" s="23">
        <f>'55 Degree Loads'!G79</f>
        <v>0</v>
      </c>
      <c r="H54" s="23">
        <f>'55 Degree Loads'!H79</f>
        <v>0</v>
      </c>
      <c r="I54" s="24">
        <f>'55 Degree Loads'!I79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Loads'!E80</f>
        <v>0</v>
      </c>
      <c r="F55" s="23">
        <f>'55 Degree Loads'!F80</f>
        <v>0</v>
      </c>
      <c r="G55" s="23">
        <f>'55 Degree Loads'!G80</f>
        <v>0</v>
      </c>
      <c r="H55" s="23">
        <f>'55 Degree Loads'!H80</f>
        <v>0</v>
      </c>
      <c r="I55" s="24">
        <f>'55 Degree Loads'!I80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Loads'!E81</f>
        <v>0</v>
      </c>
      <c r="F56" s="23">
        <f>'55 Degree Loads'!F81</f>
        <v>0</v>
      </c>
      <c r="G56" s="23">
        <f>'55 Degree Loads'!G81</f>
        <v>0</v>
      </c>
      <c r="H56" s="23">
        <f>'55 Degree Loads'!H81</f>
        <v>0</v>
      </c>
      <c r="I56" s="24">
        <f>'55 Degree Loads'!I81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Loads'!E82</f>
        <v>0</v>
      </c>
      <c r="F57" s="23">
        <f>'55 Degree Loads'!F82</f>
        <v>0</v>
      </c>
      <c r="G57" s="23">
        <f>'55 Degree Loads'!G82</f>
        <v>0</v>
      </c>
      <c r="H57" s="23">
        <f>'55 Degree Loads'!H82</f>
        <v>0</v>
      </c>
      <c r="I57" s="24">
        <f>'55 Degree Loads'!I82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Loads'!E83</f>
        <v>0</v>
      </c>
      <c r="F58" s="23">
        <f>'55 Degree Loads'!F83</f>
        <v>0</v>
      </c>
      <c r="G58" s="23">
        <f>'55 Degree Loads'!G83</f>
        <v>0</v>
      </c>
      <c r="H58" s="23">
        <f>'55 Degree Loads'!H83</f>
        <v>0</v>
      </c>
      <c r="I58" s="24">
        <f>'55 Degree Loads'!I83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264.13824825036295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Loads'!E84</f>
        <v>0</v>
      </c>
      <c r="F59" s="31">
        <f>'55 Degree Loads'!F84</f>
        <v>0</v>
      </c>
      <c r="G59" s="31">
        <f>'55 Degree Loads'!G84</f>
        <v>0</v>
      </c>
      <c r="H59" s="31">
        <f>'55 Degree Loads'!H84</f>
        <v>0</v>
      </c>
      <c r="I59" s="32">
        <f>'55 Degree Loads'!I84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261.78961995775973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5.9963999999999995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264.68171939470284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416.08820166846402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6.1764000000000001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5.3930289599999996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264.13824825036295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176.09216550024198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686.44296661680005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223.70899132631803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5789.5962921696173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707.80755022462586</v>
      </c>
    </row>
    <row r="90" spans="2:51" x14ac:dyDescent="0.25">
      <c r="B90" s="335" t="s">
        <v>346</v>
      </c>
      <c r="C90" s="336"/>
    </row>
    <row r="91" spans="2:51" ht="15.75" thickBot="1" x14ac:dyDescent="0.3">
      <c r="B91" s="337"/>
      <c r="C91" s="338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686.44296661680005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0.82976518756327555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'IDLER REACTIONS Zone 1'!C97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0.63438133178676981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1.0520328750946488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1.6461569116644132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457.62864441120001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259.44955045871228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310.72901881679991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327.51220440044062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310.72901881679991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310.72901881679991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207.15267921119994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1.4601009600000001</v>
      </c>
      <c r="AM134" t="s">
        <v>270</v>
      </c>
      <c r="AN134">
        <f>AO12*AO13</f>
        <v>1.4601009600000001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23.238578680203045</v>
      </c>
      <c r="AM135" t="s">
        <v>186</v>
      </c>
      <c r="AN135">
        <f>AN32</f>
        <v>23.238578680203045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29.202019200000006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35" t="s">
        <v>347</v>
      </c>
      <c r="C145" s="33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37"/>
      <c r="C146" s="33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81.886838400000002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1'!C151</f>
        <v>W6X20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5.3930289599999996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12.274338640417513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6.1764000000000001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4.0939025550055081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18" customHeight="1" thickBot="1" x14ac:dyDescent="0.3">
      <c r="B157" s="209" t="str">
        <f t="shared" si="4"/>
        <v>Flange Thickness (tf)</v>
      </c>
      <c r="C157" s="211">
        <f t="shared" si="5"/>
        <v>0.34139999999999998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6.2145803763359986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5.9963999999999995</v>
      </c>
      <c r="D158" t="str">
        <f t="shared" si="5"/>
        <v>in</v>
      </c>
      <c r="E158" s="19" t="str">
        <f t="shared" si="6"/>
        <v>ho</v>
      </c>
      <c r="G158" s="211">
        <f t="shared" si="7"/>
        <v>5.835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38.156171840207598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1.7024516792693745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12.355473039378149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0.18476638096141437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2.6599043628066652</v>
      </c>
      <c r="D161" t="str">
        <f t="shared" si="5"/>
        <v>in</v>
      </c>
      <c r="E161" s="19" t="str">
        <f t="shared" si="6"/>
        <v>h/tw</v>
      </c>
      <c r="G161" s="211">
        <f t="shared" si="7"/>
        <v>23.238578680203045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13.728859332336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176.09216550024198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457.62864441120001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207.15267921119994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29.202019200000006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81.886838400000002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411.04369258491022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20.25" customHeight="1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35" t="s">
        <v>348</v>
      </c>
      <c r="C194" s="336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37"/>
      <c r="C195" s="338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1'!C200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35" t="s">
        <v>349</v>
      </c>
      <c r="C243" s="336"/>
    </row>
    <row r="244" spans="2:8" ht="15.75" thickBot="1" x14ac:dyDescent="0.3">
      <c r="B244" s="337"/>
      <c r="C244" s="338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1'!C249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15.984407914553836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6.3563999999999998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5.2785179032276055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0.2964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1.52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0.43140000000000001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8.0325291483360015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6.0564</v>
      </c>
      <c r="D256" t="str">
        <f t="shared" si="63"/>
        <v>in</v>
      </c>
      <c r="E256" s="19" t="str">
        <f t="shared" si="60"/>
        <v>ho</v>
      </c>
      <c r="G256" s="211">
        <f>BD15</f>
        <v>5.9249999999999998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50.036950881186783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15.743801800134285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2.701971819038651</v>
      </c>
      <c r="D259" t="str">
        <f t="shared" si="63"/>
        <v>in</v>
      </c>
      <c r="E259" s="19" t="str">
        <f t="shared" si="60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17.716742333136001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</mergeCells>
  <dataValidations disablePrompts="1" count="1">
    <dataValidation type="list" allowBlank="1" showInputMessage="1" showErrorMessage="1" sqref="P17" xr:uid="{1B9DF104-BE8C-44D5-AC93-EBE0F6E5B14C}">
      <formula1>"No,Yes"</formula1>
    </dataValidation>
  </dataValidations>
  <pageMargins left="0.7" right="0.7" top="0.75" bottom="0.75" header="0.3" footer="0.3"/>
  <pageSetup scale="43" orientation="portrait" r:id="rId1"/>
  <colBreaks count="1" manualBreakCount="1">
    <brk id="28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E97124F-04EB-401F-8650-F19073D3BC1F}">
          <x14:formula1>
            <xm:f>List!$D$2:$D$5</xm:f>
          </x14:formula1>
          <xm:sqref>P21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7A24D-C272-479D-8091-012F2D8B060A}">
  <sheetPr codeName="Sheet30">
    <pageSetUpPr fitToPage="1"/>
  </sheetPr>
  <dimension ref="B2:BF286"/>
  <sheetViews>
    <sheetView showGridLines="0" view="pageBreakPreview" zoomScale="70" zoomScaleNormal="100" zoomScaleSheetLayoutView="70" workbookViewId="0">
      <selection activeCell="B286" sqref="B286"/>
    </sheetView>
  </sheetViews>
  <sheetFormatPr defaultRowHeight="15" x14ac:dyDescent="0.25"/>
  <cols>
    <col min="2" max="2" width="42.5703125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3" t="s">
        <v>98</v>
      </c>
      <c r="D3" s="364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65"/>
      <c r="D4" s="366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W6X16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01"/>
      <c r="D5" s="10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4.3729000000000005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9.3188240808333358</v>
      </c>
      <c r="Z11" s="166" t="s">
        <v>173</v>
      </c>
      <c r="AC11" s="341" t="s">
        <v>171</v>
      </c>
      <c r="AD11" s="340"/>
      <c r="AE11" s="164">
        <f>2*(AE15*AE14)+((AE12-(2*AE14))*AE13)</f>
        <v>4.6865000000000006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4.4259425491666686</v>
      </c>
      <c r="AK11" s="166" t="s">
        <v>173</v>
      </c>
      <c r="AM11" s="341" t="s">
        <v>171</v>
      </c>
      <c r="AN11" s="340"/>
      <c r="AO11" s="164">
        <f>2*(AO15*AO14)+((AO12-(2*AO14))*AO13)</f>
        <v>5.8167999999999997</v>
      </c>
      <c r="AP11" s="155" t="s">
        <v>170</v>
      </c>
      <c r="AQ11" s="165"/>
      <c r="AR11" s="340" t="s">
        <v>172</v>
      </c>
      <c r="AS11" s="340"/>
      <c r="AT11" s="164">
        <f>((AO13^3*AO20)/12)+2*(((AO15^3)*AO14)/12)</f>
        <v>13.279850213333331</v>
      </c>
      <c r="AU11" s="166" t="s">
        <v>173</v>
      </c>
      <c r="AW11" s="341" t="s">
        <v>171</v>
      </c>
      <c r="AX11" s="340"/>
      <c r="AY11" s="164">
        <f>2*(AY15*AY14)+((AY12-(2*AY14))*AY13)</f>
        <v>7.2831999999999999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Loads'!E111</f>
        <v>0</v>
      </c>
      <c r="F12" s="21">
        <f>'0 Degree Loads'!F111</f>
        <v>0</v>
      </c>
      <c r="G12" s="21">
        <f>'0 Degree Loads'!G111</f>
        <v>0</v>
      </c>
      <c r="H12" s="21">
        <f>'0 Degree Loads'!H111</f>
        <v>0</v>
      </c>
      <c r="I12" s="22">
        <f>'0 Degree Loads'!I111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INDEX(Shapes!$D$2:$D$17,MATCH(PROFILE_ZONE_2_STD,Shapes!$A$2:$A$17,0))-T9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INDEX(Shapes!$D$2:$D$17,MATCH(PROFILE_ZONE_2_1,Shapes!$A$2:$A$17,0))-AE9</f>
        <v>6.28</v>
      </c>
      <c r="AF12" t="s">
        <v>170</v>
      </c>
      <c r="AG12" s="168"/>
      <c r="AH12" s="342" t="s">
        <v>405</v>
      </c>
      <c r="AI12" s="342"/>
      <c r="AJ12" s="8">
        <f>(2*AJ11)/AE15</f>
        <v>2.1964975430107536</v>
      </c>
      <c r="AK12" s="159" t="s">
        <v>175</v>
      </c>
      <c r="AM12" s="343" t="s">
        <v>174</v>
      </c>
      <c r="AN12" s="342"/>
      <c r="AO12" s="167">
        <f>INDEX(Shapes!$D$2:$D$17,MATCH(PROFILE_ZONE_2_2,Shapes!$A$2:$A$17,0))-AO9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INDEX(Shapes!$D$2:$D$17,MATCH(PROFILE_ZONE_2_3,Shapes!$A$2:$A$17,0))-AY9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Loads'!E112</f>
        <v>0</v>
      </c>
      <c r="F13" s="23">
        <f>'0 Degree Loads'!F112</f>
        <v>0</v>
      </c>
      <c r="G13" s="23">
        <f>'0 Degree Loads'!G112</f>
        <v>0</v>
      </c>
      <c r="H13" s="23">
        <f>'0 Degree Loads'!H112</f>
        <v>0</v>
      </c>
      <c r="I13" s="24">
        <f>'0 Degree Loads'!I112</f>
        <v>0</v>
      </c>
      <c r="R13" s="343" t="s">
        <v>176</v>
      </c>
      <c r="S13" s="342"/>
      <c r="T13" s="167">
        <f>INDEX(Shapes!$H$2:$H$17,MATCH(PROFILE_ZONE_2_STD,Shapes!$A$2:$A$17,0))-T9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INDEX(Shapes!$Y$2:$Y$17,MATCH(PROFILE_ZONE_2_STD,Shapes!$A$2:$A$17,0))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INDEX(Shapes!$H$2:$H$17,MATCH(PROFILE_ZONE_2_1,Shapes!$A$2:$A$17,0))-AE9</f>
        <v>0.26</v>
      </c>
      <c r="AF13" t="s">
        <v>170</v>
      </c>
      <c r="AG13" s="168"/>
      <c r="AH13" s="342" t="s">
        <v>177</v>
      </c>
      <c r="AI13" s="342"/>
      <c r="AJ13" s="8">
        <f>INDEX(Shapes!$Y$2:$Y$17,MATCH(PROFILE_ZONE_2_1,Shapes!$A$2:$A$17,0))</f>
        <v>0.96699999999999997</v>
      </c>
      <c r="AK13" s="159" t="s">
        <v>175</v>
      </c>
      <c r="AM13" s="343" t="s">
        <v>176</v>
      </c>
      <c r="AN13" s="342"/>
      <c r="AO13" s="167">
        <f>INDEX(Shapes!$H$2:$H$17,MATCH(PROFILE_ZONE_2_2,Shapes!$A$2:$A$17,0))-AO9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INDEX(Shapes!$Y$2:$Y$17,MATCH(PROFILE_ZONE_2_2,Shapes!$A$2:$A$17,0))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INDEX(Shapes!$H$2:$H$17,MATCH(PROFILE_ZONE_2_3,Shapes!$A$2:$A$17,0))-AY9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INDEX(Shapes!$Y$2:$Y$17,MATCH(PROFILE_ZONE_2_3,Shapes!$A$2:$A$17,0))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Loads'!E113</f>
        <v>0</v>
      </c>
      <c r="F14" s="23">
        <f>'0 Degree Loads'!F113</f>
        <v>0</v>
      </c>
      <c r="G14" s="23">
        <f>'0 Degree Loads'!G113</f>
        <v>0</v>
      </c>
      <c r="H14" s="23">
        <f>'0 Degree Loads'!H113</f>
        <v>0</v>
      </c>
      <c r="I14" s="24">
        <f>'0 Degree Loads'!I113</f>
        <v>0</v>
      </c>
      <c r="R14" s="343" t="s">
        <v>178</v>
      </c>
      <c r="S14" s="342"/>
      <c r="T14" s="167">
        <f>INDEX(Shapes!$K$2:$K$17,MATCH(PROFILE_ZONE_2_STD,Shapes!$A$2:$A$17,0))-T9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INDEX(Shapes!$K$2:$K$17,MATCH(PROFILE_ZONE_2_1,Shapes!$A$2:$A$17,0))-AE9</f>
        <v>0.40500000000000003</v>
      </c>
      <c r="AF14" t="s">
        <v>170</v>
      </c>
      <c r="AG14" s="168"/>
      <c r="AH14" s="342" t="s">
        <v>406</v>
      </c>
      <c r="AI14" s="342"/>
      <c r="AJ14" s="8">
        <f>((AE15^2*AE14)/2)+((AE13^2)*(AE20))/4</f>
        <v>3.3812252500000008</v>
      </c>
      <c r="AK14" s="159" t="s">
        <v>175</v>
      </c>
      <c r="AM14" s="343" t="s">
        <v>178</v>
      </c>
      <c r="AN14" s="342"/>
      <c r="AO14" s="167">
        <f>INDEX(Shapes!$K$2:$K$17,MATCH(PROFILE_ZONE_2_2,Shapes!$A$2:$A$17,0))-AO9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INDEX(Shapes!$K$2:$K$17,MATCH(PROFILE_ZONE_2_3,Shapes!$A$2:$A$17,0))-AY9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Loads'!E114</f>
        <v>0</v>
      </c>
      <c r="F15" s="23">
        <f>'0 Degree Loads'!F114</f>
        <v>0</v>
      </c>
      <c r="G15" s="23">
        <f>'0 Degree Loads'!G114</f>
        <v>0</v>
      </c>
      <c r="H15" s="23">
        <f>'0 Degree Loads'!H114</f>
        <v>0</v>
      </c>
      <c r="I15" s="24">
        <f>'0 Degree Loads'!I114</f>
        <v>0</v>
      </c>
      <c r="R15" s="343" t="s">
        <v>179</v>
      </c>
      <c r="S15" s="342"/>
      <c r="T15" s="167">
        <f>INDEX(Shapes!$F$2:$F$17,MATCH(PROFILE_ZONE_2_STD,Shapes!$A$2:$A$17,0))-T9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INDEX(Shapes!$F$2:$F$17,MATCH(PROFILE_ZONE_2_1,Shapes!$A$2:$A$17,0))-AE9</f>
        <v>4.03</v>
      </c>
      <c r="AF15" t="s">
        <v>170</v>
      </c>
      <c r="AG15" s="168"/>
      <c r="AH15" s="342" t="s">
        <v>180</v>
      </c>
      <c r="AI15" s="342"/>
      <c r="AJ15" s="167">
        <f>AE12-(AE14)</f>
        <v>5.875</v>
      </c>
      <c r="AK15" s="159"/>
      <c r="AM15" s="343" t="s">
        <v>179</v>
      </c>
      <c r="AN15" s="342"/>
      <c r="AO15" s="167">
        <f>INDEX(Shapes!$F$2:$F$17,MATCH(PROFILE_ZONE_2_2,Shapes!$A$2:$A$17,0))-AO9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INDEX(Shapes!$F$2:$F$17,MATCH(PROFILE_ZONE_2_3,Shapes!$A$2:$A$17,0))-AY9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Loads'!E115</f>
        <v>0</v>
      </c>
      <c r="F16" s="23">
        <f>'0 Degree Loads'!F115</f>
        <v>0</v>
      </c>
      <c r="G16" s="23">
        <f>'0 Degree Loads'!G115</f>
        <v>0</v>
      </c>
      <c r="H16" s="23">
        <f>'0 Degree Loads'!H115</f>
        <v>0</v>
      </c>
      <c r="I16" s="24">
        <f>'0 Degree Loads'!I115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31.758082904166677</v>
      </c>
      <c r="AF16" t="s">
        <v>173</v>
      </c>
      <c r="AG16" s="168"/>
      <c r="AH16" s="342" t="s">
        <v>182</v>
      </c>
      <c r="AI16" s="342"/>
      <c r="AJ16" s="8">
        <f>SQRT((AJ11*AJ15)/(2*AE17))</f>
        <v>1.1337818719389254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Loads'!E116</f>
        <v>0</v>
      </c>
      <c r="F17" s="23">
        <f>'0 Degree Loads'!F116</f>
        <v>0</v>
      </c>
      <c r="G17" s="23">
        <f>'0 Degree Loads'!G116</f>
        <v>0</v>
      </c>
      <c r="H17" s="23">
        <f>'0 Degree Loads'!H116</f>
        <v>0</v>
      </c>
      <c r="I17" s="24">
        <f>'0 Degree Loads'!I116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10.114039141454354</v>
      </c>
      <c r="AF17" t="s">
        <v>175</v>
      </c>
      <c r="AG17" s="168"/>
      <c r="AH17" s="342" t="s">
        <v>184</v>
      </c>
      <c r="AI17" s="342"/>
      <c r="AJ17" s="8">
        <f>((2*AE15*AE14^3)+(AJ15*AE13^3))/3</f>
        <v>0.21289526916666671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Loads'!E117</f>
        <v>0</v>
      </c>
      <c r="F18" s="23">
        <f>'0 Degree Loads'!F117</f>
        <v>0</v>
      </c>
      <c r="G18" s="23">
        <f>'0 Degree Loads'!G117</f>
        <v>0</v>
      </c>
      <c r="H18" s="23">
        <f>'0 Degree Loads'!H117</f>
        <v>0</v>
      </c>
      <c r="I18" s="24">
        <f>'0 Degree Loads'!I117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2.6031717846250846</v>
      </c>
      <c r="AF18" t="s">
        <v>170</v>
      </c>
      <c r="AG18" s="168"/>
      <c r="AH18" s="342" t="s">
        <v>186</v>
      </c>
      <c r="AI18" s="342"/>
      <c r="AJ18" s="8">
        <f>AE20/AE13</f>
        <v>21.03846153846154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Loads'!E118</f>
        <v>0</v>
      </c>
      <c r="F19" s="23">
        <f>'0 Degree Loads'!F118</f>
        <v>0</v>
      </c>
      <c r="G19" s="23">
        <f>'0 Degree Loads'!G118</f>
        <v>0</v>
      </c>
      <c r="H19" s="23">
        <f>'0 Degree Loads'!H118</f>
        <v>0</v>
      </c>
      <c r="I19" s="24">
        <f>'0 Degree Loads'!I118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11.533739750000002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Loads'!E119</f>
        <v>0</v>
      </c>
      <c r="F20" s="23">
        <f>'0 Degree Loads'!F119</f>
        <v>0</v>
      </c>
      <c r="G20" s="23">
        <f>'0 Degree Loads'!G119</f>
        <v>0</v>
      </c>
      <c r="H20" s="23">
        <f>'0 Degree Loads'!H119</f>
        <v>0</v>
      </c>
      <c r="I20" s="24">
        <f>'0 Degree Loads'!I119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Loads'!E120</f>
        <v>0</v>
      </c>
      <c r="F21" s="23">
        <f>'0 Degree Loads'!F120</f>
        <v>0</v>
      </c>
      <c r="G21" s="23">
        <f>'0 Degree Loads'!G120</f>
        <v>0</v>
      </c>
      <c r="H21" s="23">
        <f>'0 Degree Loads'!H120</f>
        <v>0</v>
      </c>
      <c r="I21" s="24">
        <f>'0 Degree Loads'!I120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Loads'!E121</f>
        <v>0</v>
      </c>
      <c r="F22" s="23">
        <f>'0 Degree Loads'!F121</f>
        <v>0</v>
      </c>
      <c r="G22" s="23">
        <f>'0 Degree Loads'!G121</f>
        <v>0</v>
      </c>
      <c r="H22" s="23">
        <f>'0 Degree Loads'!H121</f>
        <v>0</v>
      </c>
      <c r="I22" s="24">
        <f>'0 Degree Loads'!I121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Loads'!E122</f>
        <v>0</v>
      </c>
      <c r="F23" s="23">
        <f>'0 Degree Loads'!F122</f>
        <v>0</v>
      </c>
      <c r="G23" s="23">
        <f>'0 Degree Loads'!G122</f>
        <v>0</v>
      </c>
      <c r="H23" s="23">
        <f>'0 Degree Loads'!H122</f>
        <v>0</v>
      </c>
      <c r="I23" s="24">
        <f>'0 Degree Loads'!I122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Loads'!E123</f>
        <v>0</v>
      </c>
      <c r="F24" s="23">
        <f>'0 Degree Loads'!F123</f>
        <v>0</v>
      </c>
      <c r="G24" s="23">
        <f>'0 Degree Loads'!G123</f>
        <v>0</v>
      </c>
      <c r="H24" s="23">
        <f>'0 Degree Loads'!H123</f>
        <v>0</v>
      </c>
      <c r="I24" s="24">
        <f>'0 Degree Loads'!I123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Loads'!E124</f>
        <v>0</v>
      </c>
      <c r="F25" s="23">
        <f>'0 Degree Loads'!F124</f>
        <v>0</v>
      </c>
      <c r="G25" s="23">
        <f>'0 Degree Loads'!G124</f>
        <v>0</v>
      </c>
      <c r="H25" s="23">
        <f>'0 Degree Loads'!H124</f>
        <v>0</v>
      </c>
      <c r="I25" s="24">
        <f>'0 Degree Loads'!I124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Loads'!E125</f>
        <v>0</v>
      </c>
      <c r="F26" s="23">
        <f>'0 Degree Loads'!F125</f>
        <v>0</v>
      </c>
      <c r="G26" s="23">
        <f>'0 Degree Loads'!G125</f>
        <v>0</v>
      </c>
      <c r="H26" s="23">
        <f>'0 Degree Loads'!H125</f>
        <v>0</v>
      </c>
      <c r="I26" s="24">
        <f>'0 Degree Loads'!I125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Loads'!E126</f>
        <v>0</v>
      </c>
      <c r="F27" s="23">
        <f>'0 Degree Loads'!F126</f>
        <v>0</v>
      </c>
      <c r="G27" s="23">
        <f>'0 Degree Loads'!G126</f>
        <v>0</v>
      </c>
      <c r="H27" s="23">
        <f>'0 Degree Loads'!H126</f>
        <v>0</v>
      </c>
      <c r="I27" s="24">
        <f>'0 Degree Loads'!I126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Loads'!E127</f>
        <v>0</v>
      </c>
      <c r="F28" s="23">
        <f>'0 Degree Loads'!F127</f>
        <v>0</v>
      </c>
      <c r="G28" s="23">
        <f>'0 Degree Loads'!G127</f>
        <v>0</v>
      </c>
      <c r="H28" s="23">
        <f>'0 Degree Loads'!H127</f>
        <v>0</v>
      </c>
      <c r="I28" s="24">
        <f>'0 Degree Loads'!I127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Loads'!E128</f>
        <v>0</v>
      </c>
      <c r="F29" s="23">
        <f>'0 Degree Loads'!F128</f>
        <v>0</v>
      </c>
      <c r="G29" s="23">
        <f>'0 Degree Loads'!G128</f>
        <v>0</v>
      </c>
      <c r="H29" s="23">
        <f>'0 Degree Loads'!H128</f>
        <v>0</v>
      </c>
      <c r="I29" s="24">
        <f>'0 Degree Loads'!I128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4.9753086419753085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Loads'!E129</f>
        <v>0</v>
      </c>
      <c r="F30" s="23">
        <f>'0 Degree Loads'!F129</f>
        <v>0</v>
      </c>
      <c r="G30" s="23">
        <f>'0 Degree Loads'!G129</f>
        <v>0</v>
      </c>
      <c r="H30" s="23">
        <f>'0 Degree Loads'!H129</f>
        <v>0</v>
      </c>
      <c r="I30" s="24">
        <f>'0 Degree Loads'!I129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Loads'!E130</f>
        <v>0</v>
      </c>
      <c r="F31" s="23">
        <f>'0 Degree Loads'!F130</f>
        <v>0</v>
      </c>
      <c r="G31" s="23">
        <f>'0 Degree Loads'!G130</f>
        <v>0</v>
      </c>
      <c r="H31" s="23">
        <f>'0 Degree Loads'!H130</f>
        <v>0</v>
      </c>
      <c r="I31" s="24">
        <f>'0 Degree Loads'!I130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Loads'!E131</f>
        <v>0</v>
      </c>
      <c r="F32" s="23">
        <f>'0 Degree Loads'!F131</f>
        <v>0</v>
      </c>
      <c r="G32" s="23">
        <f>'0 Degree Loads'!G131</f>
        <v>0</v>
      </c>
      <c r="H32" s="23">
        <f>'0 Degree Loads'!H131</f>
        <v>0</v>
      </c>
      <c r="I32" s="24">
        <f>'0 Degree Loads'!I131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21.03846153846154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Loads'!E132</f>
        <v>0</v>
      </c>
      <c r="F33" s="31">
        <f>'0 Degree Loads'!F132</f>
        <v>0</v>
      </c>
      <c r="G33" s="31">
        <f>'0 Degree Loads'!G132</f>
        <v>0</v>
      </c>
      <c r="H33" s="31">
        <f>'0 Degree Loads'!H132</f>
        <v>0</v>
      </c>
      <c r="I33" s="32">
        <f>'0 Degree Loads'!I132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4.9753086419753085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Loads'!E111</f>
        <v>0</v>
      </c>
      <c r="F38" s="21">
        <f>'55 Degree Loads'!F111</f>
        <v>0</v>
      </c>
      <c r="G38" s="21">
        <f>'55 Degree Loads'!G111</f>
        <v>0</v>
      </c>
      <c r="H38" s="21">
        <f>'55 Degree Loads'!H111</f>
        <v>0</v>
      </c>
      <c r="I38" s="22">
        <f>'55 Degree Loads'!I111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Loads'!E112</f>
        <v>0</v>
      </c>
      <c r="F39" s="23">
        <f>'55 Degree Loads'!F112</f>
        <v>0</v>
      </c>
      <c r="G39" s="23">
        <f>'55 Degree Loads'!G112</f>
        <v>0</v>
      </c>
      <c r="H39" s="23">
        <f>'55 Degree Loads'!H112</f>
        <v>0</v>
      </c>
      <c r="I39" s="24">
        <f>'55 Degree Loads'!I112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21.03846153846154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Loads'!E113</f>
        <v>0</v>
      </c>
      <c r="F40" s="23">
        <f>'55 Degree Loads'!F113</f>
        <v>0</v>
      </c>
      <c r="G40" s="23">
        <f>'55 Degree Loads'!G113</f>
        <v>0</v>
      </c>
      <c r="H40" s="23">
        <f>'55 Degree Loads'!H113</f>
        <v>0</v>
      </c>
      <c r="I40" s="24">
        <f>'55 Degree Loads'!I113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Loads'!E114</f>
        <v>0</v>
      </c>
      <c r="F41" s="23">
        <f>'55 Degree Loads'!F114</f>
        <v>0</v>
      </c>
      <c r="G41" s="23">
        <f>'55 Degree Loads'!G114</f>
        <v>0</v>
      </c>
      <c r="H41" s="23">
        <f>'55 Degree Loads'!H114</f>
        <v>0</v>
      </c>
      <c r="I41" s="24">
        <f>'55 Degree Loads'!I114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Loads'!E115</f>
        <v>0</v>
      </c>
      <c r="F42" s="23">
        <f>'55 Degree Loads'!F115</f>
        <v>0</v>
      </c>
      <c r="G42" s="23">
        <f>'55 Degree Loads'!G115</f>
        <v>0</v>
      </c>
      <c r="H42" s="23">
        <f>'55 Degree Loads'!H115</f>
        <v>0</v>
      </c>
      <c r="I42" s="24">
        <f>'55 Degree Loads'!I115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Loads'!E116</f>
        <v>0</v>
      </c>
      <c r="F43" s="23">
        <f>'55 Degree Loads'!F116</f>
        <v>0</v>
      </c>
      <c r="G43" s="23">
        <f>'55 Degree Loads'!G116</f>
        <v>0</v>
      </c>
      <c r="H43" s="23">
        <f>'55 Degree Loads'!H116</f>
        <v>0</v>
      </c>
      <c r="I43" s="24">
        <f>'55 Degree Loads'!I116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Loads'!E117</f>
        <v>0</v>
      </c>
      <c r="F44" s="23">
        <f>'55 Degree Loads'!F117</f>
        <v>0</v>
      </c>
      <c r="G44" s="23">
        <f>'55 Degree Loads'!G117</f>
        <v>0</v>
      </c>
      <c r="H44" s="23">
        <f>'55 Degree Loads'!H117</f>
        <v>0</v>
      </c>
      <c r="I44" s="24">
        <f>'55 Degree Loads'!I117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Loads'!E118</f>
        <v>0</v>
      </c>
      <c r="F45" s="23">
        <f>'55 Degree Loads'!F118</f>
        <v>0</v>
      </c>
      <c r="G45" s="23">
        <f>'55 Degree Loads'!G118</f>
        <v>0</v>
      </c>
      <c r="H45" s="23">
        <f>'55 Degree Loads'!H118</f>
        <v>0</v>
      </c>
      <c r="I45" s="24">
        <f>'55 Degree Loads'!I118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Loads'!E119</f>
        <v>0</v>
      </c>
      <c r="F46" s="23">
        <f>'55 Degree Loads'!F119</f>
        <v>0</v>
      </c>
      <c r="G46" s="23">
        <f>'55 Degree Loads'!G119</f>
        <v>0</v>
      </c>
      <c r="H46" s="23">
        <f>'55 Degree Loads'!H119</f>
        <v>0</v>
      </c>
      <c r="I46" s="24">
        <f>'55 Degree Loads'!I119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9.6804982862970643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28.020196889395073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Loads'!E120</f>
        <v>0</v>
      </c>
      <c r="F47" s="23">
        <f>'55 Degree Loads'!F120</f>
        <v>0</v>
      </c>
      <c r="G47" s="23">
        <f>'55 Degree Loads'!G120</f>
        <v>0</v>
      </c>
      <c r="H47" s="23">
        <f>'55 Degree Loads'!H120</f>
        <v>0</v>
      </c>
      <c r="I47" s="24">
        <f>'55 Degree Loads'!I120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Loads'!E121</f>
        <v>0</v>
      </c>
      <c r="F48" s="23">
        <f>'55 Degree Loads'!F121</f>
        <v>0</v>
      </c>
      <c r="G48" s="23">
        <f>'55 Degree Loads'!G121</f>
        <v>0</v>
      </c>
      <c r="H48" s="23">
        <f>'55 Degree Loads'!H121</f>
        <v>0</v>
      </c>
      <c r="I48" s="24">
        <f>'55 Degree Loads'!I121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26.059979317476735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Loads'!E122</f>
        <v>0</v>
      </c>
      <c r="F49" s="23">
        <f>'55 Degree Loads'!F122</f>
        <v>0</v>
      </c>
      <c r="G49" s="23">
        <f>'55 Degree Loads'!G122</f>
        <v>0</v>
      </c>
      <c r="H49" s="23">
        <f>'55 Degree Loads'!H122</f>
        <v>0</v>
      </c>
      <c r="I49" s="24">
        <f>'55 Degree Loads'!I122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Loads'!E123</f>
        <v>0</v>
      </c>
      <c r="F50" s="23">
        <f>'55 Degree Loads'!F123</f>
        <v>0</v>
      </c>
      <c r="G50" s="23">
        <f>'55 Degree Loads'!G123</f>
        <v>0</v>
      </c>
      <c r="H50" s="23">
        <f>'55 Degree Loads'!H123</f>
        <v>0</v>
      </c>
      <c r="I50" s="24">
        <f>'55 Degree Loads'!I123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26.059979317476735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Loads'!E124</f>
        <v>0</v>
      </c>
      <c r="F51" s="23">
        <f>'55 Degree Loads'!F124</f>
        <v>0</v>
      </c>
      <c r="G51" s="23">
        <f>'55 Degree Loads'!G124</f>
        <v>0</v>
      </c>
      <c r="H51" s="23">
        <f>'55 Degree Loads'!H124</f>
        <v>0</v>
      </c>
      <c r="I51" s="24">
        <f>'55 Degree Loads'!I124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Loads'!E125</f>
        <v>0</v>
      </c>
      <c r="F52" s="23">
        <f>'55 Degree Loads'!F125</f>
        <v>0</v>
      </c>
      <c r="G52" s="23">
        <f>'55 Degree Loads'!G125</f>
        <v>0</v>
      </c>
      <c r="H52" s="23">
        <f>'55 Degree Loads'!H125</f>
        <v>0</v>
      </c>
      <c r="I52" s="24">
        <f>'55 Degree Loads'!I125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421.02623713088934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Loads'!E126</f>
        <v>0</v>
      </c>
      <c r="F53" s="23">
        <f>'55 Degree Loads'!F126</f>
        <v>0</v>
      </c>
      <c r="G53" s="23">
        <f>'55 Degree Loads'!G126</f>
        <v>0</v>
      </c>
      <c r="H53" s="23">
        <f>'55 Degree Loads'!H126</f>
        <v>0</v>
      </c>
      <c r="I53" s="24">
        <f>'55 Degree Loads'!I126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Loads'!E127</f>
        <v>0</v>
      </c>
      <c r="F54" s="23">
        <f>'55 Degree Loads'!F127</f>
        <v>0</v>
      </c>
      <c r="G54" s="23">
        <f>'55 Degree Loads'!G127</f>
        <v>0</v>
      </c>
      <c r="H54" s="23">
        <f>'55 Degree Loads'!H127</f>
        <v>0</v>
      </c>
      <c r="I54" s="24">
        <f>'55 Degree Loads'!I127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Loads'!E128</f>
        <v>0</v>
      </c>
      <c r="F55" s="23">
        <f>'55 Degree Loads'!F128</f>
        <v>0</v>
      </c>
      <c r="G55" s="23">
        <f>'55 Degree Loads'!G128</f>
        <v>0</v>
      </c>
      <c r="H55" s="23">
        <f>'55 Degree Loads'!H128</f>
        <v>0</v>
      </c>
      <c r="I55" s="24">
        <f>'55 Degree Loads'!I128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Loads'!E129</f>
        <v>0</v>
      </c>
      <c r="F56" s="23">
        <f>'55 Degree Loads'!F129</f>
        <v>0</v>
      </c>
      <c r="G56" s="23">
        <f>'55 Degree Loads'!G129</f>
        <v>0</v>
      </c>
      <c r="H56" s="23">
        <f>'55 Degree Loads'!H129</f>
        <v>0</v>
      </c>
      <c r="I56" s="24">
        <f>'55 Degree Loads'!I129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47.575457795152118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Loads'!E130</f>
        <v>0</v>
      </c>
      <c r="F57" s="23">
        <f>'55 Degree Loads'!F130</f>
        <v>0</v>
      </c>
      <c r="G57" s="23">
        <f>'55 Degree Loads'!G130</f>
        <v>0</v>
      </c>
      <c r="H57" s="23">
        <f>'55 Degree Loads'!H130</f>
        <v>0</v>
      </c>
      <c r="I57" s="24">
        <f>'55 Degree Loads'!I130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Loads'!E131</f>
        <v>0</v>
      </c>
      <c r="F58" s="23">
        <f>'55 Degree Loads'!F131</f>
        <v>0</v>
      </c>
      <c r="G58" s="23">
        <f>'55 Degree Loads'!G131</f>
        <v>0</v>
      </c>
      <c r="H58" s="23">
        <f>'55 Degree Loads'!H131</f>
        <v>0</v>
      </c>
      <c r="I58" s="24">
        <f>'55 Degree Loads'!I131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222.96238295698043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Loads'!E132</f>
        <v>0</v>
      </c>
      <c r="F59" s="31">
        <f>'55 Degree Loads'!F132</f>
        <v>0</v>
      </c>
      <c r="G59" s="31">
        <f>'55 Degree Loads'!G132</f>
        <v>0</v>
      </c>
      <c r="H59" s="31">
        <f>'55 Degree Loads'!H132</f>
        <v>0</v>
      </c>
      <c r="I59" s="32">
        <f>'55 Degree Loads'!I132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14.173889809234415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815.65505904130941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4.03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36.786949774013536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322.93499851956312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489.17964272785912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6.28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4.6865000000000006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222.96238295698043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133.51040895627571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576.6869875000001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40.987661291076364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167.34922433081366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2594.8096777282176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720.40539511910708</v>
      </c>
    </row>
    <row r="90" spans="2:51" x14ac:dyDescent="0.25">
      <c r="B90" s="363" t="s">
        <v>386</v>
      </c>
      <c r="C90" s="364"/>
    </row>
    <row r="91" spans="2:51" ht="15.75" thickBot="1" x14ac:dyDescent="0.3">
      <c r="B91" s="365"/>
      <c r="C91" s="366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576.6869875000001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0.87207332432437801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4.3729000000000005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9.3188240808333358</v>
      </c>
      <c r="H100" s="166" t="str">
        <f t="shared" si="3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3.1114604610461889</v>
      </c>
      <c r="H101" s="159" t="str">
        <f t="shared" si="3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0.87136598964555956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1.0693055777336979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4.736753750000001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1.6685447284918389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9.3425796666666672E-2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1"/>
        <v>in</v>
      </c>
      <c r="E107" s="19" t="str">
        <f t="shared" si="2"/>
        <v>h/tw</v>
      </c>
      <c r="G107" s="211">
        <f t="shared" si="3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1.0870837417308814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345.32154940119767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808.36413006668351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169.06126250000005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175.71980344086029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169.06126250000005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169.06126250000005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101.23428892215573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2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1.6328</v>
      </c>
      <c r="AM134" t="s">
        <v>270</v>
      </c>
      <c r="AN134">
        <f>AO12*AO13</f>
        <v>1.6120000000000001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21.03846153846154</v>
      </c>
      <c r="AM135" t="s">
        <v>186</v>
      </c>
      <c r="AN135">
        <f>AN32</f>
        <v>21.03846153846154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29.331736526946109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3" t="s">
        <v>387</v>
      </c>
      <c r="C145" s="364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5"/>
      <c r="C146" s="366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58.640119760479053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295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4.6865000000000006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4.4259425491666686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6.28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2.1964975430107536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0.26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0.96699999999999997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0.40500000000000003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3.3812252500000008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4.03</v>
      </c>
      <c r="D158" t="str">
        <f t="shared" si="5"/>
        <v>in</v>
      </c>
      <c r="E158" s="19" t="str">
        <f t="shared" si="6"/>
        <v>ho</v>
      </c>
      <c r="G158" s="211">
        <f t="shared" si="7"/>
        <v>5.875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31.758082904166677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1.1337818719389254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10.114039141454354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0.21289526916666671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2.6031717846250846</v>
      </c>
      <c r="D161" t="str">
        <f t="shared" si="5"/>
        <v>in</v>
      </c>
      <c r="E161" s="19" t="str">
        <f t="shared" si="6"/>
        <v>h/tw</v>
      </c>
      <c r="G161" s="211">
        <f t="shared" si="7"/>
        <v>21.03846153846154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11.533739750000002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133.51040895627571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345.32154940119767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101.23428892215573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29.331736526946109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58.640119760479053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345.32154940119767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2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3" t="s">
        <v>388</v>
      </c>
      <c r="C194" s="364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5"/>
      <c r="C195" s="366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13.279850213333331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6.2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4.4119103698781839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0.26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0.36499999999999999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6.7063159999999993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6.02</v>
      </c>
      <c r="D207" t="str">
        <f t="shared" si="60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41.000898293333343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13.226096223655915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2.6549394458704163</v>
      </c>
      <c r="D210" t="str">
        <f t="shared" si="60"/>
        <v>in</v>
      </c>
      <c r="E210" s="19" t="str">
        <f t="shared" si="56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14.766103999999999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2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63" t="s">
        <v>389</v>
      </c>
      <c r="C243" s="364"/>
    </row>
    <row r="244" spans="2:8" ht="15.75" thickBot="1" x14ac:dyDescent="0.3">
      <c r="B244" s="365"/>
      <c r="C244" s="366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17.058911573333333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6.38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5.6114840701754387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0.32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1.52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0.45500000000000002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8.5498879999999993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6.08</v>
      </c>
      <c r="D256" t="str">
        <f t="shared" si="64"/>
        <v>in</v>
      </c>
      <c r="E256" s="19" t="str">
        <f t="shared" si="61"/>
        <v>ho</v>
      </c>
      <c r="G256" s="211">
        <f>BD15</f>
        <v>5.9249999999999998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53.018014773333327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16.62006732706374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2.6980538466027935</v>
      </c>
      <c r="D259" t="str">
        <f t="shared" si="64"/>
        <v>in</v>
      </c>
      <c r="E259" s="19" t="str">
        <f t="shared" si="61"/>
        <v>h/tw</v>
      </c>
      <c r="G259" s="211">
        <f>BD18</f>
        <v>17.09375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18.784591999999996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2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C63:E63"/>
    <mergeCell ref="C2:D2"/>
    <mergeCell ref="C6:D6"/>
    <mergeCell ref="C7:D7"/>
    <mergeCell ref="B9:I9"/>
    <mergeCell ref="B10:I10"/>
    <mergeCell ref="B35:I35"/>
    <mergeCell ref="B36:I36"/>
    <mergeCell ref="C61:E61"/>
    <mergeCell ref="C62:E62"/>
    <mergeCell ref="F6:G7"/>
    <mergeCell ref="C3:D4"/>
  </mergeCells>
  <conditionalFormatting sqref="I34">
    <cfRule type="expression" dxfId="402" priority="96">
      <formula>ABS(I34)=MAX(ABS($I$12:$I$33),ABS($I$38:$I$59))</formula>
    </cfRule>
  </conditionalFormatting>
  <conditionalFormatting sqref="E34:I34">
    <cfRule type="expression" priority="95" stopIfTrue="1">
      <formula>E34=""</formula>
    </cfRule>
  </conditionalFormatting>
  <conditionalFormatting sqref="I35">
    <cfRule type="expression" dxfId="401" priority="82">
      <formula>ABS(I35)=MAX(ABS($I$12:$I$33),ABS($I$38:$I$59))</formula>
    </cfRule>
  </conditionalFormatting>
  <conditionalFormatting sqref="E35:I35">
    <cfRule type="expression" priority="81" stopIfTrue="1">
      <formula>E35=""</formula>
    </cfRule>
  </conditionalFormatting>
  <conditionalFormatting sqref="C132 C186 C235 C284">
    <cfRule type="cellIs" dxfId="400" priority="47" operator="greaterThan">
      <formula>1</formula>
    </cfRule>
  </conditionalFormatting>
  <conditionalFormatting sqref="E12:I33">
    <cfRule type="expression" dxfId="399" priority="46">
      <formula>ABS(E12)=MAX(ABS($E$12:$E$33),ABS($E$38:$E$59))</formula>
    </cfRule>
  </conditionalFormatting>
  <conditionalFormatting sqref="F12:F33">
    <cfRule type="expression" dxfId="398" priority="45">
      <formula>ABS(F12)=MAX(ABS($F$12:$F$33),ABS($F$38:$F$59))</formula>
    </cfRule>
  </conditionalFormatting>
  <conditionalFormatting sqref="G12:G33">
    <cfRule type="expression" dxfId="397" priority="44">
      <formula>ABS(G12)=MAX(ABS($G$12:$G$33),ABS($G$38:$G$59))</formula>
    </cfRule>
  </conditionalFormatting>
  <conditionalFormatting sqref="H12:H33">
    <cfRule type="expression" dxfId="396" priority="43">
      <formula>ABS(H12)=MAX(ABS($H$12:$H$33),ABS($H$38:$H$59))</formula>
    </cfRule>
  </conditionalFormatting>
  <conditionalFormatting sqref="I12:I33">
    <cfRule type="expression" dxfId="395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94" priority="40">
      <formula>ABS(E38)=MAX(ABS($E$12:$E$33),ABS($E$38:$E$59))</formula>
    </cfRule>
  </conditionalFormatting>
  <conditionalFormatting sqref="F38:F59">
    <cfRule type="expression" dxfId="393" priority="39">
      <formula>ABS(F38)=MAX(ABS($F$12:$F$33),ABS($F$38:$F$59))</formula>
    </cfRule>
  </conditionalFormatting>
  <conditionalFormatting sqref="G38:G59">
    <cfRule type="expression" dxfId="392" priority="38">
      <formula>ABS(G38)=MAX(ABS($G$12:$G$33),ABS($G$38:$G$59))</formula>
    </cfRule>
  </conditionalFormatting>
  <conditionalFormatting sqref="H38:H59">
    <cfRule type="expression" dxfId="391" priority="37">
      <formula>ABS(H38)=MAX(ABS($H$12:$H$33),ABS($H$38:$H$59))</formula>
    </cfRule>
  </conditionalFormatting>
  <conditionalFormatting sqref="I38:I59">
    <cfRule type="expression" dxfId="390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389" priority="29">
      <formula>$F$9="Zone 5"</formula>
    </cfRule>
    <cfRule type="expression" dxfId="388" priority="30">
      <formula>$F$9="Zone 4"</formula>
    </cfRule>
    <cfRule type="expression" dxfId="387" priority="31">
      <formula>$F$9="Zone 3"</formula>
    </cfRule>
    <cfRule type="expression" dxfId="386" priority="32">
      <formula>$F$9="Zone 2"</formula>
    </cfRule>
    <cfRule type="expression" dxfId="385" priority="33">
      <formula>$F$9="Zone 1"</formula>
    </cfRule>
    <cfRule type="expression" dxfId="384" priority="34">
      <formula>$F$9="Zone 1 - Drive"</formula>
    </cfRule>
  </conditionalFormatting>
  <conditionalFormatting sqref="Y41:Y150 AJ41:AJ150 AT41:AT150 BD41:BD150">
    <cfRule type="expression" dxfId="383" priority="28">
      <formula>Y41="Satisfactory"</formula>
    </cfRule>
  </conditionalFormatting>
  <conditionalFormatting sqref="AG4">
    <cfRule type="expression" dxfId="382" priority="22">
      <formula>$F$9="Zone 5"</formula>
    </cfRule>
    <cfRule type="expression" dxfId="381" priority="23">
      <formula>$F$9="Zone 4"</formula>
    </cfRule>
    <cfRule type="expression" dxfId="380" priority="24">
      <formula>$F$9="Zone 3"</formula>
    </cfRule>
    <cfRule type="expression" dxfId="379" priority="25">
      <formula>$F$9="Zone 2"</formula>
    </cfRule>
    <cfRule type="expression" dxfId="378" priority="26">
      <formula>$F$9="Zone 1"</formula>
    </cfRule>
    <cfRule type="expression" dxfId="377" priority="27">
      <formula>$F$9="Zone 1 - Drive"</formula>
    </cfRule>
  </conditionalFormatting>
  <conditionalFormatting sqref="AQ4">
    <cfRule type="expression" dxfId="376" priority="16">
      <formula>$F$9="Zone 5"</formula>
    </cfRule>
    <cfRule type="expression" dxfId="375" priority="17">
      <formula>$F$9="Zone 4"</formula>
    </cfRule>
    <cfRule type="expression" dxfId="374" priority="18">
      <formula>$F$9="Zone 3"</formula>
    </cfRule>
    <cfRule type="expression" dxfId="373" priority="19">
      <formula>$F$9="Zone 2"</formula>
    </cfRule>
    <cfRule type="expression" dxfId="372" priority="20">
      <formula>$F$9="Zone 1"</formula>
    </cfRule>
    <cfRule type="expression" dxfId="371" priority="21">
      <formula>$F$9="Zone 1 - Drive"</formula>
    </cfRule>
  </conditionalFormatting>
  <conditionalFormatting sqref="BA4">
    <cfRule type="expression" dxfId="370" priority="10">
      <formula>$F$9="Zone 5"</formula>
    </cfRule>
    <cfRule type="expression" dxfId="369" priority="11">
      <formula>$F$9="Zone 4"</formula>
    </cfRule>
    <cfRule type="expression" dxfId="368" priority="12">
      <formula>$F$9="Zone 3"</formula>
    </cfRule>
    <cfRule type="expression" dxfId="367" priority="13">
      <formula>$F$9="Zone 2"</formula>
    </cfRule>
    <cfRule type="expression" dxfId="366" priority="14">
      <formula>$F$9="Zone 1"</formula>
    </cfRule>
    <cfRule type="expression" dxfId="365" priority="15">
      <formula>$F$9="Zone 1 - Drive"</formula>
    </cfRule>
  </conditionalFormatting>
  <conditionalFormatting sqref="Y31:Y40 AJ31:AJ40 AT31:AT40 BD31:BD40">
    <cfRule type="expression" dxfId="364" priority="9">
      <formula>Y31="Satisfactory"</formula>
    </cfRule>
  </conditionalFormatting>
  <conditionalFormatting sqref="Y158:Y179">
    <cfRule type="top10" dxfId="363" priority="8" rank="1"/>
  </conditionalFormatting>
  <conditionalFormatting sqref="Y184:Y205">
    <cfRule type="top10" dxfId="362" priority="7" rank="1"/>
  </conditionalFormatting>
  <conditionalFormatting sqref="AJ158:AJ179">
    <cfRule type="top10" dxfId="361" priority="6" rank="1"/>
  </conditionalFormatting>
  <conditionalFormatting sqref="AJ184:AJ205">
    <cfRule type="top10" dxfId="360" priority="5" rank="1"/>
  </conditionalFormatting>
  <conditionalFormatting sqref="AT158:AT179">
    <cfRule type="top10" dxfId="359" priority="4" rank="1"/>
  </conditionalFormatting>
  <conditionalFormatting sqref="AT184:AT205">
    <cfRule type="top10" dxfId="358" priority="3" rank="1"/>
  </conditionalFormatting>
  <conditionalFormatting sqref="BD158:BD179">
    <cfRule type="top10" dxfId="357" priority="2" rank="1"/>
  </conditionalFormatting>
  <conditionalFormatting sqref="BD184:BD205">
    <cfRule type="top10" dxfId="356" priority="1" rank="1"/>
  </conditionalFormatting>
  <dataValidations count="1">
    <dataValidation type="list" allowBlank="1" showInputMessage="1" showErrorMessage="1" sqref="P17" xr:uid="{54AE3726-BB37-4803-B843-0FA649A7CC8E}">
      <formula1>"No,Yes"</formula1>
    </dataValidation>
  </dataValidations>
  <pageMargins left="0.7" right="0.7" top="0.75" bottom="0.75" header="0.3" footer="0.3"/>
  <pageSetup scale="40" orientation="landscape" r:id="rId1"/>
  <rowBreaks count="2" manualBreakCount="2">
    <brk id="57" max="9" man="1"/>
    <brk id="239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F832992-AEE7-4574-8BAF-60937349B7FD}">
          <x14:formula1>
            <xm:f>Shapes!$A$2:$A$17</xm:f>
          </x14:formula1>
          <xm:sqref>C200 C97 C151 C249</xm:sqref>
        </x14:dataValidation>
        <x14:dataValidation type="list" allowBlank="1" showInputMessage="1" showErrorMessage="1" xr:uid="{7B2ECE60-4D5E-488D-96D5-82D7071D466C}">
          <x14:formula1>
            <xm:f>List!$D$2:$D$5</xm:f>
          </x14:formula1>
          <xm:sqref>P21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B22E0-6E7E-45F9-B5AA-9358F4167BCA}">
  <sheetPr codeName="Sheet33">
    <pageSetUpPr fitToPage="1"/>
  </sheetPr>
  <dimension ref="B2:BF284"/>
  <sheetViews>
    <sheetView showGridLines="0" view="pageBreakPreview" zoomScale="70" zoomScaleNormal="100" zoomScaleSheetLayoutView="70" workbookViewId="0">
      <selection activeCell="AX150" sqref="AX150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3" t="s">
        <v>98</v>
      </c>
      <c r="D3" s="364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65"/>
      <c r="D4" s="366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W6X16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01"/>
      <c r="D5" s="10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3.9547929600000002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8.3722498051719185</v>
      </c>
      <c r="Z11" s="166" t="s">
        <v>173</v>
      </c>
      <c r="AC11" s="341" t="s">
        <v>171</v>
      </c>
      <c r="AD11" s="340"/>
      <c r="AE11" s="164">
        <f>2*(AE15*AE14)+((AE12-(2*AE14))*AE13)</f>
        <v>4.3547689600000004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4.0938736970585312</v>
      </c>
      <c r="AK11" s="166" t="s">
        <v>173</v>
      </c>
      <c r="AM11" s="341" t="s">
        <v>171</v>
      </c>
      <c r="AN11" s="340"/>
      <c r="AO11" s="164">
        <f>2*(AO15*AO14)+((AO12-(2*AO14))*AO13)</f>
        <v>5.3930289599999996</v>
      </c>
      <c r="AP11" s="155" t="s">
        <v>170</v>
      </c>
      <c r="AQ11" s="165"/>
      <c r="AR11" s="340" t="s">
        <v>172</v>
      </c>
      <c r="AS11" s="340"/>
      <c r="AT11" s="164">
        <f>((AO13^3*AO20)/12)+2*(((AO15^3)*AO14)/12)</f>
        <v>12.274338640417513</v>
      </c>
      <c r="AU11" s="166" t="s">
        <v>173</v>
      </c>
      <c r="AW11" s="341" t="s">
        <v>171</v>
      </c>
      <c r="AX11" s="340"/>
      <c r="AY11" s="164">
        <f>2*(AY15*AY14)+((AY12-(2*AY14))*AY13)</f>
        <v>6.8537649599999995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Loads'!E111</f>
        <v>0</v>
      </c>
      <c r="F12" s="21">
        <f>'0 Degree Loads'!F111</f>
        <v>0</v>
      </c>
      <c r="G12" s="21">
        <f>'0 Degree Loads'!G111</f>
        <v>0</v>
      </c>
      <c r="H12" s="21">
        <f>'0 Degree Loads'!H111</f>
        <v>0</v>
      </c>
      <c r="I12" s="22">
        <f>'0 Degree Loads'!I111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INDEX(Shapes!$D$2:$D$17,MATCH(PROFILE_ZONE_2_STD,Shapes!$A$2:$A$17,0))-T9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INDEX(Shapes!$D$2:$D$17,MATCH(PROFILE_ZONE_2_1,Shapes!$A$2:$A$17,0))-AE9</f>
        <v>6.2564000000000002</v>
      </c>
      <c r="AF12" t="s">
        <v>170</v>
      </c>
      <c r="AG12" s="168"/>
      <c r="AH12" s="342" t="s">
        <v>405</v>
      </c>
      <c r="AI12" s="342"/>
      <c r="AJ12" s="8">
        <f>(2*AJ11)/AE15</f>
        <v>2.0436669813590909</v>
      </c>
      <c r="AK12" s="159" t="s">
        <v>175</v>
      </c>
      <c r="AM12" s="343" t="s">
        <v>174</v>
      </c>
      <c r="AN12" s="342"/>
      <c r="AO12" s="167">
        <f>INDEX(Shapes!$D$2:$D$17,MATCH(PROFILE_ZONE_2_2,Shapes!$A$2:$A$17,0))-AO9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INDEX(Shapes!$D$2:$D$17,MATCH(PROFILE_ZONE_2_3,Shapes!$A$2:$A$17,0))-AY9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Loads'!E112</f>
        <v>0</v>
      </c>
      <c r="F13" s="23">
        <f>'0 Degree Loads'!F112</f>
        <v>0</v>
      </c>
      <c r="G13" s="23">
        <f>'0 Degree Loads'!G112</f>
        <v>0</v>
      </c>
      <c r="H13" s="23">
        <f>'0 Degree Loads'!H112</f>
        <v>0</v>
      </c>
      <c r="I13" s="24">
        <f>'0 Degree Loads'!I112</f>
        <v>0</v>
      </c>
      <c r="R13" s="343" t="s">
        <v>176</v>
      </c>
      <c r="S13" s="342"/>
      <c r="T13" s="167">
        <f>INDEX(Shapes!$H$2:$H$17,MATCH(PROFILE_ZONE_2_STD,Shapes!$A$2:$A$17,0))-T9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INDEX(Shapes!$Y$2:$Y$17,MATCH(PROFILE_ZONE_2_STD,Shapes!$A$2:$A$17,0))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INDEX(Shapes!$H$2:$H$17,MATCH(PROFILE_ZONE_2_1,Shapes!$A$2:$A$17,0))-AE9</f>
        <v>0.2364</v>
      </c>
      <c r="AF13" t="s">
        <v>170</v>
      </c>
      <c r="AG13" s="168"/>
      <c r="AH13" s="342" t="s">
        <v>177</v>
      </c>
      <c r="AI13" s="342"/>
      <c r="AJ13" s="8">
        <f>INDEX(Shapes!$Y$2:$Y$17,MATCH(PROFILE_ZONE_2_1,Shapes!$A$2:$A$17,0))</f>
        <v>0.96699999999999997</v>
      </c>
      <c r="AK13" s="159" t="s">
        <v>175</v>
      </c>
      <c r="AM13" s="343" t="s">
        <v>176</v>
      </c>
      <c r="AN13" s="342"/>
      <c r="AO13" s="167">
        <f>INDEX(Shapes!$H$2:$H$17,MATCH(PROFILE_ZONE_2_2,Shapes!$A$2:$A$17,0))-AO9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INDEX(Shapes!$Y$2:$Y$17,MATCH(PROFILE_ZONE_2_2,Shapes!$A$2:$A$17,0))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INDEX(Shapes!$H$2:$H$17,MATCH(PROFILE_ZONE_2_3,Shapes!$A$2:$A$17,0))-AY9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INDEX(Shapes!$Y$2:$Y$17,MATCH(PROFILE_ZONE_2_3,Shapes!$A$2:$A$17,0))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Loads'!E113</f>
        <v>0</v>
      </c>
      <c r="F14" s="23">
        <f>'0 Degree Loads'!F113</f>
        <v>0</v>
      </c>
      <c r="G14" s="23">
        <f>'0 Degree Loads'!G113</f>
        <v>0</v>
      </c>
      <c r="H14" s="23">
        <f>'0 Degree Loads'!H113</f>
        <v>0</v>
      </c>
      <c r="I14" s="24">
        <f>'0 Degree Loads'!I113</f>
        <v>0</v>
      </c>
      <c r="R14" s="343" t="s">
        <v>178</v>
      </c>
      <c r="S14" s="342"/>
      <c r="T14" s="167">
        <f>INDEX(Shapes!$K$2:$K$17,MATCH(PROFILE_ZONE_2_STD,Shapes!$A$2:$A$17,0))-T9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INDEX(Shapes!$K$2:$K$17,MATCH(PROFILE_ZONE_2_1,Shapes!$A$2:$A$17,0))-AE9</f>
        <v>0.38140000000000002</v>
      </c>
      <c r="AF14" t="s">
        <v>170</v>
      </c>
      <c r="AG14" s="168"/>
      <c r="AH14" s="342" t="s">
        <v>406</v>
      </c>
      <c r="AI14" s="342"/>
      <c r="AJ14" s="8">
        <f>((AE15^2*AE14)/2)+((AE13^2)*(AE20))/4</f>
        <v>3.1377240551360002</v>
      </c>
      <c r="AK14" s="159" t="s">
        <v>175</v>
      </c>
      <c r="AM14" s="343" t="s">
        <v>178</v>
      </c>
      <c r="AN14" s="342"/>
      <c r="AO14" s="167">
        <f>INDEX(Shapes!$K$2:$K$17,MATCH(PROFILE_ZONE_2_2,Shapes!$A$2:$A$17,0))-AO9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INDEX(Shapes!$K$2:$K$17,MATCH(PROFILE_ZONE_2_3,Shapes!$A$2:$A$17,0))-AY9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Loads'!E114</f>
        <v>0</v>
      </c>
      <c r="F15" s="23">
        <f>'0 Degree Loads'!F114</f>
        <v>0</v>
      </c>
      <c r="G15" s="23">
        <f>'0 Degree Loads'!G114</f>
        <v>0</v>
      </c>
      <c r="H15" s="23">
        <f>'0 Degree Loads'!H114</f>
        <v>0</v>
      </c>
      <c r="I15" s="24">
        <f>'0 Degree Loads'!I114</f>
        <v>0</v>
      </c>
      <c r="R15" s="343" t="s">
        <v>179</v>
      </c>
      <c r="S15" s="342"/>
      <c r="T15" s="167">
        <f>INDEX(Shapes!$F$2:$F$17,MATCH(PROFILE_ZONE_2_STD,Shapes!$A$2:$A$17,0))-T9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INDEX(Shapes!$F$2:$F$17,MATCH(PROFILE_ZONE_2_1,Shapes!$A$2:$A$17,0))-AE9</f>
        <v>4.0064000000000002</v>
      </c>
      <c r="AF15" t="s">
        <v>170</v>
      </c>
      <c r="AG15" s="168"/>
      <c r="AH15" s="342" t="s">
        <v>180</v>
      </c>
      <c r="AI15" s="342"/>
      <c r="AJ15" s="167">
        <f>AE12-(AE14)</f>
        <v>5.875</v>
      </c>
      <c r="AK15" s="159"/>
      <c r="AM15" s="343" t="s">
        <v>179</v>
      </c>
      <c r="AN15" s="342"/>
      <c r="AO15" s="167">
        <f>INDEX(Shapes!$F$2:$F$17,MATCH(PROFILE_ZONE_2_2,Shapes!$A$2:$A$17,0))-AO9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INDEX(Shapes!$F$2:$F$17,MATCH(PROFILE_ZONE_2_3,Shapes!$A$2:$A$17,0))-AY9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Loads'!E115</f>
        <v>0</v>
      </c>
      <c r="F16" s="23">
        <f>'0 Degree Loads'!F115</f>
        <v>0</v>
      </c>
      <c r="G16" s="23">
        <f>'0 Degree Loads'!G115</f>
        <v>0</v>
      </c>
      <c r="H16" s="23">
        <f>'0 Degree Loads'!H115</f>
        <v>0</v>
      </c>
      <c r="I16" s="24">
        <f>'0 Degree Loads'!I115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29.673849753078052</v>
      </c>
      <c r="AF16" t="s">
        <v>173</v>
      </c>
      <c r="AG16" s="168"/>
      <c r="AH16" s="342" t="s">
        <v>182</v>
      </c>
      <c r="AI16" s="342"/>
      <c r="AJ16" s="8">
        <f>SQRT((AJ11*AJ15)/(2*AE17))</f>
        <v>1.1259431592934088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Loads'!E116</f>
        <v>0</v>
      </c>
      <c r="F17" s="23">
        <f>'0 Degree Loads'!F116</f>
        <v>0</v>
      </c>
      <c r="G17" s="23">
        <f>'0 Degree Loads'!G116</f>
        <v>0</v>
      </c>
      <c r="H17" s="23">
        <f>'0 Degree Loads'!H116</f>
        <v>0</v>
      </c>
      <c r="I17" s="24">
        <f>'0 Degree Loads'!I116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9.4859183406041971</v>
      </c>
      <c r="AF17" t="s">
        <v>175</v>
      </c>
      <c r="AG17" s="168"/>
      <c r="AH17" s="342" t="s">
        <v>184</v>
      </c>
      <c r="AI17" s="342"/>
      <c r="AJ17" s="8">
        <f>((2*AE15*AE14^3)+(AJ15*AE13^3))/3</f>
        <v>0.17405723900914774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Loads'!E117</f>
        <v>0</v>
      </c>
      <c r="F18" s="23">
        <f>'0 Degree Loads'!F117</f>
        <v>0</v>
      </c>
      <c r="G18" s="23">
        <f>'0 Degree Loads'!G117</f>
        <v>0</v>
      </c>
      <c r="H18" s="23">
        <f>'0 Degree Loads'!H117</f>
        <v>0</v>
      </c>
      <c r="I18" s="24">
        <f>'0 Degree Loads'!I117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2.6103839309987564</v>
      </c>
      <c r="AF18" t="s">
        <v>170</v>
      </c>
      <c r="AG18" s="168"/>
      <c r="AH18" s="342" t="s">
        <v>186</v>
      </c>
      <c r="AI18" s="342"/>
      <c r="AJ18" s="8">
        <f>AE20/AE13</f>
        <v>23.238578680203045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Loads'!E118</f>
        <v>0</v>
      </c>
      <c r="F19" s="23">
        <f>'0 Degree Loads'!F118</f>
        <v>0</v>
      </c>
      <c r="G19" s="23">
        <f>'0 Degree Loads'!G118</f>
        <v>0</v>
      </c>
      <c r="H19" s="23">
        <f>'0 Degree Loads'!H118</f>
        <v>0</v>
      </c>
      <c r="I19" s="24">
        <f>'0 Degree Loads'!I118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10.760857420736002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Loads'!E119</f>
        <v>0</v>
      </c>
      <c r="F20" s="23">
        <f>'0 Degree Loads'!F119</f>
        <v>0</v>
      </c>
      <c r="G20" s="23">
        <f>'0 Degree Loads'!G119</f>
        <v>0</v>
      </c>
      <c r="H20" s="23">
        <f>'0 Degree Loads'!H119</f>
        <v>0</v>
      </c>
      <c r="I20" s="24">
        <f>'0 Degree Loads'!I119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Loads'!E120</f>
        <v>0</v>
      </c>
      <c r="F21" s="23">
        <f>'0 Degree Loads'!F120</f>
        <v>0</v>
      </c>
      <c r="G21" s="23">
        <f>'0 Degree Loads'!G120</f>
        <v>0</v>
      </c>
      <c r="H21" s="23">
        <f>'0 Degree Loads'!H120</f>
        <v>0</v>
      </c>
      <c r="I21" s="24">
        <f>'0 Degree Loads'!I120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Loads'!E121</f>
        <v>0</v>
      </c>
      <c r="F22" s="23">
        <f>'0 Degree Loads'!F121</f>
        <v>0</v>
      </c>
      <c r="G22" s="23">
        <f>'0 Degree Loads'!G121</f>
        <v>0</v>
      </c>
      <c r="H22" s="23">
        <f>'0 Degree Loads'!H121</f>
        <v>0</v>
      </c>
      <c r="I22" s="24">
        <f>'0 Degree Loads'!I121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Loads'!E122</f>
        <v>0</v>
      </c>
      <c r="F23" s="23">
        <f>'0 Degree Loads'!F122</f>
        <v>0</v>
      </c>
      <c r="G23" s="23">
        <f>'0 Degree Loads'!G122</f>
        <v>0</v>
      </c>
      <c r="H23" s="23">
        <f>'0 Degree Loads'!H122</f>
        <v>0</v>
      </c>
      <c r="I23" s="24">
        <f>'0 Degree Loads'!I122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Loads'!E123</f>
        <v>0</v>
      </c>
      <c r="F24" s="23">
        <f>'0 Degree Loads'!F123</f>
        <v>0</v>
      </c>
      <c r="G24" s="23">
        <f>'0 Degree Loads'!G123</f>
        <v>0</v>
      </c>
      <c r="H24" s="23">
        <f>'0 Degree Loads'!H123</f>
        <v>0</v>
      </c>
      <c r="I24" s="24">
        <f>'0 Degree Loads'!I123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Loads'!E124</f>
        <v>0</v>
      </c>
      <c r="F25" s="23">
        <f>'0 Degree Loads'!F124</f>
        <v>0</v>
      </c>
      <c r="G25" s="23">
        <f>'0 Degree Loads'!G124</f>
        <v>0</v>
      </c>
      <c r="H25" s="23">
        <f>'0 Degree Loads'!H124</f>
        <v>0</v>
      </c>
      <c r="I25" s="24">
        <f>'0 Degree Loads'!I124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Loads'!E125</f>
        <v>0</v>
      </c>
      <c r="F26" s="23">
        <f>'0 Degree Loads'!F125</f>
        <v>0</v>
      </c>
      <c r="G26" s="23">
        <f>'0 Degree Loads'!G125</f>
        <v>0</v>
      </c>
      <c r="H26" s="23">
        <f>'0 Degree Loads'!H125</f>
        <v>0</v>
      </c>
      <c r="I26" s="24">
        <f>'0 Degree Loads'!I125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Loads'!E126</f>
        <v>0</v>
      </c>
      <c r="F27" s="23">
        <f>'0 Degree Loads'!F126</f>
        <v>0</v>
      </c>
      <c r="G27" s="23">
        <f>'0 Degree Loads'!G126</f>
        <v>0</v>
      </c>
      <c r="H27" s="23">
        <f>'0 Degree Loads'!H126</f>
        <v>0</v>
      </c>
      <c r="I27" s="24">
        <f>'0 Degree Loads'!I126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Loads'!E127</f>
        <v>0</v>
      </c>
      <c r="F28" s="23">
        <f>'0 Degree Loads'!F127</f>
        <v>0</v>
      </c>
      <c r="G28" s="23">
        <f>'0 Degree Loads'!G127</f>
        <v>0</v>
      </c>
      <c r="H28" s="23">
        <f>'0 Degree Loads'!H127</f>
        <v>0</v>
      </c>
      <c r="I28" s="24">
        <f>'0 Degree Loads'!I127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Loads'!E128</f>
        <v>0</v>
      </c>
      <c r="F29" s="23">
        <f>'0 Degree Loads'!F128</f>
        <v>0</v>
      </c>
      <c r="G29" s="23">
        <f>'0 Degree Loads'!G128</f>
        <v>0</v>
      </c>
      <c r="H29" s="23">
        <f>'0 Degree Loads'!H128</f>
        <v>0</v>
      </c>
      <c r="I29" s="24">
        <f>'0 Degree Loads'!I128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5.2522286313581539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Loads'!E129</f>
        <v>0</v>
      </c>
      <c r="F30" s="23">
        <f>'0 Degree Loads'!F129</f>
        <v>0</v>
      </c>
      <c r="G30" s="23">
        <f>'0 Degree Loads'!G129</f>
        <v>0</v>
      </c>
      <c r="H30" s="23">
        <f>'0 Degree Loads'!H129</f>
        <v>0</v>
      </c>
      <c r="I30" s="24">
        <f>'0 Degree Loads'!I129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Loads'!E130</f>
        <v>0</v>
      </c>
      <c r="F31" s="23">
        <f>'0 Degree Loads'!F130</f>
        <v>0</v>
      </c>
      <c r="G31" s="23">
        <f>'0 Degree Loads'!G130</f>
        <v>0</v>
      </c>
      <c r="H31" s="23">
        <f>'0 Degree Loads'!H130</f>
        <v>0</v>
      </c>
      <c r="I31" s="24">
        <f>'0 Degree Loads'!I130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Loads'!E131</f>
        <v>0</v>
      </c>
      <c r="F32" s="23">
        <f>'0 Degree Loads'!F131</f>
        <v>0</v>
      </c>
      <c r="G32" s="23">
        <f>'0 Degree Loads'!G131</f>
        <v>0</v>
      </c>
      <c r="H32" s="23">
        <f>'0 Degree Loads'!H131</f>
        <v>0</v>
      </c>
      <c r="I32" s="24">
        <f>'0 Degree Loads'!I131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23.238578680203045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Loads'!E132</f>
        <v>0</v>
      </c>
      <c r="F33" s="31">
        <f>'0 Degree Loads'!F132</f>
        <v>0</v>
      </c>
      <c r="G33" s="31">
        <f>'0 Degree Loads'!G132</f>
        <v>0</v>
      </c>
      <c r="H33" s="31">
        <f>'0 Degree Loads'!H132</f>
        <v>0</v>
      </c>
      <c r="I33" s="32">
        <f>'0 Degree Loads'!I132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5.2522286313581539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Loads'!E111</f>
        <v>0</v>
      </c>
      <c r="F38" s="21">
        <f>'55 Degree Loads'!F111</f>
        <v>0</v>
      </c>
      <c r="G38" s="21">
        <f>'55 Degree Loads'!G111</f>
        <v>0</v>
      </c>
      <c r="H38" s="21">
        <f>'55 Degree Loads'!H111</f>
        <v>0</v>
      </c>
      <c r="I38" s="22">
        <f>'55 Degree Loads'!I111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Loads'!E112</f>
        <v>0</v>
      </c>
      <c r="F39" s="23">
        <f>'55 Degree Loads'!F112</f>
        <v>0</v>
      </c>
      <c r="G39" s="23">
        <f>'55 Degree Loads'!G112</f>
        <v>0</v>
      </c>
      <c r="H39" s="23">
        <f>'55 Degree Loads'!H112</f>
        <v>0</v>
      </c>
      <c r="I39" s="24">
        <f>'55 Degree Loads'!I112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23.238578680203045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Loads'!E113</f>
        <v>0</v>
      </c>
      <c r="F40" s="23">
        <f>'55 Degree Loads'!F113</f>
        <v>0</v>
      </c>
      <c r="G40" s="23">
        <f>'55 Degree Loads'!G113</f>
        <v>0</v>
      </c>
      <c r="H40" s="23">
        <f>'55 Degree Loads'!H113</f>
        <v>0</v>
      </c>
      <c r="I40" s="24">
        <f>'55 Degree Loads'!I113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Loads'!E114</f>
        <v>0</v>
      </c>
      <c r="F41" s="23">
        <f>'55 Degree Loads'!F114</f>
        <v>0</v>
      </c>
      <c r="G41" s="23">
        <f>'55 Degree Loads'!G114</f>
        <v>0</v>
      </c>
      <c r="H41" s="23">
        <f>'55 Degree Loads'!H114</f>
        <v>0</v>
      </c>
      <c r="I41" s="24">
        <f>'55 Degree Loads'!I114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Loads'!E115</f>
        <v>0</v>
      </c>
      <c r="F42" s="23">
        <f>'55 Degree Loads'!F115</f>
        <v>0</v>
      </c>
      <c r="G42" s="23">
        <f>'55 Degree Loads'!G115</f>
        <v>0</v>
      </c>
      <c r="H42" s="23">
        <f>'55 Degree Loads'!H115</f>
        <v>0</v>
      </c>
      <c r="I42" s="24">
        <f>'55 Degree Loads'!I115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Loads'!E116</f>
        <v>0</v>
      </c>
      <c r="F43" s="23">
        <f>'55 Degree Loads'!F116</f>
        <v>0</v>
      </c>
      <c r="G43" s="23">
        <f>'55 Degree Loads'!G116</f>
        <v>0</v>
      </c>
      <c r="H43" s="23">
        <f>'55 Degree Loads'!H116</f>
        <v>0</v>
      </c>
      <c r="I43" s="24">
        <f>'55 Degree Loads'!I116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Loads'!E117</f>
        <v>0</v>
      </c>
      <c r="F44" s="23">
        <f>'55 Degree Loads'!F117</f>
        <v>0</v>
      </c>
      <c r="G44" s="23">
        <f>'55 Degree Loads'!G117</f>
        <v>0</v>
      </c>
      <c r="H44" s="23">
        <f>'55 Degree Loads'!H117</f>
        <v>0</v>
      </c>
      <c r="I44" s="24">
        <f>'55 Degree Loads'!I117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Loads'!E118</f>
        <v>0</v>
      </c>
      <c r="F45" s="23">
        <f>'55 Degree Loads'!F118</f>
        <v>0</v>
      </c>
      <c r="G45" s="23">
        <f>'55 Degree Loads'!G118</f>
        <v>0</v>
      </c>
      <c r="H45" s="23">
        <f>'55 Degree Loads'!H118</f>
        <v>0</v>
      </c>
      <c r="I45" s="24">
        <f>'55 Degree Loads'!I118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Loads'!E119</f>
        <v>0</v>
      </c>
      <c r="F46" s="23">
        <f>'55 Degree Loads'!F119</f>
        <v>0</v>
      </c>
      <c r="G46" s="23">
        <f>'55 Degree Loads'!G119</f>
        <v>0</v>
      </c>
      <c r="H46" s="23">
        <f>'55 Degree Loads'!H119</f>
        <v>0</v>
      </c>
      <c r="I46" s="24">
        <f>'55 Degree Loads'!I119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9.6537523468274866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27.979566428971172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Loads'!E120</f>
        <v>0</v>
      </c>
      <c r="F47" s="23">
        <f>'55 Degree Loads'!F120</f>
        <v>0</v>
      </c>
      <c r="G47" s="23">
        <f>'55 Degree Loads'!G120</f>
        <v>0</v>
      </c>
      <c r="H47" s="23">
        <f>'55 Degree Loads'!H120</f>
        <v>0</v>
      </c>
      <c r="I47" s="24">
        <f>'55 Degree Loads'!I120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Loads'!E121</f>
        <v>0</v>
      </c>
      <c r="F48" s="23">
        <f>'55 Degree Loads'!F121</f>
        <v>0</v>
      </c>
      <c r="G48" s="23">
        <f>'55 Degree Loads'!G121</f>
        <v>0</v>
      </c>
      <c r="H48" s="23">
        <f>'55 Degree Loads'!H121</f>
        <v>0</v>
      </c>
      <c r="I48" s="24">
        <f>'55 Degree Loads'!I121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26.059979317476735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Loads'!E122</f>
        <v>0</v>
      </c>
      <c r="F49" s="23">
        <f>'55 Degree Loads'!F122</f>
        <v>0</v>
      </c>
      <c r="G49" s="23">
        <f>'55 Degree Loads'!G122</f>
        <v>0</v>
      </c>
      <c r="H49" s="23">
        <f>'55 Degree Loads'!H122</f>
        <v>0</v>
      </c>
      <c r="I49" s="24">
        <f>'55 Degree Loads'!I122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Loads'!E123</f>
        <v>0</v>
      </c>
      <c r="F50" s="23">
        <f>'55 Degree Loads'!F123</f>
        <v>0</v>
      </c>
      <c r="G50" s="23">
        <f>'55 Degree Loads'!G123</f>
        <v>0</v>
      </c>
      <c r="H50" s="23">
        <f>'55 Degree Loads'!H123</f>
        <v>0</v>
      </c>
      <c r="I50" s="24">
        <f>'55 Degree Loads'!I123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26.059979317476735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Loads'!E124</f>
        <v>0</v>
      </c>
      <c r="F51" s="23">
        <f>'55 Degree Loads'!F124</f>
        <v>0</v>
      </c>
      <c r="G51" s="23">
        <f>'55 Degree Loads'!G124</f>
        <v>0</v>
      </c>
      <c r="H51" s="23">
        <f>'55 Degree Loads'!H124</f>
        <v>0</v>
      </c>
      <c r="I51" s="24">
        <f>'55 Degree Loads'!I124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Loads'!E125</f>
        <v>0</v>
      </c>
      <c r="F52" s="23">
        <f>'55 Degree Loads'!F125</f>
        <v>0</v>
      </c>
      <c r="G52" s="23">
        <f>'55 Degree Loads'!G125</f>
        <v>0</v>
      </c>
      <c r="H52" s="23">
        <f>'55 Degree Loads'!H125</f>
        <v>0</v>
      </c>
      <c r="I52" s="24">
        <f>'55 Degree Loads'!I125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421.02623713088934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Loads'!E126</f>
        <v>0</v>
      </c>
      <c r="F53" s="23">
        <f>'55 Degree Loads'!F126</f>
        <v>0</v>
      </c>
      <c r="G53" s="23">
        <f>'55 Degree Loads'!G126</f>
        <v>0</v>
      </c>
      <c r="H53" s="23">
        <f>'55 Degree Loads'!H126</f>
        <v>0</v>
      </c>
      <c r="I53" s="24">
        <f>'55 Degree Loads'!I126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Loads'!E127</f>
        <v>0</v>
      </c>
      <c r="F54" s="23">
        <f>'55 Degree Loads'!F127</f>
        <v>0</v>
      </c>
      <c r="G54" s="23">
        <f>'55 Degree Loads'!G127</f>
        <v>0</v>
      </c>
      <c r="H54" s="23">
        <f>'55 Degree Loads'!H127</f>
        <v>0</v>
      </c>
      <c r="I54" s="24">
        <f>'55 Degree Loads'!I127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Loads'!E128</f>
        <v>0</v>
      </c>
      <c r="F55" s="23">
        <f>'55 Degree Loads'!F128</f>
        <v>0</v>
      </c>
      <c r="G55" s="23">
        <f>'55 Degree Loads'!G128</f>
        <v>0</v>
      </c>
      <c r="H55" s="23">
        <f>'55 Degree Loads'!H128</f>
        <v>0</v>
      </c>
      <c r="I55" s="24">
        <f>'55 Degree Loads'!I128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Loads'!E129</f>
        <v>0</v>
      </c>
      <c r="F56" s="23">
        <f>'55 Degree Loads'!F129</f>
        <v>0</v>
      </c>
      <c r="G56" s="23">
        <f>'55 Degree Loads'!G129</f>
        <v>0</v>
      </c>
      <c r="H56" s="23">
        <f>'55 Degree Loads'!H129</f>
        <v>0</v>
      </c>
      <c r="I56" s="24">
        <f>'55 Degree Loads'!I129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47.575457795152118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Loads'!E130</f>
        <v>0</v>
      </c>
      <c r="F57" s="23">
        <f>'55 Degree Loads'!F130</f>
        <v>0</v>
      </c>
      <c r="G57" s="23">
        <f>'55 Degree Loads'!G130</f>
        <v>0</v>
      </c>
      <c r="H57" s="23">
        <f>'55 Degree Loads'!H130</f>
        <v>0</v>
      </c>
      <c r="I57" s="24">
        <f>'55 Degree Loads'!I130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Loads'!E131</f>
        <v>0</v>
      </c>
      <c r="F58" s="23">
        <f>'55 Degree Loads'!F131</f>
        <v>0</v>
      </c>
      <c r="G58" s="23">
        <f>'55 Degree Loads'!G131</f>
        <v>0</v>
      </c>
      <c r="H58" s="23">
        <f>'55 Degree Loads'!H131</f>
        <v>0</v>
      </c>
      <c r="I58" s="24">
        <f>'55 Degree Loads'!I131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207.18012686411851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Loads'!E132</f>
        <v>0</v>
      </c>
      <c r="F59" s="31">
        <f>'55 Degree Loads'!F132</f>
        <v>0</v>
      </c>
      <c r="G59" s="31">
        <f>'55 Degree Loads'!G132</f>
        <v>0</v>
      </c>
      <c r="H59" s="31">
        <f>'55 Degree Loads'!H132</f>
        <v>0</v>
      </c>
      <c r="I59" s="32">
        <f>'55 Degree Loads'!I132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14.173889809234415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731.9128012561946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4.0064000000000002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36.786949774013536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264.68171939470284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416.08820166846402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6.2564000000000002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4.3547689600000004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207.18012686411851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138.12008457607899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538.04287103680008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40.987661291076364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158.07772578535969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2554.5399462628288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707.80755022462586</v>
      </c>
    </row>
    <row r="90" spans="2:51" x14ac:dyDescent="0.25">
      <c r="B90" s="363" t="s">
        <v>386</v>
      </c>
      <c r="C90" s="364"/>
    </row>
    <row r="91" spans="2:51" ht="15.75" thickBot="1" x14ac:dyDescent="0.3">
      <c r="B91" s="365"/>
      <c r="C91" s="366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538.04287103680008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0.82976518756327555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'IDLER REACTIONS Zone 2'!C97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0.84990329055053582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1.0666124837713169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1.0824097632458198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358.69524735786672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725.37042259940017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156.8862027568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163.49335850872728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156.8862027568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156.8862027568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104.59080183786666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1.4790129599999999</v>
      </c>
      <c r="AM134" t="s">
        <v>270</v>
      </c>
      <c r="AN134">
        <f>AO12*AO13</f>
        <v>1.4601009600000001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23.238578680203045</v>
      </c>
      <c r="AM135" t="s">
        <v>186</v>
      </c>
      <c r="AN135">
        <f>AN32</f>
        <v>23.238578680203045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29.5802592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3" t="s">
        <v>387</v>
      </c>
      <c r="C145" s="364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5"/>
      <c r="C146" s="366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61.121638400000002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2'!C151</f>
        <v>W6X16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4.3547689600000004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4.0938736970585312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6.2564000000000002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2.0436669813590909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0.96699999999999997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0.38140000000000002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3.1377240551360002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4.0064000000000002</v>
      </c>
      <c r="D158" t="str">
        <f t="shared" si="5"/>
        <v>in</v>
      </c>
      <c r="E158" s="19" t="str">
        <f t="shared" si="6"/>
        <v>ho</v>
      </c>
      <c r="G158" s="211">
        <f t="shared" si="7"/>
        <v>5.875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29.673849753078052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1.1259431592934088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9.4859183406041971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0.17405723900914774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2.6103839309987564</v>
      </c>
      <c r="D161" t="str">
        <f t="shared" si="5"/>
        <v>in</v>
      </c>
      <c r="E161" s="19" t="str">
        <f t="shared" si="6"/>
        <v>h/tw</v>
      </c>
      <c r="G161" s="211">
        <f t="shared" si="7"/>
        <v>23.238578680203045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10.760857420736002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138.12008457607899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358.69524735786672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104.59080183786666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29.5802592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61.121638400000002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322.18135990227552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3" t="s">
        <v>388</v>
      </c>
      <c r="C194" s="364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5"/>
      <c r="C195" s="366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2'!C200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63" t="s">
        <v>389</v>
      </c>
      <c r="C243" s="364"/>
    </row>
    <row r="244" spans="2:8" ht="15.75" thickBot="1" x14ac:dyDescent="0.3">
      <c r="B244" s="365"/>
      <c r="C244" s="366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2'!C249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15.984407914553836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6.3563999999999998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5.2785179032276055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0.2964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1.52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0.43140000000000001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8.0325291483360015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6.0564</v>
      </c>
      <c r="D256" t="str">
        <f t="shared" si="63"/>
        <v>in</v>
      </c>
      <c r="E256" s="19" t="str">
        <f t="shared" si="60"/>
        <v>ho</v>
      </c>
      <c r="G256" s="211">
        <f>BD15</f>
        <v>5.9249999999999998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50.036950881186783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15.743801800134285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2.701971819038651</v>
      </c>
      <c r="D259" t="str">
        <f t="shared" si="63"/>
        <v>in</v>
      </c>
      <c r="E259" s="19" t="str">
        <f t="shared" si="60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17.716742333136001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</mergeCells>
  <conditionalFormatting sqref="I34">
    <cfRule type="expression" dxfId="355" priority="51">
      <formula>ABS(I34)=MAX(ABS($I$12:$I$33),ABS($I$38:$I$59))</formula>
    </cfRule>
  </conditionalFormatting>
  <conditionalFormatting sqref="E34:I34">
    <cfRule type="expression" priority="50" stopIfTrue="1">
      <formula>E34=""</formula>
    </cfRule>
  </conditionalFormatting>
  <conditionalFormatting sqref="I35">
    <cfRule type="expression" dxfId="354" priority="49">
      <formula>ABS(I35)=MAX(ABS($I$12:$I$33),ABS($I$38:$I$59))</formula>
    </cfRule>
  </conditionalFormatting>
  <conditionalFormatting sqref="E35:I35">
    <cfRule type="expression" priority="48" stopIfTrue="1">
      <formula>E35=""</formula>
    </cfRule>
  </conditionalFormatting>
  <conditionalFormatting sqref="C132 C186 C235 C284">
    <cfRule type="cellIs" dxfId="353" priority="47" operator="greaterThan">
      <formula>1</formula>
    </cfRule>
  </conditionalFormatting>
  <conditionalFormatting sqref="E12:I33">
    <cfRule type="expression" dxfId="352" priority="46">
      <formula>ABS(E12)=MAX(ABS($E$12:$E$33),ABS($E$38:$E$59))</formula>
    </cfRule>
  </conditionalFormatting>
  <conditionalFormatting sqref="F12:F33">
    <cfRule type="expression" dxfId="351" priority="45">
      <formula>ABS(F12)=MAX(ABS($F$12:$F$33),ABS($F$38:$F$59))</formula>
    </cfRule>
  </conditionalFormatting>
  <conditionalFormatting sqref="G12:G33">
    <cfRule type="expression" dxfId="350" priority="44">
      <formula>ABS(G12)=MAX(ABS($G$12:$G$33),ABS($G$38:$G$59))</formula>
    </cfRule>
  </conditionalFormatting>
  <conditionalFormatting sqref="H12:H33">
    <cfRule type="expression" dxfId="349" priority="43">
      <formula>ABS(H12)=MAX(ABS($H$12:$H$33),ABS($H$38:$H$59))</formula>
    </cfRule>
  </conditionalFormatting>
  <conditionalFormatting sqref="I12:I33">
    <cfRule type="expression" dxfId="348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47" priority="40">
      <formula>ABS(E38)=MAX(ABS($E$12:$E$33),ABS($E$38:$E$59))</formula>
    </cfRule>
  </conditionalFormatting>
  <conditionalFormatting sqref="F38:F59">
    <cfRule type="expression" dxfId="346" priority="39">
      <formula>ABS(F38)=MAX(ABS($F$12:$F$33),ABS($F$38:$F$59))</formula>
    </cfRule>
  </conditionalFormatting>
  <conditionalFormatting sqref="G38:G59">
    <cfRule type="expression" dxfId="345" priority="38">
      <formula>ABS(G38)=MAX(ABS($G$12:$G$33),ABS($G$38:$G$59))</formula>
    </cfRule>
  </conditionalFormatting>
  <conditionalFormatting sqref="H38:H59">
    <cfRule type="expression" dxfId="344" priority="37">
      <formula>ABS(H38)=MAX(ABS($H$12:$H$33),ABS($H$38:$H$59))</formula>
    </cfRule>
  </conditionalFormatting>
  <conditionalFormatting sqref="I38:I59">
    <cfRule type="expression" dxfId="343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342" priority="29">
      <formula>$F$9="Zone 5"</formula>
    </cfRule>
    <cfRule type="expression" dxfId="341" priority="30">
      <formula>$F$9="Zone 4"</formula>
    </cfRule>
    <cfRule type="expression" dxfId="340" priority="31">
      <formula>$F$9="Zone 3"</formula>
    </cfRule>
    <cfRule type="expression" dxfId="339" priority="32">
      <formula>$F$9="Zone 2"</formula>
    </cfRule>
    <cfRule type="expression" dxfId="338" priority="33">
      <formula>$F$9="Zone 1"</formula>
    </cfRule>
    <cfRule type="expression" dxfId="337" priority="34">
      <formula>$F$9="Zone 1 - Drive"</formula>
    </cfRule>
  </conditionalFormatting>
  <conditionalFormatting sqref="Y41:Y150 AJ41:AJ150 AT41:AT150 BD41:BD150">
    <cfRule type="expression" dxfId="336" priority="28">
      <formula>Y41="Satisfactory"</formula>
    </cfRule>
  </conditionalFormatting>
  <conditionalFormatting sqref="AG4">
    <cfRule type="expression" dxfId="335" priority="22">
      <formula>$F$9="Zone 5"</formula>
    </cfRule>
    <cfRule type="expression" dxfId="334" priority="23">
      <formula>$F$9="Zone 4"</formula>
    </cfRule>
    <cfRule type="expression" dxfId="333" priority="24">
      <formula>$F$9="Zone 3"</formula>
    </cfRule>
    <cfRule type="expression" dxfId="332" priority="25">
      <formula>$F$9="Zone 2"</formula>
    </cfRule>
    <cfRule type="expression" dxfId="331" priority="26">
      <formula>$F$9="Zone 1"</formula>
    </cfRule>
    <cfRule type="expression" dxfId="330" priority="27">
      <formula>$F$9="Zone 1 - Drive"</formula>
    </cfRule>
  </conditionalFormatting>
  <conditionalFormatting sqref="AQ4">
    <cfRule type="expression" dxfId="329" priority="16">
      <formula>$F$9="Zone 5"</formula>
    </cfRule>
    <cfRule type="expression" dxfId="328" priority="17">
      <formula>$F$9="Zone 4"</formula>
    </cfRule>
    <cfRule type="expression" dxfId="327" priority="18">
      <formula>$F$9="Zone 3"</formula>
    </cfRule>
    <cfRule type="expression" dxfId="326" priority="19">
      <formula>$F$9="Zone 2"</formula>
    </cfRule>
    <cfRule type="expression" dxfId="325" priority="20">
      <formula>$F$9="Zone 1"</formula>
    </cfRule>
    <cfRule type="expression" dxfId="324" priority="21">
      <formula>$F$9="Zone 1 - Drive"</formula>
    </cfRule>
  </conditionalFormatting>
  <conditionalFormatting sqref="BA4">
    <cfRule type="expression" dxfId="323" priority="10">
      <formula>$F$9="Zone 5"</formula>
    </cfRule>
    <cfRule type="expression" dxfId="322" priority="11">
      <formula>$F$9="Zone 4"</formula>
    </cfRule>
    <cfRule type="expression" dxfId="321" priority="12">
      <formula>$F$9="Zone 3"</formula>
    </cfRule>
    <cfRule type="expression" dxfId="320" priority="13">
      <formula>$F$9="Zone 2"</formula>
    </cfRule>
    <cfRule type="expression" dxfId="319" priority="14">
      <formula>$F$9="Zone 1"</formula>
    </cfRule>
    <cfRule type="expression" dxfId="318" priority="15">
      <formula>$F$9="Zone 1 - Drive"</formula>
    </cfRule>
  </conditionalFormatting>
  <conditionalFormatting sqref="Y31:Y40 AJ31:AJ40 AT31:AT40 BD31:BD40">
    <cfRule type="expression" dxfId="317" priority="9">
      <formula>Y31="Satisfactory"</formula>
    </cfRule>
  </conditionalFormatting>
  <conditionalFormatting sqref="Y158:Y179">
    <cfRule type="top10" dxfId="316" priority="8" rank="1"/>
  </conditionalFormatting>
  <conditionalFormatting sqref="Y184:Y205">
    <cfRule type="top10" dxfId="315" priority="7" rank="1"/>
  </conditionalFormatting>
  <conditionalFormatting sqref="AJ158:AJ179">
    <cfRule type="top10" dxfId="314" priority="6" rank="1"/>
  </conditionalFormatting>
  <conditionalFormatting sqref="AJ184:AJ205">
    <cfRule type="top10" dxfId="313" priority="5" rank="1"/>
  </conditionalFormatting>
  <conditionalFormatting sqref="AT158:AT179">
    <cfRule type="top10" dxfId="312" priority="4" rank="1"/>
  </conditionalFormatting>
  <conditionalFormatting sqref="AT184:AT205">
    <cfRule type="top10" dxfId="311" priority="3" rank="1"/>
  </conditionalFormatting>
  <conditionalFormatting sqref="BD158:BD179">
    <cfRule type="top10" dxfId="310" priority="2" rank="1"/>
  </conditionalFormatting>
  <conditionalFormatting sqref="BD184:BD205">
    <cfRule type="top10" dxfId="309" priority="1" rank="1"/>
  </conditionalFormatting>
  <dataValidations disablePrompts="1" count="1">
    <dataValidation type="list" allowBlank="1" showInputMessage="1" showErrorMessage="1" sqref="P17" xr:uid="{FD8E8CB1-B6C0-4E11-B9EA-2BA19B7ED8A8}">
      <formula1>"No,Yes"</formula1>
    </dataValidation>
  </dataValidations>
  <pageMargins left="0.7" right="0.7" top="0.75" bottom="0.75" header="0.3" footer="0.3"/>
  <pageSetup scale="40" orientation="landscape" r:id="rId1"/>
  <rowBreaks count="2" manualBreakCount="2">
    <brk id="57" max="9" man="1"/>
    <brk id="239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C9D7BCC-59A3-4682-8E81-E9806BF0872E}">
          <x14:formula1>
            <xm:f>List!$D$2:$D$5</xm:f>
          </x14:formula1>
          <xm:sqref>P21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814AD-7E29-4F38-8777-89445619B1FC}">
  <sheetPr codeName="Sheet32">
    <pageSetUpPr fitToPage="1"/>
  </sheetPr>
  <dimension ref="B2:BF286"/>
  <sheetViews>
    <sheetView showGridLines="0" view="pageBreakPreview" zoomScale="70" zoomScaleNormal="100" zoomScaleSheetLayoutView="70" workbookViewId="0">
      <selection activeCell="B286" sqref="B286"/>
    </sheetView>
  </sheetViews>
  <sheetFormatPr defaultRowHeight="15" x14ac:dyDescent="0.25"/>
  <cols>
    <col min="2" max="2" width="43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7" t="s">
        <v>101</v>
      </c>
      <c r="D3" s="368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69"/>
      <c r="D4" s="370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W6X20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4.3729000000000005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9.3188240808333358</v>
      </c>
      <c r="Z11" s="166" t="s">
        <v>173</v>
      </c>
      <c r="AC11" s="341" t="s">
        <v>171</v>
      </c>
      <c r="AD11" s="340"/>
      <c r="AE11" s="164">
        <f>2*(AE15*AE14)+((AE12-(2*AE14))*AE13)</f>
        <v>4.3729000000000005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9.3188240808333358</v>
      </c>
      <c r="AK11" s="166" t="s">
        <v>173</v>
      </c>
      <c r="AM11" s="341" t="s">
        <v>171</v>
      </c>
      <c r="AN11" s="340"/>
      <c r="AO11" s="164">
        <f>2*(AO15*AO14)+((AO12-(2*AO14))*AO13)</f>
        <v>5.8167999999999997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13.279850213333331</v>
      </c>
      <c r="AU11" s="166" t="s">
        <v>173</v>
      </c>
      <c r="AW11" s="341" t="s">
        <v>171</v>
      </c>
      <c r="AX11" s="340"/>
      <c r="AY11" s="164">
        <f>2*(AY15*AY14)+((AY12-(2*AY14))*AY13)</f>
        <v>5.8167999999999997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13.279850213333331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Loads'!P13</f>
        <v>0</v>
      </c>
      <c r="F12" s="21">
        <f>'0 Degree Loads'!Q13</f>
        <v>0</v>
      </c>
      <c r="G12" s="21">
        <f>'0 Degree Loads'!R13</f>
        <v>0</v>
      </c>
      <c r="H12" s="21">
        <f>'0 Degree Loads'!S13</f>
        <v>0</v>
      </c>
      <c r="I12" s="22">
        <f>'0 Degree Loads'!T13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INDEX(Shapes!$D$2:$D$17,MATCH(PROFILE_ZONE_3_STD,Shapes!$A$2:$A$17,0))-T9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INDEX(Shapes!$D$2:$D$17,MATCH(PROFILE_ZONE_3_1,Shapes!$A$2:$A$17,0))-AE9</f>
        <v>5.99</v>
      </c>
      <c r="AF12" t="s">
        <v>170</v>
      </c>
      <c r="AG12" s="168"/>
      <c r="AH12" s="342" t="s">
        <v>405</v>
      </c>
      <c r="AI12" s="342"/>
      <c r="AJ12" s="8">
        <f>(2*AJ11)/AE15</f>
        <v>3.1114604610461889</v>
      </c>
      <c r="AK12" s="159" t="s">
        <v>175</v>
      </c>
      <c r="AM12" s="343" t="s">
        <v>174</v>
      </c>
      <c r="AN12" s="342"/>
      <c r="AO12" s="167">
        <f>INDEX(Shapes!$D$2:$D$17,MATCH(PROFILE_ZONE_3_2,Shapes!$A$2:$A$17,0))-AO9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INDEX(Shapes!$D$2:$D$17,MATCH(PROFILE_ZONE_3_3,Shapes!$A$2:$A$17,0))-AY9</f>
        <v>6.2</v>
      </c>
      <c r="AZ12" t="s">
        <v>170</v>
      </c>
      <c r="BA12" s="168"/>
      <c r="BB12" s="342" t="s">
        <v>405</v>
      </c>
      <c r="BC12" s="342"/>
      <c r="BD12" s="8">
        <f>(2*BD11)/AY15</f>
        <v>4.4119103698781839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Loads'!P14</f>
        <v>0</v>
      </c>
      <c r="F13" s="23">
        <f>'0 Degree Loads'!Q14</f>
        <v>0</v>
      </c>
      <c r="G13" s="23">
        <f>'0 Degree Loads'!R14</f>
        <v>0</v>
      </c>
      <c r="H13" s="23">
        <f>'0 Degree Loads'!S14</f>
        <v>0</v>
      </c>
      <c r="I13" s="24">
        <f>'0 Degree Loads'!T14</f>
        <v>0</v>
      </c>
      <c r="R13" s="343" t="s">
        <v>176</v>
      </c>
      <c r="S13" s="342"/>
      <c r="T13" s="167">
        <f>INDEX(Shapes!$H$2:$H$17,MATCH(PROFILE_ZONE_3_STD,Shapes!$A$2:$A$17,0))-T9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INDEX(Shapes!$Y$2:$Y$17,MATCH(PROFILE_ZONE_3_STD,Shapes!$A$2:$A$17,0))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INDEX(Shapes!$H$2:$H$17,MATCH(PROFILE_ZONE_3_1,Shapes!$A$2:$A$17,0))-AE9</f>
        <v>0.23</v>
      </c>
      <c r="AF13" t="s">
        <v>170</v>
      </c>
      <c r="AG13" s="168"/>
      <c r="AH13" s="342" t="s">
        <v>177</v>
      </c>
      <c r="AI13" s="342"/>
      <c r="AJ13" s="8">
        <f>INDEX(Shapes!$Y$2:$Y$17,MATCH(PROFILE_ZONE_3_1,Shapes!$A$2:$A$17,0))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INDEX(Shapes!$H$2:$H$17,MATCH(PROFILE_ZONE_3_2,Shapes!$A$2:$A$17,0))-AO9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INDEX(Shapes!$Y$2:$Y$17,MATCH(PROFILE_ZONE_3_2,Shapes!$A$2:$A$17,0))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INDEX(Shapes!$H$2:$H$17,MATCH(PROFILE_ZONE_3_3,Shapes!$A$2:$A$17,0))-AY9</f>
        <v>0.26</v>
      </c>
      <c r="AZ13" t="s">
        <v>170</v>
      </c>
      <c r="BA13" s="168"/>
      <c r="BB13" s="342" t="s">
        <v>177</v>
      </c>
      <c r="BC13" s="342"/>
      <c r="BD13" s="8">
        <f>INDEX(Shapes!$Y$2:$Y$17,MATCH(PROFILE_ZONE_3_3,Shapes!$A$2:$A$17,0))</f>
        <v>1.5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Loads'!P15</f>
        <v>0</v>
      </c>
      <c r="F14" s="23">
        <f>'0 Degree Loads'!Q15</f>
        <v>0</v>
      </c>
      <c r="G14" s="23">
        <f>'0 Degree Loads'!R15</f>
        <v>0</v>
      </c>
      <c r="H14" s="23">
        <f>'0 Degree Loads'!S15</f>
        <v>0</v>
      </c>
      <c r="I14" s="24">
        <f>'0 Degree Loads'!T15</f>
        <v>0</v>
      </c>
      <c r="R14" s="343" t="s">
        <v>178</v>
      </c>
      <c r="S14" s="342"/>
      <c r="T14" s="167">
        <f>INDEX(Shapes!$K$2:$K$17,MATCH(PROFILE_ZONE_3_STD,Shapes!$A$2:$A$17,0))-T9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INDEX(Shapes!$K$2:$K$17,MATCH(PROFILE_ZONE_3_1,Shapes!$A$2:$A$17,0))-AE9</f>
        <v>0.26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4.736753750000001</v>
      </c>
      <c r="AK14" s="159" t="s">
        <v>175</v>
      </c>
      <c r="AM14" s="343" t="s">
        <v>178</v>
      </c>
      <c r="AN14" s="342"/>
      <c r="AO14" s="167">
        <f>INDEX(Shapes!$K$2:$K$17,MATCH(PROFILE_ZONE_3_2,Shapes!$A$2:$A$17,0))-AO9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INDEX(Shapes!$K$2:$K$17,MATCH(PROFILE_ZONE_3_3,Shapes!$A$2:$A$17,0))-AY9</f>
        <v>0.36499999999999999</v>
      </c>
      <c r="AZ14" t="s">
        <v>170</v>
      </c>
      <c r="BA14" s="168"/>
      <c r="BB14" s="342" t="s">
        <v>406</v>
      </c>
      <c r="BC14" s="342"/>
      <c r="BD14" s="8">
        <f>((AY15^2*AY14)/2)+((AY13^2)*(AY20))/4</f>
        <v>6.7063159999999993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Loads'!P16</f>
        <v>0</v>
      </c>
      <c r="F15" s="23">
        <f>'0 Degree Loads'!Q16</f>
        <v>0</v>
      </c>
      <c r="G15" s="23">
        <f>'0 Degree Loads'!R16</f>
        <v>0</v>
      </c>
      <c r="H15" s="23">
        <f>'0 Degree Loads'!S16</f>
        <v>0</v>
      </c>
      <c r="I15" s="24">
        <f>'0 Degree Loads'!T16</f>
        <v>0</v>
      </c>
      <c r="R15" s="343" t="s">
        <v>179</v>
      </c>
      <c r="S15" s="342"/>
      <c r="T15" s="167">
        <f>INDEX(Shapes!$F$2:$F$17,MATCH(PROFILE_ZONE_3_STD,Shapes!$A$2:$A$17,0))-T9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INDEX(Shapes!$F$2:$F$17,MATCH(PROFILE_ZONE_3_1,Shapes!$A$2:$A$17,0))-AE9</f>
        <v>5.99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INDEX(Shapes!$F$2:$F$17,MATCH(PROFILE_ZONE_3_2,Shapes!$A$2:$A$17,0))-AO9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INDEX(Shapes!$F$2:$F$17,MATCH(PROFILE_ZONE_3_3,Shapes!$A$2:$A$17,0))-AY9</f>
        <v>6.02</v>
      </c>
      <c r="AZ15" t="s">
        <v>170</v>
      </c>
      <c r="BA15" s="168"/>
      <c r="BB15" s="342" t="s">
        <v>180</v>
      </c>
      <c r="BC15" s="342"/>
      <c r="BD15" s="167">
        <f>AY12-(AY14)</f>
        <v>5.835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Loads'!P17</f>
        <v>0</v>
      </c>
      <c r="F16" s="23">
        <f>'0 Degree Loads'!Q17</f>
        <v>0</v>
      </c>
      <c r="G16" s="23">
        <f>'0 Degree Loads'!R17</f>
        <v>0</v>
      </c>
      <c r="H16" s="23">
        <f>'0 Degree Loads'!S17</f>
        <v>0</v>
      </c>
      <c r="I16" s="24">
        <f>'0 Degree Loads'!T17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28.721482960833342</v>
      </c>
      <c r="AF16" t="s">
        <v>173</v>
      </c>
      <c r="AG16" s="168"/>
      <c r="AH16" s="342" t="s">
        <v>182</v>
      </c>
      <c r="AI16" s="342"/>
      <c r="AJ16" s="8">
        <f>SQRT((AJ11*AJ15)/(2*AE17))</f>
        <v>1.6685447284918389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41.000898293333343</v>
      </c>
      <c r="AZ16" t="s">
        <v>173</v>
      </c>
      <c r="BA16" s="168"/>
      <c r="BB16" s="342" t="s">
        <v>182</v>
      </c>
      <c r="BC16" s="342"/>
      <c r="BD16" s="8">
        <f>SQRT((BD11*BD15)/(2*AY17))</f>
        <v>1.7115365644520282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Loads'!P18</f>
        <v>0</v>
      </c>
      <c r="F17" s="23">
        <f>'0 Degree Loads'!Q18</f>
        <v>0</v>
      </c>
      <c r="G17" s="23">
        <f>'0 Degree Loads'!R18</f>
        <v>0</v>
      </c>
      <c r="H17" s="23">
        <f>'0 Degree Loads'!S18</f>
        <v>0</v>
      </c>
      <c r="I17" s="24">
        <f>'0 Degree Loads'!T18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9.5898106713967746</v>
      </c>
      <c r="AF17" t="s">
        <v>175</v>
      </c>
      <c r="AG17" s="168"/>
      <c r="AH17" s="342" t="s">
        <v>184</v>
      </c>
      <c r="AI17" s="342"/>
      <c r="AJ17" s="8">
        <f>((2*AE15*AE14^3)+(AJ15*AE13^3))/3</f>
        <v>9.3425796666666672E-2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13.226096223655915</v>
      </c>
      <c r="AZ17" t="s">
        <v>175</v>
      </c>
      <c r="BA17" s="168"/>
      <c r="BB17" s="342" t="s">
        <v>184</v>
      </c>
      <c r="BC17" s="342"/>
      <c r="BD17" s="8">
        <f>((2*AY15*AY14^3)+(BD15*AY13^3))/3</f>
        <v>0.22934218166666664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Loads'!P19</f>
        <v>0</v>
      </c>
      <c r="F18" s="23">
        <f>'0 Degree Loads'!Q19</f>
        <v>0</v>
      </c>
      <c r="G18" s="23">
        <f>'0 Degree Loads'!R19</f>
        <v>0</v>
      </c>
      <c r="H18" s="23">
        <f>'0 Degree Loads'!S19</f>
        <v>0</v>
      </c>
      <c r="I18" s="24">
        <f>'0 Degree Loads'!T19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2.5628232598673386</v>
      </c>
      <c r="AF18" t="s">
        <v>170</v>
      </c>
      <c r="AG18" s="168"/>
      <c r="AH18" s="342" t="s">
        <v>186</v>
      </c>
      <c r="AI18" s="342"/>
      <c r="AJ18" s="8">
        <f>AE20/AE13</f>
        <v>23.782608695652176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2.6549394458704163</v>
      </c>
      <c r="AZ18" t="s">
        <v>170</v>
      </c>
      <c r="BA18" s="168"/>
      <c r="BB18" s="342" t="s">
        <v>186</v>
      </c>
      <c r="BC18" s="342"/>
      <c r="BD18" s="8">
        <f>AY20/AY13</f>
        <v>21.03846153846154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Loads'!P20</f>
        <v>0</v>
      </c>
      <c r="F19" s="23">
        <f>'0 Degree Loads'!Q20</f>
        <v>0</v>
      </c>
      <c r="G19" s="23">
        <f>'0 Degree Loads'!R20</f>
        <v>0</v>
      </c>
      <c r="H19" s="23">
        <f>'0 Degree Loads'!S20</f>
        <v>0</v>
      </c>
      <c r="I19" s="24">
        <f>'0 Degree Loads'!T20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10.644353750000002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14.766103999999999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Loads'!P21</f>
        <v>0</v>
      </c>
      <c r="F20" s="23">
        <f>'0 Degree Loads'!Q21</f>
        <v>0</v>
      </c>
      <c r="G20" s="23">
        <f>'0 Degree Loads'!R21</f>
        <v>0</v>
      </c>
      <c r="H20" s="23">
        <f>'0 Degree Loads'!S21</f>
        <v>0</v>
      </c>
      <c r="I20" s="24">
        <f>'0 Degree Loads'!T21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5.4700000000000006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Loads'!P22</f>
        <v>0</v>
      </c>
      <c r="F21" s="23">
        <f>'0 Degree Loads'!Q22</f>
        <v>0</v>
      </c>
      <c r="G21" s="23">
        <f>'0 Degree Loads'!R22</f>
        <v>0</v>
      </c>
      <c r="H21" s="23">
        <f>'0 Degree Loads'!S22</f>
        <v>0</v>
      </c>
      <c r="I21" s="24">
        <f>'0 Degree Loads'!T22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Loads'!P23</f>
        <v>0</v>
      </c>
      <c r="F22" s="23">
        <f>'0 Degree Loads'!Q23</f>
        <v>0</v>
      </c>
      <c r="G22" s="23">
        <f>'0 Degree Loads'!R23</f>
        <v>0</v>
      </c>
      <c r="H22" s="23">
        <f>'0 Degree Loads'!S23</f>
        <v>0</v>
      </c>
      <c r="I22" s="24">
        <f>'0 Degree Loads'!T23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Loads'!P24</f>
        <v>0</v>
      </c>
      <c r="F23" s="23">
        <f>'0 Degree Loads'!Q24</f>
        <v>0</v>
      </c>
      <c r="G23" s="23">
        <f>'0 Degree Loads'!R24</f>
        <v>0</v>
      </c>
      <c r="H23" s="23">
        <f>'0 Degree Loads'!S24</f>
        <v>0</v>
      </c>
      <c r="I23" s="24">
        <f>'0 Degree Loads'!T24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Loads'!P25</f>
        <v>0</v>
      </c>
      <c r="F24" s="23">
        <f>'0 Degree Loads'!Q25</f>
        <v>0</v>
      </c>
      <c r="G24" s="23">
        <f>'0 Degree Loads'!R25</f>
        <v>0</v>
      </c>
      <c r="H24" s="23">
        <f>'0 Degree Loads'!S25</f>
        <v>0</v>
      </c>
      <c r="I24" s="24">
        <f>'0 Degree Loads'!T25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Loads'!P26</f>
        <v>0</v>
      </c>
      <c r="F25" s="23">
        <f>'0 Degree Loads'!Q26</f>
        <v>0</v>
      </c>
      <c r="G25" s="23">
        <f>'0 Degree Loads'!R26</f>
        <v>0</v>
      </c>
      <c r="H25" s="23">
        <f>'0 Degree Loads'!S26</f>
        <v>0</v>
      </c>
      <c r="I25" s="24">
        <f>'0 Degree Loads'!T26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Loads'!P27</f>
        <v>0</v>
      </c>
      <c r="F26" s="23">
        <f>'0 Degree Loads'!Q27</f>
        <v>0</v>
      </c>
      <c r="G26" s="23">
        <f>'0 Degree Loads'!R27</f>
        <v>0</v>
      </c>
      <c r="H26" s="23">
        <f>'0 Degree Loads'!S27</f>
        <v>0</v>
      </c>
      <c r="I26" s="24">
        <f>'0 Degree Loads'!T27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Loads'!P28</f>
        <v>0</v>
      </c>
      <c r="F27" s="23">
        <f>'0 Degree Loads'!Q28</f>
        <v>0</v>
      </c>
      <c r="G27" s="23">
        <f>'0 Degree Loads'!R28</f>
        <v>0</v>
      </c>
      <c r="H27" s="23">
        <f>'0 Degree Loads'!S28</f>
        <v>0</v>
      </c>
      <c r="I27" s="24">
        <f>'0 Degree Loads'!T28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Loads'!P29</f>
        <v>0</v>
      </c>
      <c r="F28" s="23">
        <f>'0 Degree Loads'!Q29</f>
        <v>0</v>
      </c>
      <c r="G28" s="23">
        <f>'0 Degree Loads'!R29</f>
        <v>0</v>
      </c>
      <c r="H28" s="23">
        <f>'0 Degree Loads'!S29</f>
        <v>0</v>
      </c>
      <c r="I28" s="24">
        <f>'0 Degree Loads'!T29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Loads'!P30</f>
        <v>0</v>
      </c>
      <c r="F29" s="23">
        <f>'0 Degree Loads'!Q30</f>
        <v>0</v>
      </c>
      <c r="G29" s="23">
        <f>'0 Degree Loads'!R30</f>
        <v>0</v>
      </c>
      <c r="H29" s="23">
        <f>'0 Degree Loads'!S30</f>
        <v>0</v>
      </c>
      <c r="I29" s="24">
        <f>'0 Degree Loads'!T30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11.51923076923077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8.2465753424657535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Loads'!P31</f>
        <v>0</v>
      </c>
      <c r="F30" s="23">
        <f>'0 Degree Loads'!Q31</f>
        <v>0</v>
      </c>
      <c r="G30" s="23">
        <f>'0 Degree Loads'!R31</f>
        <v>0</v>
      </c>
      <c r="H30" s="23">
        <f>'0 Degree Loads'!S31</f>
        <v>0</v>
      </c>
      <c r="I30" s="24">
        <f>'0 Degree Loads'!T31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Loads'!P32</f>
        <v>0</v>
      </c>
      <c r="F31" s="23">
        <f>'0 Degree Loads'!Q32</f>
        <v>0</v>
      </c>
      <c r="G31" s="23">
        <f>'0 Degree Loads'!R32</f>
        <v>0</v>
      </c>
      <c r="H31" s="23">
        <f>'0 Degree Loads'!S32</f>
        <v>0</v>
      </c>
      <c r="I31" s="24">
        <f>'0 Degree Loads'!T32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Loads'!P33</f>
        <v>0</v>
      </c>
      <c r="F32" s="23">
        <f>'0 Degree Loads'!Q33</f>
        <v>0</v>
      </c>
      <c r="G32" s="23">
        <f>'0 Degree Loads'!R33</f>
        <v>0</v>
      </c>
      <c r="H32" s="23">
        <f>'0 Degree Loads'!S33</f>
        <v>0</v>
      </c>
      <c r="I32" s="24">
        <f>'0 Degree Loads'!T33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23.782608695652176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21.03846153846154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Loads'!P34</f>
        <v>0</v>
      </c>
      <c r="F33" s="31">
        <f>'0 Degree Loads'!Q34</f>
        <v>0</v>
      </c>
      <c r="G33" s="31">
        <f>'0 Degree Loads'!R34</f>
        <v>0</v>
      </c>
      <c r="H33" s="31">
        <f>'0 Degree Loads'!S34</f>
        <v>0</v>
      </c>
      <c r="I33" s="32">
        <f>'0 Degree Loads'!T34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11.51923076923077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8.2465753424657535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Loads'!P13</f>
        <v>0</v>
      </c>
      <c r="F38" s="21">
        <f>'55 Degree Loads'!Q13</f>
        <v>0</v>
      </c>
      <c r="G38" s="21">
        <f>'55 Degree Loads'!R13</f>
        <v>0</v>
      </c>
      <c r="H38" s="21">
        <f>'55 Degree Loads'!S13</f>
        <v>0</v>
      </c>
      <c r="I38" s="22">
        <f>'55 Degree Loads'!T13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Loads'!P14</f>
        <v>0</v>
      </c>
      <c r="F39" s="23">
        <f>'55 Degree Loads'!Q14</f>
        <v>0</v>
      </c>
      <c r="G39" s="23">
        <f>'55 Degree Loads'!R14</f>
        <v>0</v>
      </c>
      <c r="H39" s="23">
        <f>'55 Degree Loads'!S14</f>
        <v>0</v>
      </c>
      <c r="I39" s="24">
        <f>'55 Degree Loads'!T14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23.782608695652176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21.03846153846154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Loads'!P15</f>
        <v>0</v>
      </c>
      <c r="F40" s="23">
        <f>'55 Degree Loads'!Q15</f>
        <v>0</v>
      </c>
      <c r="G40" s="23">
        <f>'55 Degree Loads'!R15</f>
        <v>0</v>
      </c>
      <c r="H40" s="23">
        <f>'55 Degree Loads'!S15</f>
        <v>0</v>
      </c>
      <c r="I40" s="24">
        <f>'55 Degree Loads'!T15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Loads'!P16</f>
        <v>0</v>
      </c>
      <c r="F41" s="23">
        <f>'55 Degree Loads'!Q16</f>
        <v>0</v>
      </c>
      <c r="G41" s="23">
        <f>'55 Degree Loads'!R16</f>
        <v>0</v>
      </c>
      <c r="H41" s="23">
        <f>'55 Degree Loads'!S16</f>
        <v>0</v>
      </c>
      <c r="I41" s="24">
        <f>'55 Degree Loads'!T16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Loads'!P17</f>
        <v>0</v>
      </c>
      <c r="F42" s="23">
        <f>'55 Degree Loads'!Q17</f>
        <v>0</v>
      </c>
      <c r="G42" s="23">
        <f>'55 Degree Loads'!R17</f>
        <v>0</v>
      </c>
      <c r="H42" s="23">
        <f>'55 Degree Loads'!S17</f>
        <v>0</v>
      </c>
      <c r="I42" s="24">
        <f>'55 Degree Loads'!T17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Loads'!P18</f>
        <v>0</v>
      </c>
      <c r="F43" s="23">
        <f>'55 Degree Loads'!Q18</f>
        <v>0</v>
      </c>
      <c r="G43" s="23">
        <f>'55 Degree Loads'!R18</f>
        <v>0</v>
      </c>
      <c r="H43" s="23">
        <f>'55 Degree Loads'!S18</f>
        <v>0</v>
      </c>
      <c r="I43" s="24">
        <f>'55 Degree Loads'!T18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Loads'!P19</f>
        <v>0</v>
      </c>
      <c r="F44" s="23">
        <f>'55 Degree Loads'!Q19</f>
        <v>0</v>
      </c>
      <c r="G44" s="23">
        <f>'55 Degree Loads'!R19</f>
        <v>0</v>
      </c>
      <c r="H44" s="23">
        <f>'55 Degree Loads'!S19</f>
        <v>0</v>
      </c>
      <c r="I44" s="24">
        <f>'55 Degree Loads'!T19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Loads'!P20</f>
        <v>0</v>
      </c>
      <c r="F45" s="23">
        <f>'55 Degree Loads'!Q20</f>
        <v>0</v>
      </c>
      <c r="G45" s="23">
        <f>'55 Degree Loads'!R20</f>
        <v>0</v>
      </c>
      <c r="H45" s="23">
        <f>'55 Degree Loads'!S20</f>
        <v>0</v>
      </c>
      <c r="I45" s="24">
        <f>'55 Degree Loads'!T20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Loads'!P21</f>
        <v>0</v>
      </c>
      <c r="F46" s="23">
        <f>'55 Degree Loads'!Q21</f>
        <v>0</v>
      </c>
      <c r="G46" s="23">
        <f>'55 Degree Loads'!R21</f>
        <v>0</v>
      </c>
      <c r="H46" s="23">
        <f>'55 Degree Loads'!S21</f>
        <v>0</v>
      </c>
      <c r="I46" s="24">
        <f>'55 Degree Loads'!T21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9.83290591849258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28.475225722225353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Loads'!P22</f>
        <v>0</v>
      </c>
      <c r="F47" s="23">
        <f>'55 Degree Loads'!Q22</f>
        <v>0</v>
      </c>
      <c r="G47" s="23">
        <f>'55 Degree Loads'!R22</f>
        <v>0</v>
      </c>
      <c r="H47" s="23">
        <f>'55 Degree Loads'!S22</f>
        <v>0</v>
      </c>
      <c r="I47" s="24">
        <f>'55 Degree Loads'!T22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Loads'!P23</f>
        <v>0</v>
      </c>
      <c r="F48" s="23">
        <f>'55 Degree Loads'!Q23</f>
        <v>0</v>
      </c>
      <c r="G48" s="23">
        <f>'55 Degree Loads'!R23</f>
        <v>0</v>
      </c>
      <c r="H48" s="23">
        <f>'55 Degree Loads'!S23</f>
        <v>0</v>
      </c>
      <c r="I48" s="24">
        <f>'55 Degree Loads'!T23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50.400000000000006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Loads'!P24</f>
        <v>0</v>
      </c>
      <c r="F49" s="23">
        <f>'55 Degree Loads'!Q24</f>
        <v>0</v>
      </c>
      <c r="G49" s="23">
        <f>'55 Degree Loads'!R24</f>
        <v>0</v>
      </c>
      <c r="H49" s="23">
        <f>'55 Degree Loads'!S24</f>
        <v>0</v>
      </c>
      <c r="I49" s="24">
        <f>'55 Degree Loads'!T24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Loads'!P25</f>
        <v>0</v>
      </c>
      <c r="F50" s="23">
        <f>'55 Degree Loads'!Q25</f>
        <v>0</v>
      </c>
      <c r="G50" s="23">
        <f>'55 Degree Loads'!R25</f>
        <v>0</v>
      </c>
      <c r="H50" s="23">
        <f>'55 Degree Loads'!S25</f>
        <v>0</v>
      </c>
      <c r="I50" s="24">
        <f>'55 Degree Loads'!T25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50.400000000000006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Loads'!P26</f>
        <v>0</v>
      </c>
      <c r="F51" s="23">
        <f>'55 Degree Loads'!Q26</f>
        <v>0</v>
      </c>
      <c r="G51" s="23">
        <f>'55 Degree Loads'!R26</f>
        <v>0</v>
      </c>
      <c r="H51" s="23">
        <f>'55 Degree Loads'!S26</f>
        <v>0</v>
      </c>
      <c r="I51" s="24">
        <f>'55 Degree Loads'!T26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Loads'!P27</f>
        <v>0</v>
      </c>
      <c r="F52" s="23">
        <f>'55 Degree Loads'!Q27</f>
        <v>0</v>
      </c>
      <c r="G52" s="23">
        <f>'55 Degree Loads'!R27</f>
        <v>0</v>
      </c>
      <c r="H52" s="23">
        <f>'55 Degree Loads'!S27</f>
        <v>0</v>
      </c>
      <c r="I52" s="24">
        <f>'55 Degree Loads'!T27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112.5631456286218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Loads'!P28</f>
        <v>0</v>
      </c>
      <c r="F53" s="23">
        <f>'55 Degree Loads'!Q28</f>
        <v>0</v>
      </c>
      <c r="G53" s="23">
        <f>'55 Degree Loads'!R28</f>
        <v>0</v>
      </c>
      <c r="H53" s="23">
        <f>'55 Degree Loads'!S28</f>
        <v>0</v>
      </c>
      <c r="I53" s="24">
        <f>'55 Degree Loads'!T28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Loads'!P29</f>
        <v>0</v>
      </c>
      <c r="F54" s="23">
        <f>'55 Degree Loads'!Q29</f>
        <v>0</v>
      </c>
      <c r="G54" s="23">
        <f>'55 Degree Loads'!R29</f>
        <v>0</v>
      </c>
      <c r="H54" s="23">
        <f>'55 Degree Loads'!S29</f>
        <v>0</v>
      </c>
      <c r="I54" s="24">
        <f>'55 Degree Loads'!T29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Loads'!P30</f>
        <v>0</v>
      </c>
      <c r="F55" s="23">
        <f>'55 Degree Loads'!Q30</f>
        <v>0</v>
      </c>
      <c r="G55" s="23">
        <f>'55 Degree Loads'!R30</f>
        <v>0</v>
      </c>
      <c r="H55" s="23">
        <f>'55 Degree Loads'!S30</f>
        <v>0</v>
      </c>
      <c r="I55" s="24">
        <f>'55 Degree Loads'!T30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Loads'!P31</f>
        <v>0</v>
      </c>
      <c r="F56" s="23">
        <f>'55 Degree Loads'!Q31</f>
        <v>0</v>
      </c>
      <c r="G56" s="23">
        <f>'55 Degree Loads'!R31</f>
        <v>0</v>
      </c>
      <c r="H56" s="23">
        <f>'55 Degree Loads'!S31</f>
        <v>0</v>
      </c>
      <c r="I56" s="24">
        <f>'55 Degree Loads'!T31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41.517083097966292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Loads'!P32</f>
        <v>0</v>
      </c>
      <c r="F57" s="23">
        <f>'55 Degree Loads'!Q32</f>
        <v>0</v>
      </c>
      <c r="G57" s="23">
        <f>'55 Degree Loads'!R32</f>
        <v>0</v>
      </c>
      <c r="H57" s="23">
        <f>'55 Degree Loads'!S32</f>
        <v>0</v>
      </c>
      <c r="I57" s="24">
        <f>'55 Degree Loads'!T32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Loads'!P33</f>
        <v>0</v>
      </c>
      <c r="F58" s="23">
        <f>'55 Degree Loads'!Q33</f>
        <v>0</v>
      </c>
      <c r="G58" s="23">
        <f>'55 Degree Loads'!R33</f>
        <v>0</v>
      </c>
      <c r="H58" s="23">
        <f>'55 Degree Loads'!S33</f>
        <v>0</v>
      </c>
      <c r="I58" s="24">
        <f>'55 Degree Loads'!T33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213.86449846696422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241.49656896425032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Loads'!P34</f>
        <v>0</v>
      </c>
      <c r="F59" s="31">
        <f>'55 Degree Loads'!Q34</f>
        <v>0</v>
      </c>
      <c r="G59" s="31">
        <f>'55 Degree Loads'!R34</f>
        <v>0</v>
      </c>
      <c r="H59" s="31">
        <f>'55 Degree Loads'!S34</f>
        <v>0</v>
      </c>
      <c r="I59" s="32">
        <f>'55 Degree Loads'!T34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16.24221274941641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152.15969575826153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296.89256817739317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6.02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39.379649893878224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252.71096777640366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322.93499851956312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5.99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6.2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4.3729000000000005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5.8167999999999997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213.86449846696422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241.49656896425032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128.06257393231391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144.60872393068883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532.21768750000012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738.3051999999999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63.579619376023324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195.69176841451772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236.16730361958253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5552.8094515214434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679.33156984733705</v>
      </c>
    </row>
    <row r="90" spans="2:51" x14ac:dyDescent="0.25">
      <c r="B90" s="367" t="s">
        <v>390</v>
      </c>
      <c r="C90" s="368"/>
    </row>
    <row r="91" spans="2:51" ht="15.75" thickBot="1" x14ac:dyDescent="0.3">
      <c r="B91" s="369"/>
      <c r="C91" s="370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532.21768750000012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738.3051999999999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0.82021979486171759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0.87207332432437801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501.04796910161019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4.3729000000000005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9.3188240808333358</v>
      </c>
      <c r="H100" s="166" t="str">
        <f t="shared" si="3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5.4700000000000006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3.1114604610461889</v>
      </c>
      <c r="H101" s="159" t="str">
        <f t="shared" si="3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0.80782072685244644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0.64724889637282135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1.0635636860411946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1.0539627071160749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4.736753750000001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1.6685447284918389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9.3425796666666672E-2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1"/>
        <v>in</v>
      </c>
      <c r="E107" s="19" t="str">
        <f t="shared" si="2"/>
        <v>h/tw</v>
      </c>
      <c r="G107" s="211">
        <f t="shared" si="3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1.6233143053638803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1.6510350551715607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300.02872401294024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442.09892215568857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150.79957971131628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294.23872253065639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236.83768750000004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335.31579999999997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248.91683688369511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352.95282959025474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236.83768750000004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335.31579999999997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219.56983060579017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335.31579999999997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131.4789404825091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200.78790419161675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3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1.3777000000000001</v>
      </c>
      <c r="AM134" t="s">
        <v>270</v>
      </c>
      <c r="AN134">
        <f>AO12*AO13</f>
        <v>1.6120000000000001</v>
      </c>
      <c r="AW134" t="s">
        <v>270</v>
      </c>
      <c r="AX134">
        <f>AY12*AY13</f>
        <v>1.6120000000000001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23.782608695652176</v>
      </c>
      <c r="AM135" t="s">
        <v>186</v>
      </c>
      <c r="AN135">
        <f>AN32</f>
        <v>21.03846153846154</v>
      </c>
      <c r="AW135" t="s">
        <v>186</v>
      </c>
      <c r="AX135">
        <f>AX32</f>
        <v>21.03846153846154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24.749101796407189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28.95808383233533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7" t="s">
        <v>391</v>
      </c>
      <c r="C145" s="368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9"/>
      <c r="C146" s="370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55.954491017964081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78.944910179640715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296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4.3729000000000005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9.3188240808333358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5.99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3.1114604610461889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0.26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4.736753750000001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5.99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28.721482960833342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1.6685447284918389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9.5898106713967746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9.3425796666666672E-2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2.5628232598673386</v>
      </c>
      <c r="D161" t="str">
        <f t="shared" si="5"/>
        <v>in</v>
      </c>
      <c r="E161" s="19" t="str">
        <f t="shared" si="6"/>
        <v>h/tw</v>
      </c>
      <c r="G161" s="211">
        <f t="shared" si="7"/>
        <v>23.782608695652176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10.644353750000002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128.06257393231391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300.02872401294024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131.4789404825091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24.749101796407189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55.954491017964081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318.69322604790426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3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7" t="s">
        <v>392</v>
      </c>
      <c r="C194" s="368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9"/>
      <c r="C195" s="370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13.279850213333331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6.2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4.4119103698781839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0.26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0.36499999999999999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6.7063159999999993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6.02</v>
      </c>
      <c r="D207" t="str">
        <f t="shared" si="60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41.000898293333343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13.226096223655915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2.6549394458704163</v>
      </c>
      <c r="D210" t="str">
        <f t="shared" si="60"/>
        <v>in</v>
      </c>
      <c r="E210" s="19" t="str">
        <f t="shared" si="56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14.766103999999999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3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67" t="s">
        <v>393</v>
      </c>
      <c r="C243" s="368"/>
    </row>
    <row r="244" spans="2:8" ht="15.75" thickBot="1" x14ac:dyDescent="0.3">
      <c r="B244" s="369"/>
      <c r="C244" s="370"/>
    </row>
    <row r="248" spans="2:8" ht="15.75" thickBot="1" x14ac:dyDescent="0.3"/>
    <row r="249" spans="2:8" ht="15.75" thickBot="1" x14ac:dyDescent="0.3">
      <c r="B249" s="206" t="s">
        <v>350</v>
      </c>
      <c r="C249" s="230" t="s">
        <v>162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5.8167999999999997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13.279850213333331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6.2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4.4119103698781839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0.26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0.36499999999999999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6.7063159999999993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6.02</v>
      </c>
      <c r="D256" t="str">
        <f t="shared" si="64"/>
        <v>in</v>
      </c>
      <c r="E256" s="19" t="str">
        <f t="shared" si="61"/>
        <v>ho</v>
      </c>
      <c r="G256" s="211">
        <f>BD15</f>
        <v>5.835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41.000898293333343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1.7115365644520282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13.226096223655915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0.22934218166666664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2.6549394458704163</v>
      </c>
      <c r="D259" t="str">
        <f t="shared" si="64"/>
        <v>in</v>
      </c>
      <c r="E259" s="19" t="str">
        <f t="shared" si="61"/>
        <v>h/tw</v>
      </c>
      <c r="G259" s="211">
        <f>BD18</f>
        <v>21.03846153846154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14.766103999999999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5.4700000000000006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144.60872393068883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442.09892215568857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200.78790419161675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28.95808383233533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78.944910179640715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442.09892215568857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3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C63:E63"/>
    <mergeCell ref="C2:D2"/>
    <mergeCell ref="C6:D6"/>
    <mergeCell ref="C7:D7"/>
    <mergeCell ref="B9:I9"/>
    <mergeCell ref="B10:I10"/>
    <mergeCell ref="B35:I35"/>
    <mergeCell ref="B36:I36"/>
    <mergeCell ref="C61:E61"/>
    <mergeCell ref="C62:E62"/>
    <mergeCell ref="F6:G7"/>
    <mergeCell ref="C3:D4"/>
  </mergeCells>
  <conditionalFormatting sqref="I34:I35">
    <cfRule type="expression" dxfId="308" priority="94">
      <formula>ABS(I34)=MAX(ABS($I$12:$I$33),ABS($I$38:$I$59))</formula>
    </cfRule>
  </conditionalFormatting>
  <conditionalFormatting sqref="E34:I35">
    <cfRule type="expression" priority="93" stopIfTrue="1">
      <formula>E34=""</formula>
    </cfRule>
  </conditionalFormatting>
  <conditionalFormatting sqref="C132 C186 C235 C284">
    <cfRule type="cellIs" dxfId="307" priority="47" operator="greaterThan">
      <formula>1</formula>
    </cfRule>
  </conditionalFormatting>
  <conditionalFormatting sqref="E12:I33">
    <cfRule type="expression" dxfId="306" priority="46">
      <formula>ABS(E12)=MAX(ABS($E$12:$E$33),ABS($E$38:$E$59))</formula>
    </cfRule>
  </conditionalFormatting>
  <conditionalFormatting sqref="F12:F33">
    <cfRule type="expression" dxfId="305" priority="45">
      <formula>ABS(F12)=MAX(ABS($F$12:$F$33),ABS($F$38:$F$59))</formula>
    </cfRule>
  </conditionalFormatting>
  <conditionalFormatting sqref="G12:G33">
    <cfRule type="expression" dxfId="304" priority="44">
      <formula>ABS(G12)=MAX(ABS($G$12:$G$33),ABS($G$38:$G$59))</formula>
    </cfRule>
  </conditionalFormatting>
  <conditionalFormatting sqref="H12:H33">
    <cfRule type="expression" dxfId="303" priority="43">
      <formula>ABS(H12)=MAX(ABS($H$12:$H$33),ABS($H$38:$H$59))</formula>
    </cfRule>
  </conditionalFormatting>
  <conditionalFormatting sqref="I12:I33">
    <cfRule type="expression" dxfId="302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01" priority="40">
      <formula>ABS(E38)=MAX(ABS($E$12:$E$33),ABS($E$38:$E$59))</formula>
    </cfRule>
  </conditionalFormatting>
  <conditionalFormatting sqref="F38:F59">
    <cfRule type="expression" dxfId="300" priority="39">
      <formula>ABS(F38)=MAX(ABS($F$12:$F$33),ABS($F$38:$F$59))</formula>
    </cfRule>
  </conditionalFormatting>
  <conditionalFormatting sqref="G38:G59">
    <cfRule type="expression" dxfId="299" priority="38">
      <formula>ABS(G38)=MAX(ABS($G$12:$G$33),ABS($G$38:$G$59))</formula>
    </cfRule>
  </conditionalFormatting>
  <conditionalFormatting sqref="H38:H59">
    <cfRule type="expression" dxfId="298" priority="37">
      <formula>ABS(H38)=MAX(ABS($H$12:$H$33),ABS($H$38:$H$59))</formula>
    </cfRule>
  </conditionalFormatting>
  <conditionalFormatting sqref="I38:I59">
    <cfRule type="expression" dxfId="297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296" priority="29">
      <formula>$F$9="Zone 5"</formula>
    </cfRule>
    <cfRule type="expression" dxfId="295" priority="30">
      <formula>$F$9="Zone 4"</formula>
    </cfRule>
    <cfRule type="expression" dxfId="294" priority="31">
      <formula>$F$9="Zone 3"</formula>
    </cfRule>
    <cfRule type="expression" dxfId="293" priority="32">
      <formula>$F$9="Zone 2"</formula>
    </cfRule>
    <cfRule type="expression" dxfId="292" priority="33">
      <formula>$F$9="Zone 1"</formula>
    </cfRule>
    <cfRule type="expression" dxfId="291" priority="34">
      <formula>$F$9="Zone 1 - Drive"</formula>
    </cfRule>
  </conditionalFormatting>
  <conditionalFormatting sqref="Y41:Y150 AJ41:AJ150 AT41:AT150 BD41:BD150">
    <cfRule type="expression" dxfId="290" priority="28">
      <formula>Y41="Satisfactory"</formula>
    </cfRule>
  </conditionalFormatting>
  <conditionalFormatting sqref="AG4">
    <cfRule type="expression" dxfId="289" priority="22">
      <formula>$F$9="Zone 5"</formula>
    </cfRule>
    <cfRule type="expression" dxfId="288" priority="23">
      <formula>$F$9="Zone 4"</formula>
    </cfRule>
    <cfRule type="expression" dxfId="287" priority="24">
      <formula>$F$9="Zone 3"</formula>
    </cfRule>
    <cfRule type="expression" dxfId="286" priority="25">
      <formula>$F$9="Zone 2"</formula>
    </cfRule>
    <cfRule type="expression" dxfId="285" priority="26">
      <formula>$F$9="Zone 1"</formula>
    </cfRule>
    <cfRule type="expression" dxfId="284" priority="27">
      <formula>$F$9="Zone 1 - Drive"</formula>
    </cfRule>
  </conditionalFormatting>
  <conditionalFormatting sqref="AQ4">
    <cfRule type="expression" dxfId="283" priority="16">
      <formula>$F$9="Zone 5"</formula>
    </cfRule>
    <cfRule type="expression" dxfId="282" priority="17">
      <formula>$F$9="Zone 4"</formula>
    </cfRule>
    <cfRule type="expression" dxfId="281" priority="18">
      <formula>$F$9="Zone 3"</formula>
    </cfRule>
    <cfRule type="expression" dxfId="280" priority="19">
      <formula>$F$9="Zone 2"</formula>
    </cfRule>
    <cfRule type="expression" dxfId="279" priority="20">
      <formula>$F$9="Zone 1"</formula>
    </cfRule>
    <cfRule type="expression" dxfId="278" priority="21">
      <formula>$F$9="Zone 1 - Drive"</formula>
    </cfRule>
  </conditionalFormatting>
  <conditionalFormatting sqref="BA4">
    <cfRule type="expression" dxfId="277" priority="10">
      <formula>$F$9="Zone 5"</formula>
    </cfRule>
    <cfRule type="expression" dxfId="276" priority="11">
      <formula>$F$9="Zone 4"</formula>
    </cfRule>
    <cfRule type="expression" dxfId="275" priority="12">
      <formula>$F$9="Zone 3"</formula>
    </cfRule>
    <cfRule type="expression" dxfId="274" priority="13">
      <formula>$F$9="Zone 2"</formula>
    </cfRule>
    <cfRule type="expression" dxfId="273" priority="14">
      <formula>$F$9="Zone 1"</formula>
    </cfRule>
    <cfRule type="expression" dxfId="272" priority="15">
      <formula>$F$9="Zone 1 - Drive"</formula>
    </cfRule>
  </conditionalFormatting>
  <conditionalFormatting sqref="Y31:Y40 AJ31:AJ40 AT31:AT40 BD31:BD40">
    <cfRule type="expression" dxfId="271" priority="9">
      <formula>Y31="Satisfactory"</formula>
    </cfRule>
  </conditionalFormatting>
  <conditionalFormatting sqref="Y158:Y179">
    <cfRule type="top10" dxfId="270" priority="8" rank="1"/>
  </conditionalFormatting>
  <conditionalFormatting sqref="Y184:Y205">
    <cfRule type="top10" dxfId="269" priority="7" rank="1"/>
  </conditionalFormatting>
  <conditionalFormatting sqref="AJ158:AJ179">
    <cfRule type="top10" dxfId="268" priority="6" rank="1"/>
  </conditionalFormatting>
  <conditionalFormatting sqref="AJ184:AJ205">
    <cfRule type="top10" dxfId="267" priority="5" rank="1"/>
  </conditionalFormatting>
  <conditionalFormatting sqref="AT158:AT179">
    <cfRule type="top10" dxfId="266" priority="4" rank="1"/>
  </conditionalFormatting>
  <conditionalFormatting sqref="AT184:AT205">
    <cfRule type="top10" dxfId="265" priority="3" rank="1"/>
  </conditionalFormatting>
  <conditionalFormatting sqref="BD158:BD179">
    <cfRule type="top10" dxfId="264" priority="2" rank="1"/>
  </conditionalFormatting>
  <conditionalFormatting sqref="BD184:BD205">
    <cfRule type="top10" dxfId="263" priority="1" rank="1"/>
  </conditionalFormatting>
  <dataValidations count="1">
    <dataValidation type="list" allowBlank="1" showInputMessage="1" showErrorMessage="1" sqref="P17" xr:uid="{4B57C079-2250-4509-9262-E29ED40B1EA2}">
      <formula1>"No,Yes"</formula1>
    </dataValidation>
  </dataValidations>
  <pageMargins left="0.7" right="0.7" top="0.75" bottom="0.75" header="0.3" footer="0.3"/>
  <pageSetup scale="40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618E17-DDF1-4D7F-9F7B-0601F319AA0B}">
          <x14:formula1>
            <xm:f>Shapes!$A$2:$A$17</xm:f>
          </x14:formula1>
          <xm:sqref>C200 C97 C151 C249</xm:sqref>
        </x14:dataValidation>
        <x14:dataValidation type="list" allowBlank="1" showInputMessage="1" showErrorMessage="1" xr:uid="{FF329402-E6E6-4F9B-9F89-A0878B0B0868}">
          <x14:formula1>
            <xm:f>List!$D$2:$D$5</xm:f>
          </x14:formula1>
          <xm:sqref>P21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7C05A-7332-4B4E-8F93-7CE04AA0DE70}">
  <sheetPr codeName="Sheet34">
    <pageSetUpPr fitToPage="1"/>
  </sheetPr>
  <dimension ref="B2:BF284"/>
  <sheetViews>
    <sheetView showGridLines="0" view="pageBreakPreview" zoomScale="70" zoomScaleNormal="100" zoomScaleSheetLayoutView="70" workbookViewId="0">
      <selection activeCell="K21" sqref="K21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7" t="s">
        <v>101</v>
      </c>
      <c r="D3" s="368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69"/>
      <c r="D4" s="370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W6X20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3.9547929600000002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8.3722498051719185</v>
      </c>
      <c r="Z11" s="166" t="s">
        <v>173</v>
      </c>
      <c r="AC11" s="341" t="s">
        <v>171</v>
      </c>
      <c r="AD11" s="340"/>
      <c r="AE11" s="164">
        <f>2*(AE15*AE14)+((AE12-(2*AE14))*AE13)</f>
        <v>3.9547929600000002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8.3722498051719185</v>
      </c>
      <c r="AK11" s="166" t="s">
        <v>173</v>
      </c>
      <c r="AM11" s="341" t="s">
        <v>171</v>
      </c>
      <c r="AN11" s="340"/>
      <c r="AO11" s="164">
        <f>2*(AO15*AO14)+((AO12-(2*AO14))*AO13)</f>
        <v>5.3930289599999996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12.274338640417513</v>
      </c>
      <c r="AU11" s="166" t="s">
        <v>173</v>
      </c>
      <c r="AW11" s="341" t="s">
        <v>171</v>
      </c>
      <c r="AX11" s="340"/>
      <c r="AY11" s="164">
        <f>2*(AY15*AY14)+((AY12-(2*AY14))*AY13)</f>
        <v>5.3930289599999996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12.274338640417513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Loads'!P13</f>
        <v>0</v>
      </c>
      <c r="F12" s="21">
        <f>'0 Degree Loads'!Q13</f>
        <v>0</v>
      </c>
      <c r="G12" s="21">
        <f>'0 Degree Loads'!R13</f>
        <v>0</v>
      </c>
      <c r="H12" s="21">
        <f>'0 Degree Loads'!S13</f>
        <v>0</v>
      </c>
      <c r="I12" s="22">
        <f>'0 Degree Loads'!T13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INDEX(Shapes!$D$2:$D$17,MATCH(PROFILE_ZONE_3_STD,Shapes!$A$2:$A$17,0))-T9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INDEX(Shapes!$D$2:$D$17,MATCH(PROFILE_ZONE_3_1,Shapes!$A$2:$A$17,0))-AE9</f>
        <v>5.9664000000000001</v>
      </c>
      <c r="AF12" t="s">
        <v>170</v>
      </c>
      <c r="AG12" s="168"/>
      <c r="AH12" s="342" t="s">
        <v>405</v>
      </c>
      <c r="AI12" s="342"/>
      <c r="AJ12" s="8">
        <f>(2*AJ11)/AE15</f>
        <v>2.8064661454719491</v>
      </c>
      <c r="AK12" s="159" t="s">
        <v>175</v>
      </c>
      <c r="AM12" s="343" t="s">
        <v>174</v>
      </c>
      <c r="AN12" s="342"/>
      <c r="AO12" s="167">
        <f>INDEX(Shapes!$D$2:$D$17,MATCH(PROFILE_ZONE_3_2,Shapes!$A$2:$A$17,0))-AO9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INDEX(Shapes!$D$2:$D$17,MATCH(PROFILE_ZONE_3_3,Shapes!$A$2:$A$17,0))-AY9</f>
        <v>6.1764000000000001</v>
      </c>
      <c r="AZ12" t="s">
        <v>170</v>
      </c>
      <c r="BA12" s="168"/>
      <c r="BB12" s="342" t="s">
        <v>405</v>
      </c>
      <c r="BC12" s="342"/>
      <c r="BD12" s="8">
        <f>(2*BD11)/AY15</f>
        <v>4.0939025550055081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Loads'!P14</f>
        <v>0</v>
      </c>
      <c r="F13" s="23">
        <f>'0 Degree Loads'!Q14</f>
        <v>0</v>
      </c>
      <c r="G13" s="23">
        <f>'0 Degree Loads'!R14</f>
        <v>0</v>
      </c>
      <c r="H13" s="23">
        <f>'0 Degree Loads'!S14</f>
        <v>0</v>
      </c>
      <c r="I13" s="24">
        <f>'0 Degree Loads'!T14</f>
        <v>0</v>
      </c>
      <c r="R13" s="343" t="s">
        <v>176</v>
      </c>
      <c r="S13" s="342"/>
      <c r="T13" s="167">
        <f>INDEX(Shapes!$H$2:$H$17,MATCH(PROFILE_ZONE_3_STD,Shapes!$A$2:$A$17,0))-T9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INDEX(Shapes!$Y$2:$Y$17,MATCH(PROFILE_ZONE_3_STD,Shapes!$A$2:$A$17,0))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INDEX(Shapes!$H$2:$H$17,MATCH(PROFILE_ZONE_3_1,Shapes!$A$2:$A$17,0))-AE9</f>
        <v>0.2064</v>
      </c>
      <c r="AF13" t="s">
        <v>170</v>
      </c>
      <c r="AG13" s="168"/>
      <c r="AH13" s="342" t="s">
        <v>177</v>
      </c>
      <c r="AI13" s="342"/>
      <c r="AJ13" s="8">
        <f>INDEX(Shapes!$Y$2:$Y$17,MATCH(PROFILE_ZONE_3_1,Shapes!$A$2:$A$17,0))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INDEX(Shapes!$H$2:$H$17,MATCH(PROFILE_ZONE_3_2,Shapes!$A$2:$A$17,0))-AO9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INDEX(Shapes!$Y$2:$Y$17,MATCH(PROFILE_ZONE_3_2,Shapes!$A$2:$A$17,0))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INDEX(Shapes!$H$2:$H$17,MATCH(PROFILE_ZONE_3_3,Shapes!$A$2:$A$17,0))-AY9</f>
        <v>0.2364</v>
      </c>
      <c r="AZ13" t="s">
        <v>170</v>
      </c>
      <c r="BA13" s="168"/>
      <c r="BB13" s="342" t="s">
        <v>177</v>
      </c>
      <c r="BC13" s="342"/>
      <c r="BD13" s="8">
        <f>INDEX(Shapes!$Y$2:$Y$17,MATCH(PROFILE_ZONE_3_3,Shapes!$A$2:$A$17,0))</f>
        <v>1.5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Loads'!P15</f>
        <v>0</v>
      </c>
      <c r="F14" s="23">
        <f>'0 Degree Loads'!Q15</f>
        <v>0</v>
      </c>
      <c r="G14" s="23">
        <f>'0 Degree Loads'!R15</f>
        <v>0</v>
      </c>
      <c r="H14" s="23">
        <f>'0 Degree Loads'!S15</f>
        <v>0</v>
      </c>
      <c r="I14" s="24">
        <f>'0 Degree Loads'!T15</f>
        <v>0</v>
      </c>
      <c r="R14" s="343" t="s">
        <v>178</v>
      </c>
      <c r="S14" s="342"/>
      <c r="T14" s="167">
        <f>INDEX(Shapes!$K$2:$K$17,MATCH(PROFILE_ZONE_3_STD,Shapes!$A$2:$A$17,0))-T9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INDEX(Shapes!$K$2:$K$17,MATCH(PROFILE_ZONE_3_1,Shapes!$A$2:$A$17,0))-AE9</f>
        <v>0.2364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4.2661833615360001</v>
      </c>
      <c r="AK14" s="159" t="s">
        <v>175</v>
      </c>
      <c r="AM14" s="343" t="s">
        <v>178</v>
      </c>
      <c r="AN14" s="342"/>
      <c r="AO14" s="167">
        <f>INDEX(Shapes!$K$2:$K$17,MATCH(PROFILE_ZONE_3_2,Shapes!$A$2:$A$17,0))-AO9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INDEX(Shapes!$K$2:$K$17,MATCH(PROFILE_ZONE_3_3,Shapes!$A$2:$A$17,0))-AY9</f>
        <v>0.34139999999999998</v>
      </c>
      <c r="AZ14" t="s">
        <v>170</v>
      </c>
      <c r="BA14" s="168"/>
      <c r="BB14" s="342" t="s">
        <v>406</v>
      </c>
      <c r="BC14" s="342"/>
      <c r="BD14" s="8">
        <f>((AY15^2*AY14)/2)+((AY13^2)*(AY20))/4</f>
        <v>6.2145803763359986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Loads'!P16</f>
        <v>0</v>
      </c>
      <c r="F15" s="23">
        <f>'0 Degree Loads'!Q16</f>
        <v>0</v>
      </c>
      <c r="G15" s="23">
        <f>'0 Degree Loads'!R16</f>
        <v>0</v>
      </c>
      <c r="H15" s="23">
        <f>'0 Degree Loads'!S16</f>
        <v>0</v>
      </c>
      <c r="I15" s="24">
        <f>'0 Degree Loads'!T16</f>
        <v>0</v>
      </c>
      <c r="R15" s="343" t="s">
        <v>179</v>
      </c>
      <c r="S15" s="342"/>
      <c r="T15" s="167">
        <f>INDEX(Shapes!$F$2:$F$17,MATCH(PROFILE_ZONE_3_STD,Shapes!$A$2:$A$17,0))-T9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INDEX(Shapes!$F$2:$F$17,MATCH(PROFILE_ZONE_3_1,Shapes!$A$2:$A$17,0))-AE9</f>
        <v>5.9664000000000001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INDEX(Shapes!$F$2:$F$17,MATCH(PROFILE_ZONE_3_2,Shapes!$A$2:$A$17,0))-AO9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INDEX(Shapes!$F$2:$F$17,MATCH(PROFILE_ZONE_3_3,Shapes!$A$2:$A$17,0))-AY9</f>
        <v>5.9963999999999995</v>
      </c>
      <c r="AZ15" t="s">
        <v>170</v>
      </c>
      <c r="BA15" s="168"/>
      <c r="BB15" s="342" t="s">
        <v>180</v>
      </c>
      <c r="BC15" s="342"/>
      <c r="BD15" s="167">
        <f>AY12-(AY14)</f>
        <v>5.835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Loads'!P17</f>
        <v>0</v>
      </c>
      <c r="F16" s="23">
        <f>'0 Degree Loads'!Q17</f>
        <v>0</v>
      </c>
      <c r="G16" s="23">
        <f>'0 Degree Loads'!R17</f>
        <v>0</v>
      </c>
      <c r="H16" s="23">
        <f>'0 Degree Loads'!S17</f>
        <v>0</v>
      </c>
      <c r="I16" s="24">
        <f>'0 Degree Loads'!T17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26.019505242729679</v>
      </c>
      <c r="AF16" t="s">
        <v>173</v>
      </c>
      <c r="AG16" s="168"/>
      <c r="AH16" s="342" t="s">
        <v>182</v>
      </c>
      <c r="AI16" s="342"/>
      <c r="AJ16" s="8">
        <f>SQRT((AJ11*AJ15)/(2*AE17))</f>
        <v>1.6583457046042405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38.156171840207598</v>
      </c>
      <c r="AZ16" t="s">
        <v>173</v>
      </c>
      <c r="BA16" s="168"/>
      <c r="BB16" s="342" t="s">
        <v>182</v>
      </c>
      <c r="BC16" s="342"/>
      <c r="BD16" s="8">
        <f>SQRT((BD11*BD15)/(2*AY17))</f>
        <v>1.7024516792693745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Loads'!P18</f>
        <v>0</v>
      </c>
      <c r="F17" s="23">
        <f>'0 Degree Loads'!Q18</f>
        <v>0</v>
      </c>
      <c r="G17" s="23">
        <f>'0 Degree Loads'!R18</f>
        <v>0</v>
      </c>
      <c r="H17" s="23">
        <f>'0 Degree Loads'!S18</f>
        <v>0</v>
      </c>
      <c r="I17" s="24">
        <f>'0 Degree Loads'!T18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8.7220116796492615</v>
      </c>
      <c r="AF17" t="s">
        <v>175</v>
      </c>
      <c r="AG17" s="168"/>
      <c r="AH17" s="342" t="s">
        <v>184</v>
      </c>
      <c r="AI17" s="342"/>
      <c r="AJ17" s="8">
        <f>((2*AE15*AE14^3)+(AJ15*AE13^3))/3</f>
        <v>6.9343208049254396E-2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12.355473039378149</v>
      </c>
      <c r="AZ17" t="s">
        <v>175</v>
      </c>
      <c r="BA17" s="168"/>
      <c r="BB17" s="342" t="s">
        <v>184</v>
      </c>
      <c r="BC17" s="342"/>
      <c r="BD17" s="8">
        <f>((2*AY15*AY14^3)+(BD15*AY13^3))/3</f>
        <v>0.18476638096141437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Loads'!P19</f>
        <v>0</v>
      </c>
      <c r="F18" s="23">
        <f>'0 Degree Loads'!Q19</f>
        <v>0</v>
      </c>
      <c r="G18" s="23">
        <f>'0 Degree Loads'!R19</f>
        <v>0</v>
      </c>
      <c r="H18" s="23">
        <f>'0 Degree Loads'!S19</f>
        <v>0</v>
      </c>
      <c r="I18" s="24">
        <f>'0 Degree Loads'!T19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2.5650016034267842</v>
      </c>
      <c r="AF18" t="s">
        <v>170</v>
      </c>
      <c r="AG18" s="168"/>
      <c r="AH18" s="342" t="s">
        <v>186</v>
      </c>
      <c r="AI18" s="342"/>
      <c r="AJ18" s="8">
        <f>AE20/AE13</f>
        <v>26.61627906976744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2.6599043628066652</v>
      </c>
      <c r="AZ18" t="s">
        <v>170</v>
      </c>
      <c r="BA18" s="168"/>
      <c r="BB18" s="342" t="s">
        <v>186</v>
      </c>
      <c r="BC18" s="342"/>
      <c r="BD18" s="8">
        <f>AY20/AY13</f>
        <v>23.238578680203045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Loads'!P20</f>
        <v>0</v>
      </c>
      <c r="F19" s="23">
        <f>'0 Degree Loads'!Q20</f>
        <v>0</v>
      </c>
      <c r="G19" s="23">
        <f>'0 Degree Loads'!R20</f>
        <v>0</v>
      </c>
      <c r="H19" s="23">
        <f>'0 Degree Loads'!S20</f>
        <v>0</v>
      </c>
      <c r="I19" s="24">
        <f>'0 Degree Loads'!T20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9.6391878543360008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13.728859332336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Loads'!P21</f>
        <v>0</v>
      </c>
      <c r="F20" s="23">
        <f>'0 Degree Loads'!Q21</f>
        <v>0</v>
      </c>
      <c r="G20" s="23">
        <f>'0 Degree Loads'!R21</f>
        <v>0</v>
      </c>
      <c r="H20" s="23">
        <f>'0 Degree Loads'!S21</f>
        <v>0</v>
      </c>
      <c r="I20" s="24">
        <f>'0 Degree Loads'!T21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Loads'!P22</f>
        <v>0</v>
      </c>
      <c r="F21" s="23">
        <f>'0 Degree Loads'!Q22</f>
        <v>0</v>
      </c>
      <c r="G21" s="23">
        <f>'0 Degree Loads'!R22</f>
        <v>0</v>
      </c>
      <c r="H21" s="23">
        <f>'0 Degree Loads'!S22</f>
        <v>0</v>
      </c>
      <c r="I21" s="24">
        <f>'0 Degree Loads'!T22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Loads'!P23</f>
        <v>0</v>
      </c>
      <c r="F22" s="23">
        <f>'0 Degree Loads'!Q23</f>
        <v>0</v>
      </c>
      <c r="G22" s="23">
        <f>'0 Degree Loads'!R23</f>
        <v>0</v>
      </c>
      <c r="H22" s="23">
        <f>'0 Degree Loads'!S23</f>
        <v>0</v>
      </c>
      <c r="I22" s="24">
        <f>'0 Degree Loads'!T23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Loads'!P24</f>
        <v>0</v>
      </c>
      <c r="F23" s="23">
        <f>'0 Degree Loads'!Q24</f>
        <v>0</v>
      </c>
      <c r="G23" s="23">
        <f>'0 Degree Loads'!R24</f>
        <v>0</v>
      </c>
      <c r="H23" s="23">
        <f>'0 Degree Loads'!S24</f>
        <v>0</v>
      </c>
      <c r="I23" s="24">
        <f>'0 Degree Loads'!T24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Loads'!P25</f>
        <v>0</v>
      </c>
      <c r="F24" s="23">
        <f>'0 Degree Loads'!Q25</f>
        <v>0</v>
      </c>
      <c r="G24" s="23">
        <f>'0 Degree Loads'!R25</f>
        <v>0</v>
      </c>
      <c r="H24" s="23">
        <f>'0 Degree Loads'!S25</f>
        <v>0</v>
      </c>
      <c r="I24" s="24">
        <f>'0 Degree Loads'!T25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Loads'!P26</f>
        <v>0</v>
      </c>
      <c r="F25" s="23">
        <f>'0 Degree Loads'!Q26</f>
        <v>0</v>
      </c>
      <c r="G25" s="23">
        <f>'0 Degree Loads'!R26</f>
        <v>0</v>
      </c>
      <c r="H25" s="23">
        <f>'0 Degree Loads'!S26</f>
        <v>0</v>
      </c>
      <c r="I25" s="24">
        <f>'0 Degree Loads'!T26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Loads'!P27</f>
        <v>0</v>
      </c>
      <c r="F26" s="23">
        <f>'0 Degree Loads'!Q27</f>
        <v>0</v>
      </c>
      <c r="G26" s="23">
        <f>'0 Degree Loads'!R27</f>
        <v>0</v>
      </c>
      <c r="H26" s="23">
        <f>'0 Degree Loads'!S27</f>
        <v>0</v>
      </c>
      <c r="I26" s="24">
        <f>'0 Degree Loads'!T27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Loads'!P28</f>
        <v>0</v>
      </c>
      <c r="F27" s="23">
        <f>'0 Degree Loads'!Q28</f>
        <v>0</v>
      </c>
      <c r="G27" s="23">
        <f>'0 Degree Loads'!R28</f>
        <v>0</v>
      </c>
      <c r="H27" s="23">
        <f>'0 Degree Loads'!S28</f>
        <v>0</v>
      </c>
      <c r="I27" s="24">
        <f>'0 Degree Loads'!T28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Loads'!P29</f>
        <v>0</v>
      </c>
      <c r="F28" s="23">
        <f>'0 Degree Loads'!Q29</f>
        <v>0</v>
      </c>
      <c r="G28" s="23">
        <f>'0 Degree Loads'!R29</f>
        <v>0</v>
      </c>
      <c r="H28" s="23">
        <f>'0 Degree Loads'!S29</f>
        <v>0</v>
      </c>
      <c r="I28" s="24">
        <f>'0 Degree Loads'!T29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Loads'!P30</f>
        <v>0</v>
      </c>
      <c r="F29" s="23">
        <f>'0 Degree Loads'!Q30</f>
        <v>0</v>
      </c>
      <c r="G29" s="23">
        <f>'0 Degree Loads'!R30</f>
        <v>0</v>
      </c>
      <c r="H29" s="23">
        <f>'0 Degree Loads'!S30</f>
        <v>0</v>
      </c>
      <c r="I29" s="24">
        <f>'0 Degree Loads'!T30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12.619289340101524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8.7820738137082603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Loads'!P31</f>
        <v>0</v>
      </c>
      <c r="F30" s="23">
        <f>'0 Degree Loads'!Q31</f>
        <v>0</v>
      </c>
      <c r="G30" s="23">
        <f>'0 Degree Loads'!R31</f>
        <v>0</v>
      </c>
      <c r="H30" s="23">
        <f>'0 Degree Loads'!S31</f>
        <v>0</v>
      </c>
      <c r="I30" s="24">
        <f>'0 Degree Loads'!T31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Loads'!P32</f>
        <v>0</v>
      </c>
      <c r="F31" s="23">
        <f>'0 Degree Loads'!Q32</f>
        <v>0</v>
      </c>
      <c r="G31" s="23">
        <f>'0 Degree Loads'!R32</f>
        <v>0</v>
      </c>
      <c r="H31" s="23">
        <f>'0 Degree Loads'!S32</f>
        <v>0</v>
      </c>
      <c r="I31" s="24">
        <f>'0 Degree Loads'!T32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Loads'!P33</f>
        <v>0</v>
      </c>
      <c r="F32" s="23">
        <f>'0 Degree Loads'!Q33</f>
        <v>0</v>
      </c>
      <c r="G32" s="23">
        <f>'0 Degree Loads'!R33</f>
        <v>0</v>
      </c>
      <c r="H32" s="23">
        <f>'0 Degree Loads'!S33</f>
        <v>0</v>
      </c>
      <c r="I32" s="24">
        <f>'0 Degree Loads'!T33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26.61627906976744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23.238578680203045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Loads'!P34</f>
        <v>0</v>
      </c>
      <c r="F33" s="31">
        <f>'0 Degree Loads'!Q34</f>
        <v>0</v>
      </c>
      <c r="G33" s="31">
        <f>'0 Degree Loads'!R34</f>
        <v>0</v>
      </c>
      <c r="H33" s="31">
        <f>'0 Degree Loads'!S34</f>
        <v>0</v>
      </c>
      <c r="I33" s="32">
        <f>'0 Degree Loads'!T34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12.619289340101524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8.7820738137082603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Loads'!P13</f>
        <v>0</v>
      </c>
      <c r="F38" s="21">
        <f>'55 Degree Loads'!Q13</f>
        <v>0</v>
      </c>
      <c r="G38" s="21">
        <f>'55 Degree Loads'!R13</f>
        <v>0</v>
      </c>
      <c r="H38" s="21">
        <f>'55 Degree Loads'!S13</f>
        <v>0</v>
      </c>
      <c r="I38" s="22">
        <f>'55 Degree Loads'!T13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Loads'!P14</f>
        <v>0</v>
      </c>
      <c r="F39" s="23">
        <f>'55 Degree Loads'!Q14</f>
        <v>0</v>
      </c>
      <c r="G39" s="23">
        <f>'55 Degree Loads'!R14</f>
        <v>0</v>
      </c>
      <c r="H39" s="23">
        <f>'55 Degree Loads'!S14</f>
        <v>0</v>
      </c>
      <c r="I39" s="24">
        <f>'55 Degree Loads'!T14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26.61627906976744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23.238578680203045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Loads'!P15</f>
        <v>0</v>
      </c>
      <c r="F40" s="23">
        <f>'55 Degree Loads'!Q15</f>
        <v>0</v>
      </c>
      <c r="G40" s="23">
        <f>'55 Degree Loads'!R15</f>
        <v>0</v>
      </c>
      <c r="H40" s="23">
        <f>'55 Degree Loads'!S15</f>
        <v>0</v>
      </c>
      <c r="I40" s="24">
        <f>'55 Degree Loads'!T15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Loads'!P16</f>
        <v>0</v>
      </c>
      <c r="F41" s="23">
        <f>'55 Degree Loads'!Q16</f>
        <v>0</v>
      </c>
      <c r="G41" s="23">
        <f>'55 Degree Loads'!R16</f>
        <v>0</v>
      </c>
      <c r="H41" s="23">
        <f>'55 Degree Loads'!S16</f>
        <v>0</v>
      </c>
      <c r="I41" s="24">
        <f>'55 Degree Loads'!T16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Loads'!P17</f>
        <v>0</v>
      </c>
      <c r="F42" s="23">
        <f>'55 Degree Loads'!Q17</f>
        <v>0</v>
      </c>
      <c r="G42" s="23">
        <f>'55 Degree Loads'!R17</f>
        <v>0</v>
      </c>
      <c r="H42" s="23">
        <f>'55 Degree Loads'!S17</f>
        <v>0</v>
      </c>
      <c r="I42" s="24">
        <f>'55 Degree Loads'!T17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Loads'!P18</f>
        <v>0</v>
      </c>
      <c r="F43" s="23">
        <f>'55 Degree Loads'!Q18</f>
        <v>0</v>
      </c>
      <c r="G43" s="23">
        <f>'55 Degree Loads'!R18</f>
        <v>0</v>
      </c>
      <c r="H43" s="23">
        <f>'55 Degree Loads'!S18</f>
        <v>0</v>
      </c>
      <c r="I43" s="24">
        <f>'55 Degree Loads'!T18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Loads'!P19</f>
        <v>0</v>
      </c>
      <c r="F44" s="23">
        <f>'55 Degree Loads'!Q19</f>
        <v>0</v>
      </c>
      <c r="G44" s="23">
        <f>'55 Degree Loads'!R19</f>
        <v>0</v>
      </c>
      <c r="H44" s="23">
        <f>'55 Degree Loads'!S19</f>
        <v>0</v>
      </c>
      <c r="I44" s="24">
        <f>'55 Degree Loads'!T19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Loads'!P20</f>
        <v>0</v>
      </c>
      <c r="F45" s="23">
        <f>'55 Degree Loads'!Q20</f>
        <v>0</v>
      </c>
      <c r="G45" s="23">
        <f>'55 Degree Loads'!R20</f>
        <v>0</v>
      </c>
      <c r="H45" s="23">
        <f>'55 Degree Loads'!S20</f>
        <v>0</v>
      </c>
      <c r="I45" s="24">
        <f>'55 Degree Loads'!T20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Loads'!P21</f>
        <v>0</v>
      </c>
      <c r="F46" s="23">
        <f>'55 Degree Loads'!Q21</f>
        <v>0</v>
      </c>
      <c r="G46" s="23">
        <f>'55 Degree Loads'!R21</f>
        <v>0</v>
      </c>
      <c r="H46" s="23">
        <f>'55 Degree Loads'!S21</f>
        <v>0</v>
      </c>
      <c r="I46" s="24">
        <f>'55 Degree Loads'!T21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9.8245552620058305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28.422074514073415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Loads'!P22</f>
        <v>0</v>
      </c>
      <c r="F47" s="23">
        <f>'55 Degree Loads'!Q22</f>
        <v>0</v>
      </c>
      <c r="G47" s="23">
        <f>'55 Degree Loads'!R22</f>
        <v>0</v>
      </c>
      <c r="H47" s="23">
        <f>'55 Degree Loads'!S22</f>
        <v>0</v>
      </c>
      <c r="I47" s="24">
        <f>'55 Degree Loads'!T22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Loads'!P23</f>
        <v>0</v>
      </c>
      <c r="F48" s="23">
        <f>'55 Degree Loads'!Q23</f>
        <v>0</v>
      </c>
      <c r="G48" s="23">
        <f>'55 Degree Loads'!R23</f>
        <v>0</v>
      </c>
      <c r="H48" s="23">
        <f>'55 Degree Loads'!S23</f>
        <v>0</v>
      </c>
      <c r="I48" s="24">
        <f>'55 Degree Loads'!T23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50.400000000000006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Loads'!P24</f>
        <v>0</v>
      </c>
      <c r="F49" s="23">
        <f>'55 Degree Loads'!Q24</f>
        <v>0</v>
      </c>
      <c r="G49" s="23">
        <f>'55 Degree Loads'!R24</f>
        <v>0</v>
      </c>
      <c r="H49" s="23">
        <f>'55 Degree Loads'!S24</f>
        <v>0</v>
      </c>
      <c r="I49" s="24">
        <f>'55 Degree Loads'!T24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Loads'!P25</f>
        <v>0</v>
      </c>
      <c r="F50" s="23">
        <f>'55 Degree Loads'!Q25</f>
        <v>0</v>
      </c>
      <c r="G50" s="23">
        <f>'55 Degree Loads'!R25</f>
        <v>0</v>
      </c>
      <c r="H50" s="23">
        <f>'55 Degree Loads'!S25</f>
        <v>0</v>
      </c>
      <c r="I50" s="24">
        <f>'55 Degree Loads'!T25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50.400000000000006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Loads'!P26</f>
        <v>0</v>
      </c>
      <c r="F51" s="23">
        <f>'55 Degree Loads'!Q26</f>
        <v>0</v>
      </c>
      <c r="G51" s="23">
        <f>'55 Degree Loads'!R26</f>
        <v>0</v>
      </c>
      <c r="H51" s="23">
        <f>'55 Degree Loads'!S26</f>
        <v>0</v>
      </c>
      <c r="I51" s="24">
        <f>'55 Degree Loads'!T26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Loads'!P27</f>
        <v>0</v>
      </c>
      <c r="F52" s="23">
        <f>'55 Degree Loads'!Q27</f>
        <v>0</v>
      </c>
      <c r="G52" s="23">
        <f>'55 Degree Loads'!R27</f>
        <v>0</v>
      </c>
      <c r="H52" s="23">
        <f>'55 Degree Loads'!S27</f>
        <v>0</v>
      </c>
      <c r="I52" s="24">
        <f>'55 Degree Loads'!T27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112.5631456286218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Loads'!P28</f>
        <v>0</v>
      </c>
      <c r="F53" s="23">
        <f>'55 Degree Loads'!Q28</f>
        <v>0</v>
      </c>
      <c r="G53" s="23">
        <f>'55 Degree Loads'!R28</f>
        <v>0</v>
      </c>
      <c r="H53" s="23">
        <f>'55 Degree Loads'!S28</f>
        <v>0</v>
      </c>
      <c r="I53" s="24">
        <f>'55 Degree Loads'!T28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Loads'!P29</f>
        <v>0</v>
      </c>
      <c r="F54" s="23">
        <f>'55 Degree Loads'!Q29</f>
        <v>0</v>
      </c>
      <c r="G54" s="23">
        <f>'55 Degree Loads'!R29</f>
        <v>0</v>
      </c>
      <c r="H54" s="23">
        <f>'55 Degree Loads'!S29</f>
        <v>0</v>
      </c>
      <c r="I54" s="24">
        <f>'55 Degree Loads'!T29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Loads'!P30</f>
        <v>0</v>
      </c>
      <c r="F55" s="23">
        <f>'55 Degree Loads'!Q30</f>
        <v>0</v>
      </c>
      <c r="G55" s="23">
        <f>'55 Degree Loads'!R30</f>
        <v>0</v>
      </c>
      <c r="H55" s="23">
        <f>'55 Degree Loads'!S30</f>
        <v>0</v>
      </c>
      <c r="I55" s="24">
        <f>'55 Degree Loads'!T30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Loads'!P31</f>
        <v>0</v>
      </c>
      <c r="F56" s="23">
        <f>'55 Degree Loads'!Q31</f>
        <v>0</v>
      </c>
      <c r="G56" s="23">
        <f>'55 Degree Loads'!R31</f>
        <v>0</v>
      </c>
      <c r="H56" s="23">
        <f>'55 Degree Loads'!S31</f>
        <v>0</v>
      </c>
      <c r="I56" s="24">
        <f>'55 Degree Loads'!T31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41.517083097966292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Loads'!P32</f>
        <v>0</v>
      </c>
      <c r="F57" s="23">
        <f>'55 Degree Loads'!Q32</f>
        <v>0</v>
      </c>
      <c r="G57" s="23">
        <f>'55 Degree Loads'!R32</f>
        <v>0</v>
      </c>
      <c r="H57" s="23">
        <f>'55 Degree Loads'!S32</f>
        <v>0</v>
      </c>
      <c r="I57" s="24">
        <f>'55 Degree Loads'!T32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Loads'!P33</f>
        <v>0</v>
      </c>
      <c r="F58" s="23">
        <f>'55 Degree Loads'!Q33</f>
        <v>0</v>
      </c>
      <c r="G58" s="23">
        <f>'55 Degree Loads'!R33</f>
        <v>0</v>
      </c>
      <c r="H58" s="23">
        <f>'55 Degree Loads'!S33</f>
        <v>0</v>
      </c>
      <c r="I58" s="24">
        <f>'55 Degree Loads'!T33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193.41622560110702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223.90283148205873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Loads'!P34</f>
        <v>0</v>
      </c>
      <c r="F59" s="31">
        <f>'55 Degree Loads'!Q34</f>
        <v>0</v>
      </c>
      <c r="G59" s="31">
        <f>'55 Degree Loads'!R34</f>
        <v>0</v>
      </c>
      <c r="H59" s="31">
        <f>'55 Degree Loads'!S34</f>
        <v>0</v>
      </c>
      <c r="I59" s="32">
        <f>'55 Degree Loads'!T34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16.24221274941641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126.78760333312403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261.78961995775973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5.9664000000000001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5.9963999999999995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39.379649893878224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201.7661879093223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264.68171939470284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5.9664000000000001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6.1764000000000001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3.9547929600000002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5.3930289599999996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193.41622560110702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223.90283148205873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128.94415040073801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149.26855432137248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481.95939271680004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686.44296661680005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63.579619376023324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185.99254567288165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223.70899132631803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5481.8842383123028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668.11429593213018</v>
      </c>
    </row>
    <row r="90" spans="2:51" x14ac:dyDescent="0.25">
      <c r="B90" s="367" t="s">
        <v>390</v>
      </c>
      <c r="C90" s="368"/>
    </row>
    <row r="91" spans="2:51" ht="15.75" thickBot="1" x14ac:dyDescent="0.3">
      <c r="B91" s="369"/>
      <c r="C91" s="370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481.95939271680004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686.44296661680005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0.77532952168153202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0.82976518756327555</v>
      </c>
    </row>
    <row r="97" spans="2:51" ht="15.75" thickBot="1" x14ac:dyDescent="0.3">
      <c r="B97" s="206" t="s">
        <v>350</v>
      </c>
      <c r="C97" s="230" t="str">
        <f>'IDLER REACTIONS Zone 3'!C97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440.92552230614518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0.8039089969820844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0.63438133178676981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1.0617267318152741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1.0520328750946488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1.6173834273407037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1.6461569116644132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293.95034820409677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457.62864441120001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125.65428183831061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259.44955045871228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213.30916807680001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310.72901881679991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224.51729163775593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327.51220440044062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213.30916807680001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310.72901881679991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190.4972994772306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310.72901881679991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126.99819965148707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207.15267921119994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1.2314649600000001</v>
      </c>
      <c r="AM134" t="s">
        <v>270</v>
      </c>
      <c r="AN134">
        <f>AO12*AO13</f>
        <v>1.4601009600000001</v>
      </c>
      <c r="AW134" t="s">
        <v>270</v>
      </c>
      <c r="AX134">
        <f>AY12*AY13</f>
        <v>1.4601009600000001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26.61627906976744</v>
      </c>
      <c r="AM135" t="s">
        <v>186</v>
      </c>
      <c r="AN135">
        <f>AN32</f>
        <v>23.238578680203045</v>
      </c>
      <c r="AW135" t="s">
        <v>186</v>
      </c>
      <c r="AX135">
        <f>AX32</f>
        <v>23.238578680203045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24.629299200000002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29.202019200000006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7" t="s">
        <v>391</v>
      </c>
      <c r="C145" s="368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9"/>
      <c r="C146" s="370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56.418278400000013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81.886838400000002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3'!C151</f>
        <v>W6X15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3.9547929600000002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8.3722498051719185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5.9664000000000001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2.8064661454719491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0.2064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0.2364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4.2661833615360001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5.9664000000000001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26.019505242729679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1.6583457046042405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8.7220116796492615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6.9343208049254396E-2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2.5650016034267842</v>
      </c>
      <c r="D161" t="str">
        <f t="shared" si="5"/>
        <v>in</v>
      </c>
      <c r="E161" s="19" t="str">
        <f t="shared" si="6"/>
        <v>h/tw</v>
      </c>
      <c r="G161" s="211">
        <f t="shared" si="7"/>
        <v>26.61627906976744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9.6391878543360008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128.94415040073801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293.95034820409677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126.99819965148707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24.629299200000002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56.418278400000013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288.59843875257491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7" t="s">
        <v>392</v>
      </c>
      <c r="C194" s="368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9"/>
      <c r="C195" s="370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3'!C200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67" t="s">
        <v>393</v>
      </c>
      <c r="C243" s="368"/>
    </row>
    <row r="244" spans="2:8" ht="15.75" thickBot="1" x14ac:dyDescent="0.3">
      <c r="B244" s="369"/>
      <c r="C244" s="370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3'!C249</f>
        <v>W6X20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5.3930289599999996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12.274338640417513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6.1764000000000001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4.0939025550055081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0.2364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0.34139999999999998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6.2145803763359986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5.9963999999999995</v>
      </c>
      <c r="D256" t="str">
        <f t="shared" si="63"/>
        <v>in</v>
      </c>
      <c r="E256" s="19" t="str">
        <f t="shared" si="60"/>
        <v>ho</v>
      </c>
      <c r="G256" s="211">
        <f>BD15</f>
        <v>5.835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38.156171840207598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1.7024516792693745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12.355473039378149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0.18476638096141437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2.6599043628066652</v>
      </c>
      <c r="D259" t="str">
        <f t="shared" si="63"/>
        <v>in</v>
      </c>
      <c r="E259" s="19" t="str">
        <f t="shared" si="60"/>
        <v>h/tw</v>
      </c>
      <c r="G259" s="211">
        <f>BD18</f>
        <v>23.238578680203045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13.728859332336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149.26855432137248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457.62864441120001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207.15267921119994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29.202019200000006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81.886838400000002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411.04369258491022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</mergeCells>
  <conditionalFormatting sqref="I34:I35">
    <cfRule type="expression" dxfId="262" priority="49">
      <formula>ABS(I34)=MAX(ABS($I$12:$I$33),ABS($I$38:$I$59))</formula>
    </cfRule>
  </conditionalFormatting>
  <conditionalFormatting sqref="E34:I35">
    <cfRule type="expression" priority="48" stopIfTrue="1">
      <formula>E34=""</formula>
    </cfRule>
  </conditionalFormatting>
  <conditionalFormatting sqref="C132 C186 C235 C284">
    <cfRule type="cellIs" dxfId="261" priority="47" operator="greaterThan">
      <formula>1</formula>
    </cfRule>
  </conditionalFormatting>
  <conditionalFormatting sqref="E12:I33">
    <cfRule type="expression" dxfId="260" priority="46">
      <formula>ABS(E12)=MAX(ABS($E$12:$E$33),ABS($E$38:$E$59))</formula>
    </cfRule>
  </conditionalFormatting>
  <conditionalFormatting sqref="F12:F33">
    <cfRule type="expression" dxfId="259" priority="45">
      <formula>ABS(F12)=MAX(ABS($F$12:$F$33),ABS($F$38:$F$59))</formula>
    </cfRule>
  </conditionalFormatting>
  <conditionalFormatting sqref="G12:G33">
    <cfRule type="expression" dxfId="258" priority="44">
      <formula>ABS(G12)=MAX(ABS($G$12:$G$33),ABS($G$38:$G$59))</formula>
    </cfRule>
  </conditionalFormatting>
  <conditionalFormatting sqref="H12:H33">
    <cfRule type="expression" dxfId="257" priority="43">
      <formula>ABS(H12)=MAX(ABS($H$12:$H$33),ABS($H$38:$H$59))</formula>
    </cfRule>
  </conditionalFormatting>
  <conditionalFormatting sqref="I12:I33">
    <cfRule type="expression" dxfId="256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255" priority="40">
      <formula>ABS(E38)=MAX(ABS($E$12:$E$33),ABS($E$38:$E$59))</formula>
    </cfRule>
  </conditionalFormatting>
  <conditionalFormatting sqref="F38:F59">
    <cfRule type="expression" dxfId="254" priority="39">
      <formula>ABS(F38)=MAX(ABS($F$12:$F$33),ABS($F$38:$F$59))</formula>
    </cfRule>
  </conditionalFormatting>
  <conditionalFormatting sqref="G38:G59">
    <cfRule type="expression" dxfId="253" priority="38">
      <formula>ABS(G38)=MAX(ABS($G$12:$G$33),ABS($G$38:$G$59))</formula>
    </cfRule>
  </conditionalFormatting>
  <conditionalFormatting sqref="H38:H59">
    <cfRule type="expression" dxfId="252" priority="37">
      <formula>ABS(H38)=MAX(ABS($H$12:$H$33),ABS($H$38:$H$59))</formula>
    </cfRule>
  </conditionalFormatting>
  <conditionalFormatting sqref="I38:I59">
    <cfRule type="expression" dxfId="251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250" priority="29">
      <formula>$F$9="Zone 5"</formula>
    </cfRule>
    <cfRule type="expression" dxfId="249" priority="30">
      <formula>$F$9="Zone 4"</formula>
    </cfRule>
    <cfRule type="expression" dxfId="248" priority="31">
      <formula>$F$9="Zone 3"</formula>
    </cfRule>
    <cfRule type="expression" dxfId="247" priority="32">
      <formula>$F$9="Zone 2"</formula>
    </cfRule>
    <cfRule type="expression" dxfId="246" priority="33">
      <formula>$F$9="Zone 1"</formula>
    </cfRule>
    <cfRule type="expression" dxfId="245" priority="34">
      <formula>$F$9="Zone 1 - Drive"</formula>
    </cfRule>
  </conditionalFormatting>
  <conditionalFormatting sqref="Y41:Y150 AJ41:AJ150 AT41:AT150 BD41:BD150">
    <cfRule type="expression" dxfId="244" priority="28">
      <formula>Y41="Satisfactory"</formula>
    </cfRule>
  </conditionalFormatting>
  <conditionalFormatting sqref="AG4">
    <cfRule type="expression" dxfId="243" priority="22">
      <formula>$F$9="Zone 5"</formula>
    </cfRule>
    <cfRule type="expression" dxfId="242" priority="23">
      <formula>$F$9="Zone 4"</formula>
    </cfRule>
    <cfRule type="expression" dxfId="241" priority="24">
      <formula>$F$9="Zone 3"</formula>
    </cfRule>
    <cfRule type="expression" dxfId="240" priority="25">
      <formula>$F$9="Zone 2"</formula>
    </cfRule>
    <cfRule type="expression" dxfId="239" priority="26">
      <formula>$F$9="Zone 1"</formula>
    </cfRule>
    <cfRule type="expression" dxfId="238" priority="27">
      <formula>$F$9="Zone 1 - Drive"</formula>
    </cfRule>
  </conditionalFormatting>
  <conditionalFormatting sqref="AQ4">
    <cfRule type="expression" dxfId="237" priority="16">
      <formula>$F$9="Zone 5"</formula>
    </cfRule>
    <cfRule type="expression" dxfId="236" priority="17">
      <formula>$F$9="Zone 4"</formula>
    </cfRule>
    <cfRule type="expression" dxfId="235" priority="18">
      <formula>$F$9="Zone 3"</formula>
    </cfRule>
    <cfRule type="expression" dxfId="234" priority="19">
      <formula>$F$9="Zone 2"</formula>
    </cfRule>
    <cfRule type="expression" dxfId="233" priority="20">
      <formula>$F$9="Zone 1"</formula>
    </cfRule>
    <cfRule type="expression" dxfId="232" priority="21">
      <formula>$F$9="Zone 1 - Drive"</formula>
    </cfRule>
  </conditionalFormatting>
  <conditionalFormatting sqref="BA4">
    <cfRule type="expression" dxfId="231" priority="10">
      <formula>$F$9="Zone 5"</formula>
    </cfRule>
    <cfRule type="expression" dxfId="230" priority="11">
      <formula>$F$9="Zone 4"</formula>
    </cfRule>
    <cfRule type="expression" dxfId="229" priority="12">
      <formula>$F$9="Zone 3"</formula>
    </cfRule>
    <cfRule type="expression" dxfId="228" priority="13">
      <formula>$F$9="Zone 2"</formula>
    </cfRule>
    <cfRule type="expression" dxfId="227" priority="14">
      <formula>$F$9="Zone 1"</formula>
    </cfRule>
    <cfRule type="expression" dxfId="226" priority="15">
      <formula>$F$9="Zone 1 - Drive"</formula>
    </cfRule>
  </conditionalFormatting>
  <conditionalFormatting sqref="Y31:Y40 AJ31:AJ40 AT31:AT40 BD31:BD40">
    <cfRule type="expression" dxfId="225" priority="9">
      <formula>Y31="Satisfactory"</formula>
    </cfRule>
  </conditionalFormatting>
  <conditionalFormatting sqref="Y158:Y179">
    <cfRule type="top10" dxfId="224" priority="8" rank="1"/>
  </conditionalFormatting>
  <conditionalFormatting sqref="Y184:Y205">
    <cfRule type="top10" dxfId="223" priority="7" rank="1"/>
  </conditionalFormatting>
  <conditionalFormatting sqref="AJ158:AJ179">
    <cfRule type="top10" dxfId="222" priority="6" rank="1"/>
  </conditionalFormatting>
  <conditionalFormatting sqref="AJ184:AJ205">
    <cfRule type="top10" dxfId="221" priority="5" rank="1"/>
  </conditionalFormatting>
  <conditionalFormatting sqref="AT158:AT179">
    <cfRule type="top10" dxfId="220" priority="4" rank="1"/>
  </conditionalFormatting>
  <conditionalFormatting sqref="AT184:AT205">
    <cfRule type="top10" dxfId="219" priority="3" rank="1"/>
  </conditionalFormatting>
  <conditionalFormatting sqref="BD158:BD179">
    <cfRule type="top10" dxfId="218" priority="2" rank="1"/>
  </conditionalFormatting>
  <conditionalFormatting sqref="BD184:BD205">
    <cfRule type="top10" dxfId="217" priority="1" rank="1"/>
  </conditionalFormatting>
  <dataValidations count="1">
    <dataValidation type="list" allowBlank="1" showInputMessage="1" showErrorMessage="1" sqref="P17" xr:uid="{1317D025-3DF3-41D0-9630-A3AD92D71270}">
      <formula1>"No,Yes"</formula1>
    </dataValidation>
  </dataValidations>
  <pageMargins left="0.7" right="0.7" top="0.75" bottom="0.75" header="0.3" footer="0.3"/>
  <pageSetup scale="41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611F83-8384-4067-BD5F-6CEEEDDCE181}">
          <x14:formula1>
            <xm:f>List!$D$2:$D$5</xm:f>
          </x14:formula1>
          <xm:sqref>P21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BF286"/>
  <sheetViews>
    <sheetView showGridLines="0" view="pageBreakPreview" zoomScale="70" zoomScaleNormal="100" zoomScaleSheetLayoutView="70" workbookViewId="0">
      <selection activeCell="B286" sqref="B286"/>
    </sheetView>
  </sheetViews>
  <sheetFormatPr defaultRowHeight="15" x14ac:dyDescent="0.25"/>
  <cols>
    <col min="2" max="2" width="42.85546875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1" t="s">
        <v>102</v>
      </c>
      <c r="D3" s="372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73"/>
      <c r="D4" s="374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85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37" t="s">
        <v>3</v>
      </c>
      <c r="C11" s="37" t="str">
        <f>'DRIVE REACTIONS Zone 1'!C11</f>
        <v>Load Combination ASD (ASCE 7-16)</v>
      </c>
      <c r="D11" s="37" t="s">
        <v>13</v>
      </c>
      <c r="E11" s="38" t="s">
        <v>44</v>
      </c>
      <c r="F11" s="38" t="s">
        <v>4</v>
      </c>
      <c r="G11" s="38" t="s">
        <v>45</v>
      </c>
      <c r="H11" s="38" t="s">
        <v>47</v>
      </c>
      <c r="I11" s="38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4.3729000000000005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9.3188240808333358</v>
      </c>
      <c r="Z11" s="166" t="s">
        <v>173</v>
      </c>
      <c r="AC11" s="341" t="s">
        <v>171</v>
      </c>
      <c r="AD11" s="340"/>
      <c r="AE11" s="164">
        <f>2*(AE15*AE14)+((AE12-(2*AE14))*AE13)</f>
        <v>4.3729000000000005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9.3188240808333358</v>
      </c>
      <c r="AK11" s="166" t="s">
        <v>173</v>
      </c>
      <c r="AM11" s="341" t="s">
        <v>171</v>
      </c>
      <c r="AN11" s="340"/>
      <c r="AO11" s="164">
        <f>2*(AO15*AO14)+((AO12-(2*AO14))*AO13)</f>
        <v>5.8167999999999997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13.279850213333331</v>
      </c>
      <c r="AU11" s="166" t="s">
        <v>173</v>
      </c>
      <c r="AW11" s="341" t="s">
        <v>171</v>
      </c>
      <c r="AX11" s="340"/>
      <c r="AY11" s="164">
        <f>2*(AY15*AY14)+((AY12-(2*AY14))*AY13)</f>
        <v>7.2831999999999999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9">
        <v>1</v>
      </c>
      <c r="C12" s="28" t="str">
        <f>'DRIVE REACTIONS Zone 1'!C12</f>
        <v>DL</v>
      </c>
      <c r="D12" s="35" t="s">
        <v>16</v>
      </c>
      <c r="E12" s="21">
        <f>'0 Degree Loads'!P63</f>
        <v>0</v>
      </c>
      <c r="F12" s="21">
        <f>'0 Degree Loads'!Q63</f>
        <v>0</v>
      </c>
      <c r="G12" s="21">
        <f>'0 Degree Loads'!R63</f>
        <v>0</v>
      </c>
      <c r="H12" s="21">
        <f>'0 Degree Loads'!S63</f>
        <v>0</v>
      </c>
      <c r="I12" s="22">
        <f>'0 Degree Loads'!T63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INDEX(Shapes!$D$2:$D$17,MATCH(PROFILE_ZONE_4_STD,Shapes!$A$2:$A$17,0))-T9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INDEX(Shapes!$D$2:$D$17,MATCH(PROFILE_ZONE_4_1,Shapes!$A$2:$A$17,0))-AE9</f>
        <v>5.99</v>
      </c>
      <c r="AF12" t="s">
        <v>170</v>
      </c>
      <c r="AG12" s="168"/>
      <c r="AH12" s="342" t="s">
        <v>405</v>
      </c>
      <c r="AI12" s="342"/>
      <c r="AJ12" s="8">
        <f>(2*AJ11)/AE15</f>
        <v>3.1114604610461889</v>
      </c>
      <c r="AK12" s="159" t="s">
        <v>175</v>
      </c>
      <c r="AM12" s="343" t="s">
        <v>174</v>
      </c>
      <c r="AN12" s="342"/>
      <c r="AO12" s="167">
        <f>INDEX(Shapes!$D$2:$D$17,MATCH(PROFILE_ZONE_4_2,Shapes!$A$2:$A$17,0))-AO9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INDEX(Shapes!$D$2:$D$17,MATCH(PROFILE_ZONE_4_3,Shapes!$A$2:$A$17,0))-AY9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10">
        <v>2</v>
      </c>
      <c r="C13" s="14" t="str">
        <f>'DRIVE REACTIONS Zone 1'!C13</f>
        <v>DL + SL</v>
      </c>
      <c r="D13" s="34" t="s">
        <v>16</v>
      </c>
      <c r="E13" s="23">
        <f>'0 Degree Loads'!P64</f>
        <v>0</v>
      </c>
      <c r="F13" s="23">
        <f>'0 Degree Loads'!Q64</f>
        <v>0</v>
      </c>
      <c r="G13" s="23">
        <f>'0 Degree Loads'!R64</f>
        <v>0</v>
      </c>
      <c r="H13" s="23">
        <f>'0 Degree Loads'!S64</f>
        <v>0</v>
      </c>
      <c r="I13" s="24">
        <f>'0 Degree Loads'!T64</f>
        <v>0</v>
      </c>
      <c r="R13" s="343" t="s">
        <v>176</v>
      </c>
      <c r="S13" s="342"/>
      <c r="T13" s="167">
        <f>INDEX(Shapes!$H$2:$H$17,MATCH(PROFILE_ZONE_4_STD,Shapes!$A$2:$A$17,0))-T9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INDEX(Shapes!$Y$2:$Y$17,MATCH(PROFILE_ZONE_4_STD,Shapes!$A$2:$A$17,0))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INDEX(Shapes!$H$2:$H$17,MATCH(PROFILE_ZONE_4_1,Shapes!$A$2:$A$17,0))-AE9</f>
        <v>0.23</v>
      </c>
      <c r="AF13" t="s">
        <v>170</v>
      </c>
      <c r="AG13" s="168"/>
      <c r="AH13" s="342" t="s">
        <v>177</v>
      </c>
      <c r="AI13" s="342"/>
      <c r="AJ13" s="8">
        <f>INDEX(Shapes!$Y$2:$Y$17,MATCH(PROFILE_ZONE_4_1,Shapes!$A$2:$A$17,0))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INDEX(Shapes!$H$2:$H$17,MATCH(PROFILE_ZONE_4_2,Shapes!$A$2:$A$17,0))-AO9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INDEX(Shapes!$Y$2:$Y$17,MATCH(PROFILE_ZONE_4_2,Shapes!$A$2:$A$17,0))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INDEX(Shapes!$H$2:$H$17,MATCH(PROFILE_ZONE_4_3,Shapes!$A$2:$A$17,0))-AY9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INDEX(Shapes!$Y$2:$Y$17,MATCH(PROFILE_ZONE_4_3,Shapes!$A$2:$A$17,0))</f>
        <v>1.52</v>
      </c>
      <c r="BE13" s="159" t="s">
        <v>175</v>
      </c>
    </row>
    <row r="14" spans="2:58" x14ac:dyDescent="0.25">
      <c r="B14" s="10">
        <v>3</v>
      </c>
      <c r="C14" s="14" t="str">
        <f>'DRIVE REACTIONS Zone 1'!C14</f>
        <v>DL + 0.6 WL+X</v>
      </c>
      <c r="D14" s="34" t="s">
        <v>16</v>
      </c>
      <c r="E14" s="23">
        <f>'0 Degree Loads'!P65</f>
        <v>0</v>
      </c>
      <c r="F14" s="23">
        <f>'0 Degree Loads'!Q65</f>
        <v>0</v>
      </c>
      <c r="G14" s="23">
        <f>'0 Degree Loads'!R65</f>
        <v>0</v>
      </c>
      <c r="H14" s="23">
        <f>'0 Degree Loads'!S65</f>
        <v>0</v>
      </c>
      <c r="I14" s="24">
        <f>'0 Degree Loads'!T65</f>
        <v>0</v>
      </c>
      <c r="R14" s="343" t="s">
        <v>178</v>
      </c>
      <c r="S14" s="342"/>
      <c r="T14" s="167">
        <f>INDEX(Shapes!$K$2:$K$17,MATCH(PROFILE_ZONE_4_STD,Shapes!$A$2:$A$17,0))-T9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INDEX(Shapes!$K$2:$K$17,MATCH(PROFILE_ZONE_4_1,Shapes!$A$2:$A$17,0))-AE9</f>
        <v>0.26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4.736753750000001</v>
      </c>
      <c r="AK14" s="159" t="s">
        <v>175</v>
      </c>
      <c r="AM14" s="343" t="s">
        <v>178</v>
      </c>
      <c r="AN14" s="342"/>
      <c r="AO14" s="167">
        <f>INDEX(Shapes!$K$2:$K$17,MATCH(PROFILE_ZONE_4_2,Shapes!$A$2:$A$17,0))-AO9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INDEX(Shapes!$K$2:$K$17,MATCH(PROFILE_ZONE_4_3,Shapes!$A$2:$A$17,0))-AY9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10">
        <v>4</v>
      </c>
      <c r="C15" s="14" t="str">
        <f>'DRIVE REACTIONS Zone 1'!C15</f>
        <v>DL + 0.6 WL-X</v>
      </c>
      <c r="D15" s="34" t="s">
        <v>16</v>
      </c>
      <c r="E15" s="23">
        <f>'0 Degree Loads'!P66</f>
        <v>0</v>
      </c>
      <c r="F15" s="23">
        <f>'0 Degree Loads'!Q66</f>
        <v>0</v>
      </c>
      <c r="G15" s="23">
        <f>'0 Degree Loads'!R66</f>
        <v>0</v>
      </c>
      <c r="H15" s="23">
        <f>'0 Degree Loads'!S66</f>
        <v>0</v>
      </c>
      <c r="I15" s="24">
        <f>'0 Degree Loads'!T66</f>
        <v>0</v>
      </c>
      <c r="R15" s="343" t="s">
        <v>179</v>
      </c>
      <c r="S15" s="342"/>
      <c r="T15" s="167">
        <f>INDEX(Shapes!$F$2:$F$17,MATCH(PROFILE_ZONE_4_STD,Shapes!$A$2:$A$17,0))-T9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INDEX(Shapes!$F$2:$F$17,MATCH(PROFILE_ZONE_4_1,Shapes!$A$2:$A$17,0))-AE9</f>
        <v>5.99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INDEX(Shapes!$F$2:$F$17,MATCH(PROFILE_ZONE_4_2,Shapes!$A$2:$A$17,0))-AO9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INDEX(Shapes!$F$2:$F$17,MATCH(PROFILE_ZONE_4_3,Shapes!$A$2:$A$17,0))-AY9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14" t="str">
        <f>'DRIVE REACTIONS Zone 1'!C16</f>
        <v>DL + 0.45 OL1 + 0.75 SL + 0.75 LL</v>
      </c>
      <c r="D16" s="34" t="s">
        <v>16</v>
      </c>
      <c r="E16" s="23">
        <f>'0 Degree Loads'!P67</f>
        <v>0</v>
      </c>
      <c r="F16" s="23">
        <f>'0 Degree Loads'!Q67</f>
        <v>0</v>
      </c>
      <c r="G16" s="23">
        <f>'0 Degree Loads'!R67</f>
        <v>0</v>
      </c>
      <c r="H16" s="23">
        <f>'0 Degree Loads'!S67</f>
        <v>0</v>
      </c>
      <c r="I16" s="24">
        <f>'0 Degree Loads'!T67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28.721482960833342</v>
      </c>
      <c r="AF16" t="s">
        <v>173</v>
      </c>
      <c r="AG16" s="168"/>
      <c r="AH16" s="342" t="s">
        <v>182</v>
      </c>
      <c r="AI16" s="342"/>
      <c r="AJ16" s="8">
        <f>SQRT((AJ11*AJ15)/(2*AE17))</f>
        <v>1.6685447284918389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10">
        <v>6</v>
      </c>
      <c r="C17" s="14" t="str">
        <f>'DRIVE REACTIONS Zone 1'!C17</f>
        <v>DL + 0.45 OL2 + 0.75 SL + 0.75 LL</v>
      </c>
      <c r="D17" s="34" t="s">
        <v>16</v>
      </c>
      <c r="E17" s="23">
        <f>'0 Degree Loads'!P68</f>
        <v>0</v>
      </c>
      <c r="F17" s="23">
        <f>'0 Degree Loads'!Q68</f>
        <v>0</v>
      </c>
      <c r="G17" s="23">
        <f>'0 Degree Loads'!R68</f>
        <v>0</v>
      </c>
      <c r="H17" s="23">
        <f>'0 Degree Loads'!S68</f>
        <v>0</v>
      </c>
      <c r="I17" s="24">
        <f>'0 Degree Loads'!T68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9.5898106713967746</v>
      </c>
      <c r="AF17" t="s">
        <v>175</v>
      </c>
      <c r="AG17" s="168"/>
      <c r="AH17" s="342" t="s">
        <v>184</v>
      </c>
      <c r="AI17" s="342"/>
      <c r="AJ17" s="8">
        <f>((2*AE15*AE14^3)+(AJ15*AE13^3))/3</f>
        <v>9.3425796666666672E-2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10">
        <v>7</v>
      </c>
      <c r="C18" s="14" t="str">
        <f>'DRIVE REACTIONS Zone 1'!C18</f>
        <v>DL + 0.45 WL+X + 0.25 SL + 0.75 LL</v>
      </c>
      <c r="D18" s="34" t="s">
        <v>16</v>
      </c>
      <c r="E18" s="23">
        <f>'0 Degree Loads'!P69</f>
        <v>0</v>
      </c>
      <c r="F18" s="23">
        <f>'0 Degree Loads'!Q69</f>
        <v>0</v>
      </c>
      <c r="G18" s="23">
        <f>'0 Degree Loads'!R69</f>
        <v>0</v>
      </c>
      <c r="H18" s="23">
        <f>'0 Degree Loads'!S69</f>
        <v>0</v>
      </c>
      <c r="I18" s="24">
        <f>'0 Degree Loads'!T69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2.5628232598673386</v>
      </c>
      <c r="AF18" t="s">
        <v>170</v>
      </c>
      <c r="AG18" s="168"/>
      <c r="AH18" s="342" t="s">
        <v>186</v>
      </c>
      <c r="AI18" s="342"/>
      <c r="AJ18" s="8">
        <f>AE20/AE13</f>
        <v>23.782608695652176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10">
        <v>8</v>
      </c>
      <c r="C19" s="14" t="str">
        <f>'DRIVE REACTIONS Zone 1'!C19</f>
        <v>DL + 0.45 WL-X + 0.25 SL + 0.75 LL</v>
      </c>
      <c r="D19" s="34" t="s">
        <v>16</v>
      </c>
      <c r="E19" s="23">
        <f>'0 Degree Loads'!P70</f>
        <v>0</v>
      </c>
      <c r="F19" s="23">
        <f>'0 Degree Loads'!Q70</f>
        <v>0</v>
      </c>
      <c r="G19" s="23">
        <f>'0 Degree Loads'!R70</f>
        <v>0</v>
      </c>
      <c r="H19" s="23">
        <f>'0 Degree Loads'!S70</f>
        <v>0</v>
      </c>
      <c r="I19" s="24">
        <f>'0 Degree Loads'!T70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10.644353750000002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14" t="str">
        <f>'DRIVE REACTIONS Zone 1'!C20</f>
        <v>0.6 DL + 0.6 WL+X</v>
      </c>
      <c r="D20" s="34" t="s">
        <v>16</v>
      </c>
      <c r="E20" s="23">
        <f>'0 Degree Loads'!P71</f>
        <v>0</v>
      </c>
      <c r="F20" s="23">
        <f>'0 Degree Loads'!Q71</f>
        <v>0</v>
      </c>
      <c r="G20" s="23">
        <f>'0 Degree Loads'!R71</f>
        <v>0</v>
      </c>
      <c r="H20" s="23">
        <f>'0 Degree Loads'!S71</f>
        <v>0</v>
      </c>
      <c r="I20" s="24">
        <f>'0 Degree Loads'!T71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14" t="str">
        <f>'DRIVE REACTIONS Zone 1'!C21</f>
        <v>0.6 DL + 0.6 WL-X</v>
      </c>
      <c r="D21" s="34" t="s">
        <v>16</v>
      </c>
      <c r="E21" s="23">
        <f>'0 Degree Loads'!P72</f>
        <v>0</v>
      </c>
      <c r="F21" s="23">
        <f>'0 Degree Loads'!Q72</f>
        <v>0</v>
      </c>
      <c r="G21" s="23">
        <f>'0 Degree Loads'!R72</f>
        <v>0</v>
      </c>
      <c r="H21" s="23">
        <f>'0 Degree Loads'!S72</f>
        <v>0</v>
      </c>
      <c r="I21" s="24">
        <f>'0 Degree Loads'!T72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14" t="str">
        <f>'DRIVE REACTIONS Zone 1'!C22</f>
        <v>DL + 0.7 ELX</v>
      </c>
      <c r="D22" s="34" t="s">
        <v>16</v>
      </c>
      <c r="E22" s="23">
        <f>'0 Degree Loads'!P73</f>
        <v>0</v>
      </c>
      <c r="F22" s="23">
        <f>'0 Degree Loads'!Q73</f>
        <v>0</v>
      </c>
      <c r="G22" s="23">
        <f>'0 Degree Loads'!R73</f>
        <v>0</v>
      </c>
      <c r="H22" s="23">
        <f>'0 Degree Loads'!S73</f>
        <v>0</v>
      </c>
      <c r="I22" s="24">
        <f>'0 Degree Loads'!T73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14" t="str">
        <f>'DRIVE REACTIONS Zone 1'!C23</f>
        <v>DL - 0.7 ELX</v>
      </c>
      <c r="D23" s="34" t="s">
        <v>16</v>
      </c>
      <c r="E23" s="23">
        <f>'0 Degree Loads'!P74</f>
        <v>0</v>
      </c>
      <c r="F23" s="23">
        <f>'0 Degree Loads'!Q74</f>
        <v>0</v>
      </c>
      <c r="G23" s="23">
        <f>'0 Degree Loads'!R74</f>
        <v>0</v>
      </c>
      <c r="H23" s="23">
        <f>'0 Degree Loads'!S74</f>
        <v>0</v>
      </c>
      <c r="I23" s="24">
        <f>'0 Degree Loads'!T74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14" t="str">
        <f>'DRIVE REACTIONS Zone 1'!C24</f>
        <v>DL + 0.7 ELZ</v>
      </c>
      <c r="D24" s="34" t="s">
        <v>16</v>
      </c>
      <c r="E24" s="23">
        <f>'0 Degree Loads'!P75</f>
        <v>0</v>
      </c>
      <c r="F24" s="23">
        <f>'0 Degree Loads'!Q75</f>
        <v>0</v>
      </c>
      <c r="G24" s="23">
        <f>'0 Degree Loads'!R75</f>
        <v>0</v>
      </c>
      <c r="H24" s="23">
        <f>'0 Degree Loads'!S75</f>
        <v>0</v>
      </c>
      <c r="I24" s="24">
        <f>'0 Degree Loads'!T75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14" t="str">
        <f>'DRIVE REACTIONS Zone 1'!C25</f>
        <v>DL - 0.7 ELZ</v>
      </c>
      <c r="D25" s="34" t="s">
        <v>16</v>
      </c>
      <c r="E25" s="23">
        <f>'0 Degree Loads'!P76</f>
        <v>0</v>
      </c>
      <c r="F25" s="23">
        <f>'0 Degree Loads'!Q76</f>
        <v>0</v>
      </c>
      <c r="G25" s="23">
        <f>'0 Degree Loads'!R76</f>
        <v>0</v>
      </c>
      <c r="H25" s="23">
        <f>'0 Degree Loads'!S76</f>
        <v>0</v>
      </c>
      <c r="I25" s="24">
        <f>'0 Degree Loads'!T76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14" t="str">
        <f>'DRIVE REACTIONS Zone 1'!C26</f>
        <v>DL + 0.525 ELX + 0.75 SL + 0.75 LL</v>
      </c>
      <c r="D26" s="34" t="s">
        <v>16</v>
      </c>
      <c r="E26" s="23">
        <f>'0 Degree Loads'!P77</f>
        <v>0</v>
      </c>
      <c r="F26" s="23">
        <f>'0 Degree Loads'!Q77</f>
        <v>0</v>
      </c>
      <c r="G26" s="23">
        <f>'0 Degree Loads'!R77</f>
        <v>0</v>
      </c>
      <c r="H26" s="23">
        <f>'0 Degree Loads'!S77</f>
        <v>0</v>
      </c>
      <c r="I26" s="24">
        <f>'0 Degree Loads'!T77</f>
        <v>0</v>
      </c>
    </row>
    <row r="27" spans="2:57" x14ac:dyDescent="0.25">
      <c r="B27" s="10">
        <v>16</v>
      </c>
      <c r="C27" s="14" t="str">
        <f>'DRIVE REACTIONS Zone 1'!C27</f>
        <v>DL - 0.525 ELX + 0.75 SL + 0.75 LL</v>
      </c>
      <c r="D27" s="34" t="s">
        <v>16</v>
      </c>
      <c r="E27" s="23">
        <f>'0 Degree Loads'!P78</f>
        <v>0</v>
      </c>
      <c r="F27" s="23">
        <f>'0 Degree Loads'!Q78</f>
        <v>0</v>
      </c>
      <c r="G27" s="23">
        <f>'0 Degree Loads'!R78</f>
        <v>0</v>
      </c>
      <c r="H27" s="23">
        <f>'0 Degree Loads'!S78</f>
        <v>0</v>
      </c>
      <c r="I27" s="24">
        <f>'0 Degree Loads'!T78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14" t="str">
        <f>'DRIVE REACTIONS Zone 1'!C28</f>
        <v>DL + 0.525 ELZ + 0.75 SL + 0.75 LL</v>
      </c>
      <c r="D28" s="34" t="s">
        <v>16</v>
      </c>
      <c r="E28" s="23">
        <f>'0 Degree Loads'!P79</f>
        <v>0</v>
      </c>
      <c r="F28" s="23">
        <f>'0 Degree Loads'!Q79</f>
        <v>0</v>
      </c>
      <c r="G28" s="23">
        <f>'0 Degree Loads'!R79</f>
        <v>0</v>
      </c>
      <c r="H28" s="23">
        <f>'0 Degree Loads'!S79</f>
        <v>0</v>
      </c>
      <c r="I28" s="24">
        <f>'0 Degree Loads'!T79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14" t="str">
        <f>'DRIVE REACTIONS Zone 1'!C29</f>
        <v>DL - 0.525 ELZ + 0.75 SL + 0.75 LL</v>
      </c>
      <c r="D29" s="34" t="s">
        <v>16</v>
      </c>
      <c r="E29" s="23">
        <f>'0 Degree Loads'!P80</f>
        <v>0</v>
      </c>
      <c r="F29" s="23">
        <f>'0 Degree Loads'!Q80</f>
        <v>0</v>
      </c>
      <c r="G29" s="23">
        <f>'0 Degree Loads'!R80</f>
        <v>0</v>
      </c>
      <c r="H29" s="23">
        <f>'0 Degree Loads'!S80</f>
        <v>0</v>
      </c>
      <c r="I29" s="24">
        <f>'0 Degree Loads'!T80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11.51923076923077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14" t="str">
        <f>'DRIVE REACTIONS Zone 1'!C30</f>
        <v>0.6 DL + 0.7 ELX</v>
      </c>
      <c r="D30" s="34" t="s">
        <v>16</v>
      </c>
      <c r="E30" s="23">
        <f>'0 Degree Loads'!P81</f>
        <v>0</v>
      </c>
      <c r="F30" s="23">
        <f>'0 Degree Loads'!Q81</f>
        <v>0</v>
      </c>
      <c r="G30" s="23">
        <f>'0 Degree Loads'!R81</f>
        <v>0</v>
      </c>
      <c r="H30" s="23">
        <f>'0 Degree Loads'!S81</f>
        <v>0</v>
      </c>
      <c r="I30" s="24">
        <f>'0 Degree Loads'!T81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14" t="str">
        <f>'DRIVE REACTIONS Zone 1'!C31</f>
        <v>0.6 DL - 0.7 ELX</v>
      </c>
      <c r="D31" s="34" t="s">
        <v>16</v>
      </c>
      <c r="E31" s="23">
        <f>'0 Degree Loads'!P82</f>
        <v>0</v>
      </c>
      <c r="F31" s="23">
        <f>'0 Degree Loads'!Q82</f>
        <v>0</v>
      </c>
      <c r="G31" s="23">
        <f>'0 Degree Loads'!R82</f>
        <v>0</v>
      </c>
      <c r="H31" s="23">
        <f>'0 Degree Loads'!S82</f>
        <v>0</v>
      </c>
      <c r="I31" s="24">
        <f>'0 Degree Loads'!T82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14" t="str">
        <f>'DRIVE REACTIONS Zone 1'!C32</f>
        <v>0.6 DL + 0.7 ELZ</v>
      </c>
      <c r="D32" s="34" t="s">
        <v>16</v>
      </c>
      <c r="E32" s="23">
        <f>'0 Degree Loads'!P83</f>
        <v>0</v>
      </c>
      <c r="F32" s="23">
        <f>'0 Degree Loads'!Q83</f>
        <v>0</v>
      </c>
      <c r="G32" s="23">
        <f>'0 Degree Loads'!R83</f>
        <v>0</v>
      </c>
      <c r="H32" s="23">
        <f>'0 Degree Loads'!S83</f>
        <v>0</v>
      </c>
      <c r="I32" s="24">
        <f>'0 Degree Loads'!T83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23.782608695652176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13">
        <v>22</v>
      </c>
      <c r="C33" s="15" t="str">
        <f>'DRIVE REACTIONS Zone 1'!C33</f>
        <v>0.6 DL - 0.7 ELZ</v>
      </c>
      <c r="D33" s="36" t="s">
        <v>16</v>
      </c>
      <c r="E33" s="31">
        <f>'0 Degree Loads'!P84</f>
        <v>0</v>
      </c>
      <c r="F33" s="31">
        <f>'0 Degree Loads'!Q84</f>
        <v>0</v>
      </c>
      <c r="G33" s="31">
        <f>'0 Degree Loads'!R84</f>
        <v>0</v>
      </c>
      <c r="H33" s="31">
        <f>'0 Degree Loads'!S84</f>
        <v>0</v>
      </c>
      <c r="I33" s="32">
        <f>'0 Degree Loads'!T84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26" t="s">
        <v>86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29"/>
      <c r="C36" s="330"/>
      <c r="D36" s="330"/>
      <c r="E36" s="330"/>
      <c r="F36" s="330"/>
      <c r="G36" s="330"/>
      <c r="H36" s="330"/>
      <c r="I36" s="331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11.51923076923077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>'DRIVE REACTIONS Zone 1'!C12</f>
        <v>DL</v>
      </c>
      <c r="D38" s="35" t="s">
        <v>16</v>
      </c>
      <c r="E38" s="21">
        <f>'55 Degree Loads'!P63</f>
        <v>0</v>
      </c>
      <c r="F38" s="21">
        <f>'55 Degree Loads'!Q63</f>
        <v>0</v>
      </c>
      <c r="G38" s="21">
        <f>'55 Degree Loads'!R63</f>
        <v>0</v>
      </c>
      <c r="H38" s="21">
        <f>'55 Degree Loads'!S63</f>
        <v>0</v>
      </c>
      <c r="I38" s="22">
        <f>'55 Degree Loads'!T63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>'DRIVE REACTIONS Zone 1'!C13</f>
        <v>DL + SL</v>
      </c>
      <c r="D39" s="34" t="s">
        <v>16</v>
      </c>
      <c r="E39" s="23">
        <f>'55 Degree Loads'!P64</f>
        <v>0</v>
      </c>
      <c r="F39" s="23">
        <f>'55 Degree Loads'!Q64</f>
        <v>0</v>
      </c>
      <c r="G39" s="23">
        <f>'55 Degree Loads'!R64</f>
        <v>0</v>
      </c>
      <c r="H39" s="23">
        <f>'55 Degree Loads'!S64</f>
        <v>0</v>
      </c>
      <c r="I39" s="24">
        <f>'55 Degree Loads'!T64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23.782608695652176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>'DRIVE REACTIONS Zone 1'!C14</f>
        <v>DL + 0.6 WL+X</v>
      </c>
      <c r="D40" s="34" t="s">
        <v>16</v>
      </c>
      <c r="E40" s="23">
        <f>'55 Degree Loads'!P65</f>
        <v>0</v>
      </c>
      <c r="F40" s="23">
        <f>'55 Degree Loads'!Q65</f>
        <v>0</v>
      </c>
      <c r="G40" s="23">
        <f>'55 Degree Loads'!R65</f>
        <v>0</v>
      </c>
      <c r="H40" s="23">
        <f>'55 Degree Loads'!S65</f>
        <v>0</v>
      </c>
      <c r="I40" s="24">
        <f>'55 Degree Loads'!T65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>'DRIVE REACTIONS Zone 1'!C15</f>
        <v>DL + 0.6 WL-X</v>
      </c>
      <c r="D41" s="34" t="s">
        <v>16</v>
      </c>
      <c r="E41" s="23">
        <f>'55 Degree Loads'!P66</f>
        <v>0</v>
      </c>
      <c r="F41" s="23">
        <f>'55 Degree Loads'!Q66</f>
        <v>0</v>
      </c>
      <c r="G41" s="23">
        <f>'55 Degree Loads'!R66</f>
        <v>0</v>
      </c>
      <c r="H41" s="23">
        <f>'55 Degree Loads'!S66</f>
        <v>0</v>
      </c>
      <c r="I41" s="24">
        <f>'55 Degree Loads'!T66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>'DRIVE REACTIONS Zone 1'!C16</f>
        <v>DL + 0.45 OL1 + 0.75 SL + 0.75 LL</v>
      </c>
      <c r="D42" s="34" t="s">
        <v>16</v>
      </c>
      <c r="E42" s="23">
        <f>'55 Degree Loads'!P67</f>
        <v>0</v>
      </c>
      <c r="F42" s="23">
        <f>'55 Degree Loads'!Q67</f>
        <v>0</v>
      </c>
      <c r="G42" s="23">
        <f>'55 Degree Loads'!R67</f>
        <v>0</v>
      </c>
      <c r="H42" s="23">
        <f>'55 Degree Loads'!S67</f>
        <v>0</v>
      </c>
      <c r="I42" s="24">
        <f>'55 Degree Loads'!T67</f>
        <v>0</v>
      </c>
    </row>
    <row r="43" spans="2:58" x14ac:dyDescent="0.25">
      <c r="B43" s="10">
        <v>6</v>
      </c>
      <c r="C43" s="14" t="str">
        <f>'DRIVE REACTIONS Zone 1'!C17</f>
        <v>DL + 0.45 OL2 + 0.75 SL + 0.75 LL</v>
      </c>
      <c r="D43" s="34" t="s">
        <v>16</v>
      </c>
      <c r="E43" s="23">
        <f>'55 Degree Loads'!P68</f>
        <v>0</v>
      </c>
      <c r="F43" s="23">
        <f>'55 Degree Loads'!Q68</f>
        <v>0</v>
      </c>
      <c r="G43" s="23">
        <f>'55 Degree Loads'!R68</f>
        <v>0</v>
      </c>
      <c r="H43" s="23">
        <f>'55 Degree Loads'!S68</f>
        <v>0</v>
      </c>
      <c r="I43" s="24">
        <f>'55 Degree Loads'!T68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>'DRIVE REACTIONS Zone 1'!C18</f>
        <v>DL + 0.45 WL+X + 0.25 SL + 0.75 LL</v>
      </c>
      <c r="D44" s="34" t="s">
        <v>16</v>
      </c>
      <c r="E44" s="23">
        <f>'55 Degree Loads'!P69</f>
        <v>0</v>
      </c>
      <c r="F44" s="23">
        <f>'55 Degree Loads'!Q69</f>
        <v>0</v>
      </c>
      <c r="G44" s="23">
        <f>'55 Degree Loads'!R69</f>
        <v>0</v>
      </c>
      <c r="H44" s="23">
        <f>'55 Degree Loads'!S69</f>
        <v>0</v>
      </c>
      <c r="I44" s="24">
        <f>'55 Degree Loads'!T69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>'DRIVE REACTIONS Zone 1'!C19</f>
        <v>DL + 0.45 WL-X + 0.25 SL + 0.75 LL</v>
      </c>
      <c r="D45" s="34" t="s">
        <v>16</v>
      </c>
      <c r="E45" s="23">
        <f>'55 Degree Loads'!P70</f>
        <v>0</v>
      </c>
      <c r="F45" s="23">
        <f>'55 Degree Loads'!Q70</f>
        <v>0</v>
      </c>
      <c r="G45" s="23">
        <f>'55 Degree Loads'!R70</f>
        <v>0</v>
      </c>
      <c r="H45" s="23">
        <f>'55 Degree Loads'!S70</f>
        <v>0</v>
      </c>
      <c r="I45" s="24">
        <f>'55 Degree Loads'!T70</f>
        <v>0</v>
      </c>
    </row>
    <row r="46" spans="2:58" x14ac:dyDescent="0.25">
      <c r="B46" s="10">
        <v>9</v>
      </c>
      <c r="C46" s="14" t="str">
        <f>'DRIVE REACTIONS Zone 1'!C20</f>
        <v>0.6 DL + 0.6 WL+X</v>
      </c>
      <c r="D46" s="34" t="s">
        <v>16</v>
      </c>
      <c r="E46" s="23">
        <f>'55 Degree Loads'!P71</f>
        <v>0</v>
      </c>
      <c r="F46" s="23">
        <f>'55 Degree Loads'!Q71</f>
        <v>0</v>
      </c>
      <c r="G46" s="23">
        <f>'55 Degree Loads'!R71</f>
        <v>0</v>
      </c>
      <c r="H46" s="23">
        <f>'55 Degree Loads'!S71</f>
        <v>0</v>
      </c>
      <c r="I46" s="24">
        <f>'55 Degree Loads'!T71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9.83290591849258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28.020196889395073</v>
      </c>
    </row>
    <row r="47" spans="2:58" x14ac:dyDescent="0.25">
      <c r="B47" s="10">
        <v>10</v>
      </c>
      <c r="C47" s="14" t="str">
        <f>'DRIVE REACTIONS Zone 1'!C21</f>
        <v>0.6 DL + 0.6 WL-X</v>
      </c>
      <c r="D47" s="34" t="s">
        <v>16</v>
      </c>
      <c r="E47" s="23">
        <f>'55 Degree Loads'!P72</f>
        <v>0</v>
      </c>
      <c r="F47" s="23">
        <f>'55 Degree Loads'!Q72</f>
        <v>0</v>
      </c>
      <c r="G47" s="23">
        <f>'55 Degree Loads'!R72</f>
        <v>0</v>
      </c>
      <c r="H47" s="23">
        <f>'55 Degree Loads'!S72</f>
        <v>0</v>
      </c>
      <c r="I47" s="24">
        <f>'55 Degree Loads'!T72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>'DRIVE REACTIONS Zone 1'!C22</f>
        <v>DL + 0.7 ELX</v>
      </c>
      <c r="D48" s="34" t="s">
        <v>16</v>
      </c>
      <c r="E48" s="23">
        <f>'55 Degree Loads'!P73</f>
        <v>0</v>
      </c>
      <c r="F48" s="23">
        <f>'55 Degree Loads'!Q73</f>
        <v>0</v>
      </c>
      <c r="G48" s="23">
        <f>'55 Degree Loads'!R73</f>
        <v>0</v>
      </c>
      <c r="H48" s="23">
        <f>'55 Degree Loads'!S73</f>
        <v>0</v>
      </c>
      <c r="I48" s="24">
        <f>'55 Degree Loads'!T73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>'DRIVE REACTIONS Zone 1'!C23</f>
        <v>DL - 0.7 ELX</v>
      </c>
      <c r="D49" s="34" t="s">
        <v>16</v>
      </c>
      <c r="E49" s="23">
        <f>'55 Degree Loads'!P74</f>
        <v>0</v>
      </c>
      <c r="F49" s="23">
        <f>'55 Degree Loads'!Q74</f>
        <v>0</v>
      </c>
      <c r="G49" s="23">
        <f>'55 Degree Loads'!R74</f>
        <v>0</v>
      </c>
      <c r="H49" s="23">
        <f>'55 Degree Loads'!S74</f>
        <v>0</v>
      </c>
      <c r="I49" s="24">
        <f>'55 Degree Loads'!T74</f>
        <v>0</v>
      </c>
    </row>
    <row r="50" spans="2:51" x14ac:dyDescent="0.25">
      <c r="B50" s="10">
        <v>13</v>
      </c>
      <c r="C50" s="14" t="str">
        <f>'DRIVE REACTIONS Zone 1'!C24</f>
        <v>DL + 0.7 ELZ</v>
      </c>
      <c r="D50" s="34" t="s">
        <v>16</v>
      </c>
      <c r="E50" s="23">
        <f>'55 Degree Loads'!P75</f>
        <v>0</v>
      </c>
      <c r="F50" s="23">
        <f>'55 Degree Loads'!Q75</f>
        <v>0</v>
      </c>
      <c r="G50" s="23">
        <f>'55 Degree Loads'!R75</f>
        <v>0</v>
      </c>
      <c r="H50" s="23">
        <f>'55 Degree Loads'!S75</f>
        <v>0</v>
      </c>
      <c r="I50" s="24">
        <f>'55 Degree Loads'!T75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>'DRIVE REACTIONS Zone 1'!C25</f>
        <v>DL - 0.7 ELZ</v>
      </c>
      <c r="D51" s="34" t="s">
        <v>16</v>
      </c>
      <c r="E51" s="23">
        <f>'55 Degree Loads'!P76</f>
        <v>0</v>
      </c>
      <c r="F51" s="23">
        <f>'55 Degree Loads'!Q76</f>
        <v>0</v>
      </c>
      <c r="G51" s="23">
        <f>'55 Degree Loads'!R76</f>
        <v>0</v>
      </c>
      <c r="H51" s="23">
        <f>'55 Degree Loads'!S76</f>
        <v>0</v>
      </c>
      <c r="I51" s="24">
        <f>'55 Degree Loads'!T76</f>
        <v>0</v>
      </c>
    </row>
    <row r="52" spans="2:51" x14ac:dyDescent="0.25">
      <c r="B52" s="10">
        <v>15</v>
      </c>
      <c r="C52" s="14" t="str">
        <f>'DRIVE REACTIONS Zone 1'!C26</f>
        <v>DL + 0.525 ELX + 0.75 SL + 0.75 LL</v>
      </c>
      <c r="D52" s="34" t="s">
        <v>16</v>
      </c>
      <c r="E52" s="23">
        <f>'55 Degree Loads'!P77</f>
        <v>0</v>
      </c>
      <c r="F52" s="23">
        <f>'55 Degree Loads'!Q77</f>
        <v>0</v>
      </c>
      <c r="G52" s="23">
        <f>'55 Degree Loads'!R77</f>
        <v>0</v>
      </c>
      <c r="H52" s="23">
        <f>'55 Degree Loads'!S77</f>
        <v>0</v>
      </c>
      <c r="I52" s="24">
        <f>'55 Degree Loads'!T77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>'DRIVE REACTIONS Zone 1'!C27</f>
        <v>DL - 0.525 ELX + 0.75 SL + 0.75 LL</v>
      </c>
      <c r="D53" s="34" t="s">
        <v>16</v>
      </c>
      <c r="E53" s="23">
        <f>'55 Degree Loads'!P78</f>
        <v>0</v>
      </c>
      <c r="F53" s="23">
        <f>'55 Degree Loads'!Q78</f>
        <v>0</v>
      </c>
      <c r="G53" s="23">
        <f>'55 Degree Loads'!R78</f>
        <v>0</v>
      </c>
      <c r="H53" s="23">
        <f>'55 Degree Loads'!S78</f>
        <v>0</v>
      </c>
      <c r="I53" s="24">
        <f>'55 Degree Loads'!T78</f>
        <v>0</v>
      </c>
    </row>
    <row r="54" spans="2:51" x14ac:dyDescent="0.25">
      <c r="B54" s="10">
        <v>17</v>
      </c>
      <c r="C54" s="14" t="str">
        <f>'DRIVE REACTIONS Zone 1'!C28</f>
        <v>DL + 0.525 ELZ + 0.75 SL + 0.75 LL</v>
      </c>
      <c r="D54" s="34" t="s">
        <v>16</v>
      </c>
      <c r="E54" s="23">
        <f>'55 Degree Loads'!P79</f>
        <v>0</v>
      </c>
      <c r="F54" s="23">
        <f>'55 Degree Loads'!Q79</f>
        <v>0</v>
      </c>
      <c r="G54" s="23">
        <f>'55 Degree Loads'!R79</f>
        <v>0</v>
      </c>
      <c r="H54" s="23">
        <f>'55 Degree Loads'!S79</f>
        <v>0</v>
      </c>
      <c r="I54" s="24">
        <f>'55 Degree Loads'!T79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>'DRIVE REACTIONS Zone 1'!C29</f>
        <v>DL - 0.525 ELZ + 0.75 SL + 0.75 LL</v>
      </c>
      <c r="D55" s="34" t="s">
        <v>16</v>
      </c>
      <c r="E55" s="23">
        <f>'55 Degree Loads'!P80</f>
        <v>0</v>
      </c>
      <c r="F55" s="23">
        <f>'55 Degree Loads'!Q80</f>
        <v>0</v>
      </c>
      <c r="G55" s="23">
        <f>'55 Degree Loads'!R80</f>
        <v>0</v>
      </c>
      <c r="H55" s="23">
        <f>'55 Degree Loads'!S80</f>
        <v>0</v>
      </c>
      <c r="I55" s="24">
        <f>'55 Degree Loads'!T80</f>
        <v>0</v>
      </c>
    </row>
    <row r="56" spans="2:51" x14ac:dyDescent="0.25">
      <c r="B56" s="10">
        <v>19</v>
      </c>
      <c r="C56" s="14" t="str">
        <f>'DRIVE REACTIONS Zone 1'!C30</f>
        <v>0.6 DL + 0.7 ELX</v>
      </c>
      <c r="D56" s="34" t="s">
        <v>16</v>
      </c>
      <c r="E56" s="23">
        <f>'55 Degree Loads'!P81</f>
        <v>0</v>
      </c>
      <c r="F56" s="23">
        <f>'55 Degree Loads'!Q81</f>
        <v>0</v>
      </c>
      <c r="G56" s="23">
        <f>'55 Degree Loads'!R81</f>
        <v>0</v>
      </c>
      <c r="H56" s="23">
        <f>'55 Degree Loads'!S81</f>
        <v>0</v>
      </c>
      <c r="I56" s="24">
        <f>'55 Degree Loads'!T81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>'DRIVE REACTIONS Zone 1'!C31</f>
        <v>0.6 DL - 0.7 ELX</v>
      </c>
      <c r="D57" s="34" t="s">
        <v>16</v>
      </c>
      <c r="E57" s="23">
        <f>'55 Degree Loads'!P82</f>
        <v>0</v>
      </c>
      <c r="F57" s="23">
        <f>'55 Degree Loads'!Q82</f>
        <v>0</v>
      </c>
      <c r="G57" s="23">
        <f>'55 Degree Loads'!R82</f>
        <v>0</v>
      </c>
      <c r="H57" s="23">
        <f>'55 Degree Loads'!S82</f>
        <v>0</v>
      </c>
      <c r="I57" s="24">
        <f>'55 Degree Loads'!T82</f>
        <v>0</v>
      </c>
    </row>
    <row r="58" spans="2:51" x14ac:dyDescent="0.25">
      <c r="B58" s="10">
        <v>21</v>
      </c>
      <c r="C58" s="14" t="str">
        <f>'DRIVE REACTIONS Zone 1'!C32</f>
        <v>0.6 DL + 0.7 ELZ</v>
      </c>
      <c r="D58" s="34" t="s">
        <v>16</v>
      </c>
      <c r="E58" s="23">
        <f>'55 Degree Loads'!P83</f>
        <v>0</v>
      </c>
      <c r="F58" s="23">
        <f>'55 Degree Loads'!Q83</f>
        <v>0</v>
      </c>
      <c r="G58" s="23">
        <f>'55 Degree Loads'!R83</f>
        <v>0</v>
      </c>
      <c r="H58" s="23">
        <f>'55 Degree Loads'!S83</f>
        <v>0</v>
      </c>
      <c r="I58" s="24">
        <f>'55 Degree Loads'!T83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213.86449846696422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15" t="str">
        <f>'DRIVE REACTIONS Zone 1'!C33</f>
        <v>0.6 DL - 0.7 ELZ</v>
      </c>
      <c r="D59" s="36" t="s">
        <v>16</v>
      </c>
      <c r="E59" s="31">
        <f>'55 Degree Loads'!P84</f>
        <v>0</v>
      </c>
      <c r="F59" s="31">
        <f>'55 Degree Loads'!Q84</f>
        <v>0</v>
      </c>
      <c r="G59" s="31">
        <f>'55 Degree Loads'!R84</f>
        <v>0</v>
      </c>
      <c r="H59" s="31">
        <f>'55 Degree Loads'!S84</f>
        <v>0</v>
      </c>
      <c r="I59" s="32">
        <f>'55 Degree Loads'!T84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152.15969575826153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252.71096777640366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489.17964272785912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5.99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4.3729000000000005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213.86449846696422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23"/>
      <c r="D76" s="324"/>
      <c r="E76" s="323"/>
      <c r="G76" s="339" t="s">
        <v>48</v>
      </c>
      <c r="H76" s="339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128.06257393231391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532.21768750000012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195.69176841451772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5552.8094515214434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720.40539511910708</v>
      </c>
    </row>
    <row r="90" spans="2:51" x14ac:dyDescent="0.25">
      <c r="B90" s="371" t="s">
        <v>394</v>
      </c>
      <c r="C90" s="372"/>
    </row>
    <row r="91" spans="2:51" ht="15.75" thickBot="1" x14ac:dyDescent="0.3">
      <c r="B91" s="373"/>
      <c r="C91" s="374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532.21768750000012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0.82021979486171759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501.04796910161019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4.3729000000000005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9.3188240808333358</v>
      </c>
      <c r="H100" s="166" t="str">
        <f t="shared" si="3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3.1114604610461889</v>
      </c>
      <c r="H101" s="159" t="str">
        <f t="shared" si="3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0.80782072685244644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1.0635636860411946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4.736753750000001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1.6685447284918389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9.3425796666666672E-2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1"/>
        <v>in</v>
      </c>
      <c r="E107" s="19" t="str">
        <f t="shared" si="2"/>
        <v>h/tw</v>
      </c>
      <c r="G107" s="211">
        <f t="shared" si="3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1.6233143053638803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300.02872401294024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150.79957971131628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236.83768750000004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248.91683688369511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236.83768750000004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219.56983060579017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131.4789404825091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'DRIVE REACTIONS Zone 4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1.3777000000000001</v>
      </c>
      <c r="AM134" t="s">
        <v>270</v>
      </c>
      <c r="AN134">
        <f>AO12*AO13</f>
        <v>1.6120000000000001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23.782608695652176</v>
      </c>
      <c r="AM135" t="s">
        <v>186</v>
      </c>
      <c r="AN135">
        <f>AN32</f>
        <v>21.03846153846154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24.749101796407189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1" t="s">
        <v>395</v>
      </c>
      <c r="C145" s="372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3"/>
      <c r="C146" s="374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55.954491017964081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296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4.3729000000000005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9.3188240808333358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5.99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3.1114604610461889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15.75" customHeight="1" thickBot="1" x14ac:dyDescent="0.3">
      <c r="B157" s="209" t="str">
        <f t="shared" si="4"/>
        <v>Flange Thickness (tf)</v>
      </c>
      <c r="C157" s="211">
        <f t="shared" si="5"/>
        <v>0.26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4.736753750000001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5.99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28.721482960833342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1.6685447284918389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9.5898106713967746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9.3425796666666672E-2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2.5628232598673386</v>
      </c>
      <c r="D161" t="str">
        <f t="shared" si="5"/>
        <v>in</v>
      </c>
      <c r="E161" s="19" t="str">
        <f t="shared" si="6"/>
        <v>h/tw</v>
      </c>
      <c r="G161" s="211">
        <f t="shared" si="7"/>
        <v>23.782608695652176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10.644353750000002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128.06257393231391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300.02872401294024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131.4789404825091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24.749101796407189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55.954491017964081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318.69322604790426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'DRIVE REACTIONS Zone 4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1" t="s">
        <v>396</v>
      </c>
      <c r="C194" s="372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3"/>
      <c r="C195" s="374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13.279850213333331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6.2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4.4119103698781839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0.26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0.36499999999999999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6.7063159999999993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6.02</v>
      </c>
      <c r="D207" t="str">
        <f t="shared" si="60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41.000898293333343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13.226096223655915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2.6549394458704163</v>
      </c>
      <c r="D210" t="str">
        <f t="shared" si="60"/>
        <v>in</v>
      </c>
      <c r="E210" s="19" t="str">
        <f t="shared" si="56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14.766103999999999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'DRIVE REACTIONS Zone 4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71" t="s">
        <v>397</v>
      </c>
      <c r="C243" s="372"/>
    </row>
    <row r="244" spans="2:8" ht="15.75" thickBot="1" x14ac:dyDescent="0.3">
      <c r="B244" s="373"/>
      <c r="C244" s="374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17.058911573333333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6.38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5.6114840701754387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0.32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1.52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0.45500000000000002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8.5498879999999993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6.08</v>
      </c>
      <c r="D256" t="str">
        <f t="shared" si="64"/>
        <v>in</v>
      </c>
      <c r="E256" s="19" t="str">
        <f t="shared" si="61"/>
        <v>ho</v>
      </c>
      <c r="G256" s="211">
        <f>BD15</f>
        <v>5.9249999999999998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53.018014773333327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16.62006732706374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2.6980538466027935</v>
      </c>
      <c r="D259" t="str">
        <f t="shared" si="64"/>
        <v>in</v>
      </c>
      <c r="E259" s="19" t="str">
        <f t="shared" si="61"/>
        <v>h/tw</v>
      </c>
      <c r="G259" s="211">
        <f>BD18</f>
        <v>17.09375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18.784591999999996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'DRIVE REACTIONS Zone 4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C79:E79"/>
    <mergeCell ref="C80:C81"/>
    <mergeCell ref="D80:D81"/>
    <mergeCell ref="E80:E81"/>
    <mergeCell ref="C82:C83"/>
    <mergeCell ref="D82:D83"/>
    <mergeCell ref="E82:E83"/>
    <mergeCell ref="B10:I10"/>
    <mergeCell ref="B9:I9"/>
    <mergeCell ref="B35:I35"/>
    <mergeCell ref="B36:I36"/>
    <mergeCell ref="C66:C67"/>
    <mergeCell ref="D66:D67"/>
    <mergeCell ref="E66:E67"/>
    <mergeCell ref="C2:D2"/>
    <mergeCell ref="C6:D6"/>
    <mergeCell ref="F6:G7"/>
    <mergeCell ref="C3:D4"/>
    <mergeCell ref="C71:E71"/>
    <mergeCell ref="C72:C73"/>
    <mergeCell ref="D72:D73"/>
    <mergeCell ref="E72:E73"/>
    <mergeCell ref="G76:H76"/>
    <mergeCell ref="C76:C77"/>
    <mergeCell ref="D76:D77"/>
    <mergeCell ref="E76:E77"/>
    <mergeCell ref="C74:C75"/>
    <mergeCell ref="D74:D75"/>
    <mergeCell ref="E74:E75"/>
    <mergeCell ref="C61:E61"/>
    <mergeCell ref="C62:E62"/>
    <mergeCell ref="C68:C69"/>
    <mergeCell ref="D68:D69"/>
    <mergeCell ref="E68:E69"/>
    <mergeCell ref="C63:E63"/>
    <mergeCell ref="C64:C65"/>
    <mergeCell ref="D64:D65"/>
    <mergeCell ref="E64:E65"/>
  </mergeCells>
  <conditionalFormatting sqref="E12:H33 E38:H59">
    <cfRule type="expression" dxfId="216" priority="75">
      <formula>ABS(E12)=MAX(ABS($E$12:$E$33),ABS($E$38:$E$59))</formula>
    </cfRule>
  </conditionalFormatting>
  <conditionalFormatting sqref="F12:F33 F38:F59 G12:H12">
    <cfRule type="expression" dxfId="215" priority="74">
      <formula>ABS(F12)=MAX(ABS($F$12:$F$33),ABS($F$38:$F$59))</formula>
    </cfRule>
  </conditionalFormatting>
  <conditionalFormatting sqref="G12:G33 G38:G59">
    <cfRule type="expression" dxfId="214" priority="73">
      <formula>ABS(G12)=MAX(ABS($G$12:$G$33),ABS($G$38:$G$59))</formula>
    </cfRule>
  </conditionalFormatting>
  <conditionalFormatting sqref="H12:H33 H38:H59">
    <cfRule type="expression" dxfId="213" priority="72">
      <formula>ABS(H12)=MAX(ABS($H$12:$H$33),ABS($H$38:$H$59))</formula>
    </cfRule>
  </conditionalFormatting>
  <conditionalFormatting sqref="I38:I59 I12:I35">
    <cfRule type="expression" dxfId="212" priority="71">
      <formula>ABS(I12)=MAX(ABS($I$12:$I$33),ABS($I$38:$I$59))</formula>
    </cfRule>
  </conditionalFormatting>
  <conditionalFormatting sqref="E12:I35 E38:I59">
    <cfRule type="expression" priority="70" stopIfTrue="1">
      <formula>E12=0</formula>
    </cfRule>
  </conditionalFormatting>
  <conditionalFormatting sqref="C132 C186 C235 C284">
    <cfRule type="cellIs" dxfId="211" priority="35" operator="greaterThan">
      <formula>1</formula>
    </cfRule>
  </conditionalFormatting>
  <conditionalFormatting sqref="V4">
    <cfRule type="expression" dxfId="210" priority="29">
      <formula>$F$9="Zone 5"</formula>
    </cfRule>
    <cfRule type="expression" dxfId="209" priority="30">
      <formula>$F$9="Zone 4"</formula>
    </cfRule>
    <cfRule type="expression" dxfId="208" priority="31">
      <formula>$F$9="Zone 3"</formula>
    </cfRule>
    <cfRule type="expression" dxfId="207" priority="32">
      <formula>$F$9="Zone 2"</formula>
    </cfRule>
    <cfRule type="expression" dxfId="206" priority="33">
      <formula>$F$9="Zone 1"</formula>
    </cfRule>
    <cfRule type="expression" dxfId="205" priority="34">
      <formula>$F$9="Zone 1 - Drive"</formula>
    </cfRule>
  </conditionalFormatting>
  <conditionalFormatting sqref="Y41:Y150 AJ41:AJ150 AT41:AT150 BD41:BD150">
    <cfRule type="expression" dxfId="204" priority="28">
      <formula>Y41="Satisfactory"</formula>
    </cfRule>
  </conditionalFormatting>
  <conditionalFormatting sqref="AG4">
    <cfRule type="expression" dxfId="203" priority="22">
      <formula>$F$9="Zone 5"</formula>
    </cfRule>
    <cfRule type="expression" dxfId="202" priority="23">
      <formula>$F$9="Zone 4"</formula>
    </cfRule>
    <cfRule type="expression" dxfId="201" priority="24">
      <formula>$F$9="Zone 3"</formula>
    </cfRule>
    <cfRule type="expression" dxfId="200" priority="25">
      <formula>$F$9="Zone 2"</formula>
    </cfRule>
    <cfRule type="expression" dxfId="199" priority="26">
      <formula>$F$9="Zone 1"</formula>
    </cfRule>
    <cfRule type="expression" dxfId="198" priority="27">
      <formula>$F$9="Zone 1 - Drive"</formula>
    </cfRule>
  </conditionalFormatting>
  <conditionalFormatting sqref="AQ4">
    <cfRule type="expression" dxfId="197" priority="16">
      <formula>$F$9="Zone 5"</formula>
    </cfRule>
    <cfRule type="expression" dxfId="196" priority="17">
      <formula>$F$9="Zone 4"</formula>
    </cfRule>
    <cfRule type="expression" dxfId="195" priority="18">
      <formula>$F$9="Zone 3"</formula>
    </cfRule>
    <cfRule type="expression" dxfId="194" priority="19">
      <formula>$F$9="Zone 2"</formula>
    </cfRule>
    <cfRule type="expression" dxfId="193" priority="20">
      <formula>$F$9="Zone 1"</formula>
    </cfRule>
    <cfRule type="expression" dxfId="192" priority="21">
      <formula>$F$9="Zone 1 - Drive"</formula>
    </cfRule>
  </conditionalFormatting>
  <conditionalFormatting sqref="BA4">
    <cfRule type="expression" dxfId="191" priority="10">
      <formula>$F$9="Zone 5"</formula>
    </cfRule>
    <cfRule type="expression" dxfId="190" priority="11">
      <formula>$F$9="Zone 4"</formula>
    </cfRule>
    <cfRule type="expression" dxfId="189" priority="12">
      <formula>$F$9="Zone 3"</formula>
    </cfRule>
    <cfRule type="expression" dxfId="188" priority="13">
      <formula>$F$9="Zone 2"</formula>
    </cfRule>
    <cfRule type="expression" dxfId="187" priority="14">
      <formula>$F$9="Zone 1"</formula>
    </cfRule>
    <cfRule type="expression" dxfId="186" priority="15">
      <formula>$F$9="Zone 1 - Drive"</formula>
    </cfRule>
  </conditionalFormatting>
  <conditionalFormatting sqref="Y31:Y40 AJ31:AJ40 AT31:AT40 BD31:BD40">
    <cfRule type="expression" dxfId="185" priority="9">
      <formula>Y31="Satisfactory"</formula>
    </cfRule>
  </conditionalFormatting>
  <conditionalFormatting sqref="Y158:Y179">
    <cfRule type="top10" dxfId="184" priority="8" rank="1"/>
  </conditionalFormatting>
  <conditionalFormatting sqref="Y184:Y205">
    <cfRule type="top10" dxfId="183" priority="7" rank="1"/>
  </conditionalFormatting>
  <conditionalFormatting sqref="AJ158:AJ179">
    <cfRule type="top10" dxfId="182" priority="6" rank="1"/>
  </conditionalFormatting>
  <conditionalFormatting sqref="AJ184:AJ205">
    <cfRule type="top10" dxfId="181" priority="5" rank="1"/>
  </conditionalFormatting>
  <conditionalFormatting sqref="AT158:AT179">
    <cfRule type="top10" dxfId="180" priority="4" rank="1"/>
  </conditionalFormatting>
  <conditionalFormatting sqref="AT184:AT205">
    <cfRule type="top10" dxfId="179" priority="3" rank="1"/>
  </conditionalFormatting>
  <conditionalFormatting sqref="BD158:BD179">
    <cfRule type="top10" dxfId="178" priority="2" rank="1"/>
  </conditionalFormatting>
  <conditionalFormatting sqref="BD184:BD205">
    <cfRule type="top10" dxfId="177" priority="1" rank="1"/>
  </conditionalFormatting>
  <dataValidations disablePrompts="1" count="1">
    <dataValidation type="list" allowBlank="1" showInputMessage="1" showErrorMessage="1" sqref="P17" xr:uid="{2DB511BF-EC33-408E-BF0F-FE73069BB2D5}">
      <formula1>"No,Yes"</formula1>
    </dataValidation>
  </dataValidations>
  <pageMargins left="0.7" right="0.7" top="0.75" bottom="0.75" header="0.3" footer="0.3"/>
  <pageSetup scale="40" orientation="landscape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000-000000000000}">
          <x14:formula1>
            <xm:f>'Load Combinations'!$A$1:$C$1</xm:f>
          </x14:formula1>
          <xm:sqref>C11</xm:sqref>
        </x14:dataValidation>
        <x14:dataValidation type="list" allowBlank="1" showInputMessage="1" showErrorMessage="1" xr:uid="{0F7B4591-BC82-415F-B456-224F7FA1C8A0}">
          <x14:formula1>
            <xm:f>Shapes!$A$2:$A$17</xm:f>
          </x14:formula1>
          <xm:sqref>C200 C151 C97 C249</xm:sqref>
        </x14:dataValidation>
        <x14:dataValidation type="list" allowBlank="1" showInputMessage="1" showErrorMessage="1" xr:uid="{4FA3B22E-FAFD-4A1D-87D8-53777A2452AD}">
          <x14:formula1>
            <xm:f>List!$D$2:$D$5</xm:f>
          </x14:formula1>
          <xm:sqref>P21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F1FA5-8D82-4922-ADBF-1ADF9F256336}">
  <sheetPr codeName="Sheet4">
    <pageSetUpPr fitToPage="1"/>
  </sheetPr>
  <dimension ref="B2:BF284"/>
  <sheetViews>
    <sheetView showGridLines="0" view="pageBreakPreview" zoomScale="70" zoomScaleNormal="100" zoomScaleSheetLayoutView="70" workbookViewId="0">
      <selection activeCell="BC69" sqref="BC69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1" t="s">
        <v>102</v>
      </c>
      <c r="D3" s="372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73"/>
      <c r="D4" s="374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85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37" t="s">
        <v>3</v>
      </c>
      <c r="C11" s="37" t="str">
        <f>'DRIVE REACTIONS Zone 1'!C11</f>
        <v>Load Combination ASD (ASCE 7-16)</v>
      </c>
      <c r="D11" s="37" t="s">
        <v>13</v>
      </c>
      <c r="E11" s="38" t="s">
        <v>44</v>
      </c>
      <c r="F11" s="38" t="s">
        <v>4</v>
      </c>
      <c r="G11" s="38" t="s">
        <v>45</v>
      </c>
      <c r="H11" s="38" t="s">
        <v>47</v>
      </c>
      <c r="I11" s="38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3.9547929600000002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8.3722498051719185</v>
      </c>
      <c r="Z11" s="166" t="s">
        <v>173</v>
      </c>
      <c r="AC11" s="341" t="s">
        <v>171</v>
      </c>
      <c r="AD11" s="340"/>
      <c r="AE11" s="164">
        <f>2*(AE15*AE14)+((AE12-(2*AE14))*AE13)</f>
        <v>3.9547929600000002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8.3722498051719185</v>
      </c>
      <c r="AK11" s="166" t="s">
        <v>173</v>
      </c>
      <c r="AM11" s="341" t="s">
        <v>171</v>
      </c>
      <c r="AN11" s="340"/>
      <c r="AO11" s="164">
        <f>2*(AO15*AO14)+((AO12-(2*AO14))*AO13)</f>
        <v>5.3930289599999996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12.274338640417513</v>
      </c>
      <c r="AU11" s="166" t="s">
        <v>173</v>
      </c>
      <c r="AW11" s="341" t="s">
        <v>171</v>
      </c>
      <c r="AX11" s="340"/>
      <c r="AY11" s="164">
        <f>2*(AY15*AY14)+((AY12-(2*AY14))*AY13)</f>
        <v>6.8537649599999995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9">
        <v>1</v>
      </c>
      <c r="C12" s="28" t="str">
        <f>'DRIVE REACTIONS Zone 1'!C12</f>
        <v>DL</v>
      </c>
      <c r="D12" s="35" t="s">
        <v>16</v>
      </c>
      <c r="E12" s="21">
        <f>'0 Degree Loads'!P63</f>
        <v>0</v>
      </c>
      <c r="F12" s="21">
        <f>'0 Degree Loads'!Q63</f>
        <v>0</v>
      </c>
      <c r="G12" s="21">
        <f>'0 Degree Loads'!R63</f>
        <v>0</v>
      </c>
      <c r="H12" s="21">
        <f>'0 Degree Loads'!S63</f>
        <v>0</v>
      </c>
      <c r="I12" s="22">
        <f>'0 Degree Loads'!T63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INDEX(Shapes!$D$2:$D$17,MATCH(PROFILE_ZONE_4_STD,Shapes!$A$2:$A$17,0))-T9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INDEX(Shapes!$D$2:$D$17,MATCH(PROFILE_ZONE_4_1,Shapes!$A$2:$A$17,0))-AE9</f>
        <v>5.9664000000000001</v>
      </c>
      <c r="AF12" t="s">
        <v>170</v>
      </c>
      <c r="AG12" s="168"/>
      <c r="AH12" s="342" t="s">
        <v>405</v>
      </c>
      <c r="AI12" s="342"/>
      <c r="AJ12" s="8">
        <f>(2*AJ11)/AE15</f>
        <v>2.8064661454719491</v>
      </c>
      <c r="AK12" s="159" t="s">
        <v>175</v>
      </c>
      <c r="AM12" s="343" t="s">
        <v>174</v>
      </c>
      <c r="AN12" s="342"/>
      <c r="AO12" s="167">
        <f>INDEX(Shapes!$D$2:$D$17,MATCH(PROFILE_ZONE_4_2,Shapes!$A$2:$A$17,0))-AO9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INDEX(Shapes!$D$2:$D$17,MATCH(PROFILE_ZONE_4_3,Shapes!$A$2:$A$17,0))-AY9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10">
        <v>2</v>
      </c>
      <c r="C13" s="14" t="str">
        <f>'DRIVE REACTIONS Zone 1'!C13</f>
        <v>DL + SL</v>
      </c>
      <c r="D13" s="34" t="s">
        <v>16</v>
      </c>
      <c r="E13" s="23">
        <f>'0 Degree Loads'!P64</f>
        <v>0</v>
      </c>
      <c r="F13" s="23">
        <f>'0 Degree Loads'!Q64</f>
        <v>0</v>
      </c>
      <c r="G13" s="23">
        <f>'0 Degree Loads'!R64</f>
        <v>0</v>
      </c>
      <c r="H13" s="23">
        <f>'0 Degree Loads'!S64</f>
        <v>0</v>
      </c>
      <c r="I13" s="24">
        <f>'0 Degree Loads'!T64</f>
        <v>0</v>
      </c>
      <c r="R13" s="343" t="s">
        <v>176</v>
      </c>
      <c r="S13" s="342"/>
      <c r="T13" s="167">
        <f>INDEX(Shapes!$H$2:$H$17,MATCH(PROFILE_ZONE_4_STD,Shapes!$A$2:$A$17,0))-T9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INDEX(Shapes!$Y$2:$Y$17,MATCH(PROFILE_ZONE_4_STD,Shapes!$A$2:$A$17,0))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INDEX(Shapes!$H$2:$H$17,MATCH(PROFILE_ZONE_4_1,Shapes!$A$2:$A$17,0))-AE9</f>
        <v>0.2064</v>
      </c>
      <c r="AF13" t="s">
        <v>170</v>
      </c>
      <c r="AG13" s="168"/>
      <c r="AH13" s="342" t="s">
        <v>177</v>
      </c>
      <c r="AI13" s="342"/>
      <c r="AJ13" s="8">
        <f>INDEX(Shapes!$Y$2:$Y$17,MATCH(PROFILE_ZONE_4_1,Shapes!$A$2:$A$17,0))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INDEX(Shapes!$H$2:$H$17,MATCH(PROFILE_ZONE_4_2,Shapes!$A$2:$A$17,0))-AO9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INDEX(Shapes!$Y$2:$Y$17,MATCH(PROFILE_ZONE_4_2,Shapes!$A$2:$A$17,0))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INDEX(Shapes!$H$2:$H$17,MATCH(PROFILE_ZONE_4_3,Shapes!$A$2:$A$17,0))-AY9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INDEX(Shapes!$Y$2:$Y$17,MATCH(PROFILE_ZONE_4_3,Shapes!$A$2:$A$17,0))</f>
        <v>1.52</v>
      </c>
      <c r="BE13" s="159" t="s">
        <v>175</v>
      </c>
    </row>
    <row r="14" spans="2:58" x14ac:dyDescent="0.25">
      <c r="B14" s="10">
        <v>3</v>
      </c>
      <c r="C14" s="14" t="str">
        <f>'DRIVE REACTIONS Zone 1'!C14</f>
        <v>DL + 0.6 WL+X</v>
      </c>
      <c r="D14" s="34" t="s">
        <v>16</v>
      </c>
      <c r="E14" s="23">
        <f>'0 Degree Loads'!P65</f>
        <v>0</v>
      </c>
      <c r="F14" s="23">
        <f>'0 Degree Loads'!Q65</f>
        <v>0</v>
      </c>
      <c r="G14" s="23">
        <f>'0 Degree Loads'!R65</f>
        <v>0</v>
      </c>
      <c r="H14" s="23">
        <f>'0 Degree Loads'!S65</f>
        <v>0</v>
      </c>
      <c r="I14" s="24">
        <f>'0 Degree Loads'!T65</f>
        <v>0</v>
      </c>
      <c r="R14" s="343" t="s">
        <v>178</v>
      </c>
      <c r="S14" s="342"/>
      <c r="T14" s="167">
        <f>INDEX(Shapes!$K$2:$K$17,MATCH(PROFILE_ZONE_4_STD,Shapes!$A$2:$A$17,0))-T9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INDEX(Shapes!$K$2:$K$17,MATCH(PROFILE_ZONE_4_1,Shapes!$A$2:$A$17,0))-AE9</f>
        <v>0.2364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4.2661833615360001</v>
      </c>
      <c r="AK14" s="159" t="s">
        <v>175</v>
      </c>
      <c r="AM14" s="343" t="s">
        <v>178</v>
      </c>
      <c r="AN14" s="342"/>
      <c r="AO14" s="167">
        <f>INDEX(Shapes!$K$2:$K$17,MATCH(PROFILE_ZONE_4_2,Shapes!$A$2:$A$17,0))-AO9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INDEX(Shapes!$K$2:$K$17,MATCH(PROFILE_ZONE_4_3,Shapes!$A$2:$A$17,0))-AY9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10">
        <v>4</v>
      </c>
      <c r="C15" s="14" t="str">
        <f>'DRIVE REACTIONS Zone 1'!C15</f>
        <v>DL + 0.6 WL-X</v>
      </c>
      <c r="D15" s="34" t="s">
        <v>16</v>
      </c>
      <c r="E15" s="23">
        <f>'0 Degree Loads'!P66</f>
        <v>0</v>
      </c>
      <c r="F15" s="23">
        <f>'0 Degree Loads'!Q66</f>
        <v>0</v>
      </c>
      <c r="G15" s="23">
        <f>'0 Degree Loads'!R66</f>
        <v>0</v>
      </c>
      <c r="H15" s="23">
        <f>'0 Degree Loads'!S66</f>
        <v>0</v>
      </c>
      <c r="I15" s="24">
        <f>'0 Degree Loads'!T66</f>
        <v>0</v>
      </c>
      <c r="R15" s="343" t="s">
        <v>179</v>
      </c>
      <c r="S15" s="342"/>
      <c r="T15" s="167">
        <f>INDEX(Shapes!$F$2:$F$17,MATCH(PROFILE_ZONE_4_STD,Shapes!$A$2:$A$17,0))-T9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INDEX(Shapes!$F$2:$F$17,MATCH(PROFILE_ZONE_4_1,Shapes!$A$2:$A$17,0))-AE9</f>
        <v>5.9664000000000001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INDEX(Shapes!$F$2:$F$17,MATCH(PROFILE_ZONE_4_2,Shapes!$A$2:$A$17,0))-AO9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INDEX(Shapes!$F$2:$F$17,MATCH(PROFILE_ZONE_4_3,Shapes!$A$2:$A$17,0))-AY9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14" t="str">
        <f>'DRIVE REACTIONS Zone 1'!C16</f>
        <v>DL + 0.45 OL1 + 0.75 SL + 0.75 LL</v>
      </c>
      <c r="D16" s="34" t="s">
        <v>16</v>
      </c>
      <c r="E16" s="23">
        <f>'0 Degree Loads'!P67</f>
        <v>0</v>
      </c>
      <c r="F16" s="23">
        <f>'0 Degree Loads'!Q67</f>
        <v>0</v>
      </c>
      <c r="G16" s="23">
        <f>'0 Degree Loads'!R67</f>
        <v>0</v>
      </c>
      <c r="H16" s="23">
        <f>'0 Degree Loads'!S67</f>
        <v>0</v>
      </c>
      <c r="I16" s="24">
        <f>'0 Degree Loads'!T67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26.019505242729679</v>
      </c>
      <c r="AF16" t="s">
        <v>173</v>
      </c>
      <c r="AG16" s="168"/>
      <c r="AH16" s="342" t="s">
        <v>182</v>
      </c>
      <c r="AI16" s="342"/>
      <c r="AJ16" s="8">
        <f>SQRT((AJ11*AJ15)/(2*AE17))</f>
        <v>1.6583457046042405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10">
        <v>6</v>
      </c>
      <c r="C17" s="14" t="str">
        <f>'DRIVE REACTIONS Zone 1'!C17</f>
        <v>DL + 0.45 OL2 + 0.75 SL + 0.75 LL</v>
      </c>
      <c r="D17" s="34" t="s">
        <v>16</v>
      </c>
      <c r="E17" s="23">
        <f>'0 Degree Loads'!P68</f>
        <v>0</v>
      </c>
      <c r="F17" s="23">
        <f>'0 Degree Loads'!Q68</f>
        <v>0</v>
      </c>
      <c r="G17" s="23">
        <f>'0 Degree Loads'!R68</f>
        <v>0</v>
      </c>
      <c r="H17" s="23">
        <f>'0 Degree Loads'!S68</f>
        <v>0</v>
      </c>
      <c r="I17" s="24">
        <f>'0 Degree Loads'!T68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8.7220116796492615</v>
      </c>
      <c r="AF17" t="s">
        <v>175</v>
      </c>
      <c r="AG17" s="168"/>
      <c r="AH17" s="342" t="s">
        <v>184</v>
      </c>
      <c r="AI17" s="342"/>
      <c r="AJ17" s="8">
        <f>((2*AE15*AE14^3)+(AJ15*AE13^3))/3</f>
        <v>6.9343208049254396E-2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10">
        <v>7</v>
      </c>
      <c r="C18" s="14" t="str">
        <f>'DRIVE REACTIONS Zone 1'!C18</f>
        <v>DL + 0.45 WL+X + 0.25 SL + 0.75 LL</v>
      </c>
      <c r="D18" s="34" t="s">
        <v>16</v>
      </c>
      <c r="E18" s="23">
        <f>'0 Degree Loads'!P69</f>
        <v>0</v>
      </c>
      <c r="F18" s="23">
        <f>'0 Degree Loads'!Q69</f>
        <v>0</v>
      </c>
      <c r="G18" s="23">
        <f>'0 Degree Loads'!R69</f>
        <v>0</v>
      </c>
      <c r="H18" s="23">
        <f>'0 Degree Loads'!S69</f>
        <v>0</v>
      </c>
      <c r="I18" s="24">
        <f>'0 Degree Loads'!T69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2.5650016034267842</v>
      </c>
      <c r="AF18" t="s">
        <v>170</v>
      </c>
      <c r="AG18" s="168"/>
      <c r="AH18" s="342" t="s">
        <v>186</v>
      </c>
      <c r="AI18" s="342"/>
      <c r="AJ18" s="8">
        <f>AE20/AE13</f>
        <v>26.61627906976744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10">
        <v>8</v>
      </c>
      <c r="C19" s="14" t="str">
        <f>'DRIVE REACTIONS Zone 1'!C19</f>
        <v>DL + 0.45 WL-X + 0.25 SL + 0.75 LL</v>
      </c>
      <c r="D19" s="34" t="s">
        <v>16</v>
      </c>
      <c r="E19" s="23">
        <f>'0 Degree Loads'!P70</f>
        <v>0</v>
      </c>
      <c r="F19" s="23">
        <f>'0 Degree Loads'!Q70</f>
        <v>0</v>
      </c>
      <c r="G19" s="23">
        <f>'0 Degree Loads'!R70</f>
        <v>0</v>
      </c>
      <c r="H19" s="23">
        <f>'0 Degree Loads'!S70</f>
        <v>0</v>
      </c>
      <c r="I19" s="24">
        <f>'0 Degree Loads'!T70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9.6391878543360008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14" t="str">
        <f>'DRIVE REACTIONS Zone 1'!C20</f>
        <v>0.6 DL + 0.6 WL+X</v>
      </c>
      <c r="D20" s="34" t="s">
        <v>16</v>
      </c>
      <c r="E20" s="23">
        <f>'0 Degree Loads'!P71</f>
        <v>0</v>
      </c>
      <c r="F20" s="23">
        <f>'0 Degree Loads'!Q71</f>
        <v>0</v>
      </c>
      <c r="G20" s="23">
        <f>'0 Degree Loads'!R71</f>
        <v>0</v>
      </c>
      <c r="H20" s="23">
        <f>'0 Degree Loads'!S71</f>
        <v>0</v>
      </c>
      <c r="I20" s="24">
        <f>'0 Degree Loads'!T71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14" t="str">
        <f>'DRIVE REACTIONS Zone 1'!C21</f>
        <v>0.6 DL + 0.6 WL-X</v>
      </c>
      <c r="D21" s="34" t="s">
        <v>16</v>
      </c>
      <c r="E21" s="23">
        <f>'0 Degree Loads'!P72</f>
        <v>0</v>
      </c>
      <c r="F21" s="23">
        <f>'0 Degree Loads'!Q72</f>
        <v>0</v>
      </c>
      <c r="G21" s="23">
        <f>'0 Degree Loads'!R72</f>
        <v>0</v>
      </c>
      <c r="H21" s="23">
        <f>'0 Degree Loads'!S72</f>
        <v>0</v>
      </c>
      <c r="I21" s="24">
        <f>'0 Degree Loads'!T72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14" t="str">
        <f>'DRIVE REACTIONS Zone 1'!C22</f>
        <v>DL + 0.7 ELX</v>
      </c>
      <c r="D22" s="34" t="s">
        <v>16</v>
      </c>
      <c r="E22" s="23">
        <f>'0 Degree Loads'!P73</f>
        <v>0</v>
      </c>
      <c r="F22" s="23">
        <f>'0 Degree Loads'!Q73</f>
        <v>0</v>
      </c>
      <c r="G22" s="23">
        <f>'0 Degree Loads'!R73</f>
        <v>0</v>
      </c>
      <c r="H22" s="23">
        <f>'0 Degree Loads'!S73</f>
        <v>0</v>
      </c>
      <c r="I22" s="24">
        <f>'0 Degree Loads'!T73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14" t="str">
        <f>'DRIVE REACTIONS Zone 1'!C23</f>
        <v>DL - 0.7 ELX</v>
      </c>
      <c r="D23" s="34" t="s">
        <v>16</v>
      </c>
      <c r="E23" s="23">
        <f>'0 Degree Loads'!P74</f>
        <v>0</v>
      </c>
      <c r="F23" s="23">
        <f>'0 Degree Loads'!Q74</f>
        <v>0</v>
      </c>
      <c r="G23" s="23">
        <f>'0 Degree Loads'!R74</f>
        <v>0</v>
      </c>
      <c r="H23" s="23">
        <f>'0 Degree Loads'!S74</f>
        <v>0</v>
      </c>
      <c r="I23" s="24">
        <f>'0 Degree Loads'!T74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14" t="str">
        <f>'DRIVE REACTIONS Zone 1'!C24</f>
        <v>DL + 0.7 ELZ</v>
      </c>
      <c r="D24" s="34" t="s">
        <v>16</v>
      </c>
      <c r="E24" s="23">
        <f>'0 Degree Loads'!P75</f>
        <v>0</v>
      </c>
      <c r="F24" s="23">
        <f>'0 Degree Loads'!Q75</f>
        <v>0</v>
      </c>
      <c r="G24" s="23">
        <f>'0 Degree Loads'!R75</f>
        <v>0</v>
      </c>
      <c r="H24" s="23">
        <f>'0 Degree Loads'!S75</f>
        <v>0</v>
      </c>
      <c r="I24" s="24">
        <f>'0 Degree Loads'!T75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14" t="str">
        <f>'DRIVE REACTIONS Zone 1'!C25</f>
        <v>DL - 0.7 ELZ</v>
      </c>
      <c r="D25" s="34" t="s">
        <v>16</v>
      </c>
      <c r="E25" s="23">
        <f>'0 Degree Loads'!P76</f>
        <v>0</v>
      </c>
      <c r="F25" s="23">
        <f>'0 Degree Loads'!Q76</f>
        <v>0</v>
      </c>
      <c r="G25" s="23">
        <f>'0 Degree Loads'!R76</f>
        <v>0</v>
      </c>
      <c r="H25" s="23">
        <f>'0 Degree Loads'!S76</f>
        <v>0</v>
      </c>
      <c r="I25" s="24">
        <f>'0 Degree Loads'!T76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14" t="str">
        <f>'DRIVE REACTIONS Zone 1'!C26</f>
        <v>DL + 0.525 ELX + 0.75 SL + 0.75 LL</v>
      </c>
      <c r="D26" s="34" t="s">
        <v>16</v>
      </c>
      <c r="E26" s="23">
        <f>'0 Degree Loads'!P77</f>
        <v>0</v>
      </c>
      <c r="F26" s="23">
        <f>'0 Degree Loads'!Q77</f>
        <v>0</v>
      </c>
      <c r="G26" s="23">
        <f>'0 Degree Loads'!R77</f>
        <v>0</v>
      </c>
      <c r="H26" s="23">
        <f>'0 Degree Loads'!S77</f>
        <v>0</v>
      </c>
      <c r="I26" s="24">
        <f>'0 Degree Loads'!T77</f>
        <v>0</v>
      </c>
    </row>
    <row r="27" spans="2:57" x14ac:dyDescent="0.25">
      <c r="B27" s="10">
        <v>16</v>
      </c>
      <c r="C27" s="14" t="str">
        <f>'DRIVE REACTIONS Zone 1'!C27</f>
        <v>DL - 0.525 ELX + 0.75 SL + 0.75 LL</v>
      </c>
      <c r="D27" s="34" t="s">
        <v>16</v>
      </c>
      <c r="E27" s="23">
        <f>'0 Degree Loads'!P78</f>
        <v>0</v>
      </c>
      <c r="F27" s="23">
        <f>'0 Degree Loads'!Q78</f>
        <v>0</v>
      </c>
      <c r="G27" s="23">
        <f>'0 Degree Loads'!R78</f>
        <v>0</v>
      </c>
      <c r="H27" s="23">
        <f>'0 Degree Loads'!S78</f>
        <v>0</v>
      </c>
      <c r="I27" s="24">
        <f>'0 Degree Loads'!T78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14" t="str">
        <f>'DRIVE REACTIONS Zone 1'!C28</f>
        <v>DL + 0.525 ELZ + 0.75 SL + 0.75 LL</v>
      </c>
      <c r="D28" s="34" t="s">
        <v>16</v>
      </c>
      <c r="E28" s="23">
        <f>'0 Degree Loads'!P79</f>
        <v>0</v>
      </c>
      <c r="F28" s="23">
        <f>'0 Degree Loads'!Q79</f>
        <v>0</v>
      </c>
      <c r="G28" s="23">
        <f>'0 Degree Loads'!R79</f>
        <v>0</v>
      </c>
      <c r="H28" s="23">
        <f>'0 Degree Loads'!S79</f>
        <v>0</v>
      </c>
      <c r="I28" s="24">
        <f>'0 Degree Loads'!T79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14" t="str">
        <f>'DRIVE REACTIONS Zone 1'!C29</f>
        <v>DL - 0.525 ELZ + 0.75 SL + 0.75 LL</v>
      </c>
      <c r="D29" s="34" t="s">
        <v>16</v>
      </c>
      <c r="E29" s="23">
        <f>'0 Degree Loads'!P80</f>
        <v>0</v>
      </c>
      <c r="F29" s="23">
        <f>'0 Degree Loads'!Q80</f>
        <v>0</v>
      </c>
      <c r="G29" s="23">
        <f>'0 Degree Loads'!R80</f>
        <v>0</v>
      </c>
      <c r="H29" s="23">
        <f>'0 Degree Loads'!S80</f>
        <v>0</v>
      </c>
      <c r="I29" s="24">
        <f>'0 Degree Loads'!T80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12.619289340101524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14" t="str">
        <f>'DRIVE REACTIONS Zone 1'!C30</f>
        <v>0.6 DL + 0.7 ELX</v>
      </c>
      <c r="D30" s="34" t="s">
        <v>16</v>
      </c>
      <c r="E30" s="23">
        <f>'0 Degree Loads'!P81</f>
        <v>0</v>
      </c>
      <c r="F30" s="23">
        <f>'0 Degree Loads'!Q81</f>
        <v>0</v>
      </c>
      <c r="G30" s="23">
        <f>'0 Degree Loads'!R81</f>
        <v>0</v>
      </c>
      <c r="H30" s="23">
        <f>'0 Degree Loads'!S81</f>
        <v>0</v>
      </c>
      <c r="I30" s="24">
        <f>'0 Degree Loads'!T81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14" t="str">
        <f>'DRIVE REACTIONS Zone 1'!C31</f>
        <v>0.6 DL - 0.7 ELX</v>
      </c>
      <c r="D31" s="34" t="s">
        <v>16</v>
      </c>
      <c r="E31" s="23">
        <f>'0 Degree Loads'!P82</f>
        <v>0</v>
      </c>
      <c r="F31" s="23">
        <f>'0 Degree Loads'!Q82</f>
        <v>0</v>
      </c>
      <c r="G31" s="23">
        <f>'0 Degree Loads'!R82</f>
        <v>0</v>
      </c>
      <c r="H31" s="23">
        <f>'0 Degree Loads'!S82</f>
        <v>0</v>
      </c>
      <c r="I31" s="24">
        <f>'0 Degree Loads'!T82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14" t="str">
        <f>'DRIVE REACTIONS Zone 1'!C32</f>
        <v>0.6 DL + 0.7 ELZ</v>
      </c>
      <c r="D32" s="34" t="s">
        <v>16</v>
      </c>
      <c r="E32" s="23">
        <f>'0 Degree Loads'!P83</f>
        <v>0</v>
      </c>
      <c r="F32" s="23">
        <f>'0 Degree Loads'!Q83</f>
        <v>0</v>
      </c>
      <c r="G32" s="23">
        <f>'0 Degree Loads'!R83</f>
        <v>0</v>
      </c>
      <c r="H32" s="23">
        <f>'0 Degree Loads'!S83</f>
        <v>0</v>
      </c>
      <c r="I32" s="24">
        <f>'0 Degree Loads'!T83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26.61627906976744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13">
        <v>22</v>
      </c>
      <c r="C33" s="15" t="str">
        <f>'DRIVE REACTIONS Zone 1'!C33</f>
        <v>0.6 DL - 0.7 ELZ</v>
      </c>
      <c r="D33" s="36" t="s">
        <v>16</v>
      </c>
      <c r="E33" s="31">
        <f>'0 Degree Loads'!P84</f>
        <v>0</v>
      </c>
      <c r="F33" s="31">
        <f>'0 Degree Loads'!Q84</f>
        <v>0</v>
      </c>
      <c r="G33" s="31">
        <f>'0 Degree Loads'!R84</f>
        <v>0</v>
      </c>
      <c r="H33" s="31">
        <f>'0 Degree Loads'!S84</f>
        <v>0</v>
      </c>
      <c r="I33" s="32">
        <f>'0 Degree Loads'!T84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26" t="s">
        <v>86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29"/>
      <c r="C36" s="330"/>
      <c r="D36" s="330"/>
      <c r="E36" s="330"/>
      <c r="F36" s="330"/>
      <c r="G36" s="330"/>
      <c r="H36" s="330"/>
      <c r="I36" s="331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12.619289340101524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>'DRIVE REACTIONS Zone 1'!C12</f>
        <v>DL</v>
      </c>
      <c r="D38" s="35" t="s">
        <v>16</v>
      </c>
      <c r="E38" s="21">
        <f>'55 Degree Loads'!P63</f>
        <v>0</v>
      </c>
      <c r="F38" s="21">
        <f>'55 Degree Loads'!Q63</f>
        <v>0</v>
      </c>
      <c r="G38" s="21">
        <f>'55 Degree Loads'!R63</f>
        <v>0</v>
      </c>
      <c r="H38" s="21">
        <f>'55 Degree Loads'!S63</f>
        <v>0</v>
      </c>
      <c r="I38" s="22">
        <f>'55 Degree Loads'!T63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>'DRIVE REACTIONS Zone 1'!C13</f>
        <v>DL + SL</v>
      </c>
      <c r="D39" s="34" t="s">
        <v>16</v>
      </c>
      <c r="E39" s="23">
        <f>'55 Degree Loads'!P64</f>
        <v>0</v>
      </c>
      <c r="F39" s="23">
        <f>'55 Degree Loads'!Q64</f>
        <v>0</v>
      </c>
      <c r="G39" s="23">
        <f>'55 Degree Loads'!R64</f>
        <v>0</v>
      </c>
      <c r="H39" s="23">
        <f>'55 Degree Loads'!S64</f>
        <v>0</v>
      </c>
      <c r="I39" s="24">
        <f>'55 Degree Loads'!T64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26.61627906976744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>'DRIVE REACTIONS Zone 1'!C14</f>
        <v>DL + 0.6 WL+X</v>
      </c>
      <c r="D40" s="34" t="s">
        <v>16</v>
      </c>
      <c r="E40" s="23">
        <f>'55 Degree Loads'!P65</f>
        <v>0</v>
      </c>
      <c r="F40" s="23">
        <f>'55 Degree Loads'!Q65</f>
        <v>0</v>
      </c>
      <c r="G40" s="23">
        <f>'55 Degree Loads'!R65</f>
        <v>0</v>
      </c>
      <c r="H40" s="23">
        <f>'55 Degree Loads'!S65</f>
        <v>0</v>
      </c>
      <c r="I40" s="24">
        <f>'55 Degree Loads'!T65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>'DRIVE REACTIONS Zone 1'!C15</f>
        <v>DL + 0.6 WL-X</v>
      </c>
      <c r="D41" s="34" t="s">
        <v>16</v>
      </c>
      <c r="E41" s="23">
        <f>'55 Degree Loads'!P66</f>
        <v>0</v>
      </c>
      <c r="F41" s="23">
        <f>'55 Degree Loads'!Q66</f>
        <v>0</v>
      </c>
      <c r="G41" s="23">
        <f>'55 Degree Loads'!R66</f>
        <v>0</v>
      </c>
      <c r="H41" s="23">
        <f>'55 Degree Loads'!S66</f>
        <v>0</v>
      </c>
      <c r="I41" s="24">
        <f>'55 Degree Loads'!T66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>'DRIVE REACTIONS Zone 1'!C16</f>
        <v>DL + 0.45 OL1 + 0.75 SL + 0.75 LL</v>
      </c>
      <c r="D42" s="34" t="s">
        <v>16</v>
      </c>
      <c r="E42" s="23">
        <f>'55 Degree Loads'!P67</f>
        <v>0</v>
      </c>
      <c r="F42" s="23">
        <f>'55 Degree Loads'!Q67</f>
        <v>0</v>
      </c>
      <c r="G42" s="23">
        <f>'55 Degree Loads'!R67</f>
        <v>0</v>
      </c>
      <c r="H42" s="23">
        <f>'55 Degree Loads'!S67</f>
        <v>0</v>
      </c>
      <c r="I42" s="24">
        <f>'55 Degree Loads'!T67</f>
        <v>0</v>
      </c>
    </row>
    <row r="43" spans="2:58" x14ac:dyDescent="0.25">
      <c r="B43" s="10">
        <v>6</v>
      </c>
      <c r="C43" s="14" t="str">
        <f>'DRIVE REACTIONS Zone 1'!C17</f>
        <v>DL + 0.45 OL2 + 0.75 SL + 0.75 LL</v>
      </c>
      <c r="D43" s="34" t="s">
        <v>16</v>
      </c>
      <c r="E43" s="23">
        <f>'55 Degree Loads'!P68</f>
        <v>0</v>
      </c>
      <c r="F43" s="23">
        <f>'55 Degree Loads'!Q68</f>
        <v>0</v>
      </c>
      <c r="G43" s="23">
        <f>'55 Degree Loads'!R68</f>
        <v>0</v>
      </c>
      <c r="H43" s="23">
        <f>'55 Degree Loads'!S68</f>
        <v>0</v>
      </c>
      <c r="I43" s="24">
        <f>'55 Degree Loads'!T68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>'DRIVE REACTIONS Zone 1'!C18</f>
        <v>DL + 0.45 WL+X + 0.25 SL + 0.75 LL</v>
      </c>
      <c r="D44" s="34" t="s">
        <v>16</v>
      </c>
      <c r="E44" s="23">
        <f>'55 Degree Loads'!P69</f>
        <v>0</v>
      </c>
      <c r="F44" s="23">
        <f>'55 Degree Loads'!Q69</f>
        <v>0</v>
      </c>
      <c r="G44" s="23">
        <f>'55 Degree Loads'!R69</f>
        <v>0</v>
      </c>
      <c r="H44" s="23">
        <f>'55 Degree Loads'!S69</f>
        <v>0</v>
      </c>
      <c r="I44" s="24">
        <f>'55 Degree Loads'!T69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>'DRIVE REACTIONS Zone 1'!C19</f>
        <v>DL + 0.45 WL-X + 0.25 SL + 0.75 LL</v>
      </c>
      <c r="D45" s="34" t="s">
        <v>16</v>
      </c>
      <c r="E45" s="23">
        <f>'55 Degree Loads'!P70</f>
        <v>0</v>
      </c>
      <c r="F45" s="23">
        <f>'55 Degree Loads'!Q70</f>
        <v>0</v>
      </c>
      <c r="G45" s="23">
        <f>'55 Degree Loads'!R70</f>
        <v>0</v>
      </c>
      <c r="H45" s="23">
        <f>'55 Degree Loads'!S70</f>
        <v>0</v>
      </c>
      <c r="I45" s="24">
        <f>'55 Degree Loads'!T70</f>
        <v>0</v>
      </c>
    </row>
    <row r="46" spans="2:58" x14ac:dyDescent="0.25">
      <c r="B46" s="10">
        <v>9</v>
      </c>
      <c r="C46" s="14" t="str">
        <f>'DRIVE REACTIONS Zone 1'!C20</f>
        <v>0.6 DL + 0.6 WL+X</v>
      </c>
      <c r="D46" s="34" t="s">
        <v>16</v>
      </c>
      <c r="E46" s="23">
        <f>'55 Degree Loads'!P71</f>
        <v>0</v>
      </c>
      <c r="F46" s="23">
        <f>'55 Degree Loads'!Q71</f>
        <v>0</v>
      </c>
      <c r="G46" s="23">
        <f>'55 Degree Loads'!R71</f>
        <v>0</v>
      </c>
      <c r="H46" s="23">
        <f>'55 Degree Loads'!S71</f>
        <v>0</v>
      </c>
      <c r="I46" s="24">
        <f>'55 Degree Loads'!T71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9.8245552620058305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27.979566428971172</v>
      </c>
    </row>
    <row r="47" spans="2:58" x14ac:dyDescent="0.25">
      <c r="B47" s="10">
        <v>10</v>
      </c>
      <c r="C47" s="14" t="str">
        <f>'DRIVE REACTIONS Zone 1'!C21</f>
        <v>0.6 DL + 0.6 WL-X</v>
      </c>
      <c r="D47" s="34" t="s">
        <v>16</v>
      </c>
      <c r="E47" s="23">
        <f>'55 Degree Loads'!P72</f>
        <v>0</v>
      </c>
      <c r="F47" s="23">
        <f>'55 Degree Loads'!Q72</f>
        <v>0</v>
      </c>
      <c r="G47" s="23">
        <f>'55 Degree Loads'!R72</f>
        <v>0</v>
      </c>
      <c r="H47" s="23">
        <f>'55 Degree Loads'!S72</f>
        <v>0</v>
      </c>
      <c r="I47" s="24">
        <f>'55 Degree Loads'!T72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>'DRIVE REACTIONS Zone 1'!C22</f>
        <v>DL + 0.7 ELX</v>
      </c>
      <c r="D48" s="34" t="s">
        <v>16</v>
      </c>
      <c r="E48" s="23">
        <f>'55 Degree Loads'!P73</f>
        <v>0</v>
      </c>
      <c r="F48" s="23">
        <f>'55 Degree Loads'!Q73</f>
        <v>0</v>
      </c>
      <c r="G48" s="23">
        <f>'55 Degree Loads'!R73</f>
        <v>0</v>
      </c>
      <c r="H48" s="23">
        <f>'55 Degree Loads'!S73</f>
        <v>0</v>
      </c>
      <c r="I48" s="24">
        <f>'55 Degree Loads'!T73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>'DRIVE REACTIONS Zone 1'!C23</f>
        <v>DL - 0.7 ELX</v>
      </c>
      <c r="D49" s="34" t="s">
        <v>16</v>
      </c>
      <c r="E49" s="23">
        <f>'55 Degree Loads'!P74</f>
        <v>0</v>
      </c>
      <c r="F49" s="23">
        <f>'55 Degree Loads'!Q74</f>
        <v>0</v>
      </c>
      <c r="G49" s="23">
        <f>'55 Degree Loads'!R74</f>
        <v>0</v>
      </c>
      <c r="H49" s="23">
        <f>'55 Degree Loads'!S74</f>
        <v>0</v>
      </c>
      <c r="I49" s="24">
        <f>'55 Degree Loads'!T74</f>
        <v>0</v>
      </c>
    </row>
    <row r="50" spans="2:51" x14ac:dyDescent="0.25">
      <c r="B50" s="10">
        <v>13</v>
      </c>
      <c r="C50" s="14" t="str">
        <f>'DRIVE REACTIONS Zone 1'!C24</f>
        <v>DL + 0.7 ELZ</v>
      </c>
      <c r="D50" s="34" t="s">
        <v>16</v>
      </c>
      <c r="E50" s="23">
        <f>'55 Degree Loads'!P75</f>
        <v>0</v>
      </c>
      <c r="F50" s="23">
        <f>'55 Degree Loads'!Q75</f>
        <v>0</v>
      </c>
      <c r="G50" s="23">
        <f>'55 Degree Loads'!R75</f>
        <v>0</v>
      </c>
      <c r="H50" s="23">
        <f>'55 Degree Loads'!S75</f>
        <v>0</v>
      </c>
      <c r="I50" s="24">
        <f>'55 Degree Loads'!T75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>'DRIVE REACTIONS Zone 1'!C25</f>
        <v>DL - 0.7 ELZ</v>
      </c>
      <c r="D51" s="34" t="s">
        <v>16</v>
      </c>
      <c r="E51" s="23">
        <f>'55 Degree Loads'!P76</f>
        <v>0</v>
      </c>
      <c r="F51" s="23">
        <f>'55 Degree Loads'!Q76</f>
        <v>0</v>
      </c>
      <c r="G51" s="23">
        <f>'55 Degree Loads'!R76</f>
        <v>0</v>
      </c>
      <c r="H51" s="23">
        <f>'55 Degree Loads'!S76</f>
        <v>0</v>
      </c>
      <c r="I51" s="24">
        <f>'55 Degree Loads'!T76</f>
        <v>0</v>
      </c>
    </row>
    <row r="52" spans="2:51" x14ac:dyDescent="0.25">
      <c r="B52" s="10">
        <v>15</v>
      </c>
      <c r="C52" s="14" t="str">
        <f>'DRIVE REACTIONS Zone 1'!C26</f>
        <v>DL + 0.525 ELX + 0.75 SL + 0.75 LL</v>
      </c>
      <c r="D52" s="34" t="s">
        <v>16</v>
      </c>
      <c r="E52" s="23">
        <f>'55 Degree Loads'!P77</f>
        <v>0</v>
      </c>
      <c r="F52" s="23">
        <f>'55 Degree Loads'!Q77</f>
        <v>0</v>
      </c>
      <c r="G52" s="23">
        <f>'55 Degree Loads'!R77</f>
        <v>0</v>
      </c>
      <c r="H52" s="23">
        <f>'55 Degree Loads'!S77</f>
        <v>0</v>
      </c>
      <c r="I52" s="24">
        <f>'55 Degree Loads'!T77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>'DRIVE REACTIONS Zone 1'!C27</f>
        <v>DL - 0.525 ELX + 0.75 SL + 0.75 LL</v>
      </c>
      <c r="D53" s="34" t="s">
        <v>16</v>
      </c>
      <c r="E53" s="23">
        <f>'55 Degree Loads'!P78</f>
        <v>0</v>
      </c>
      <c r="F53" s="23">
        <f>'55 Degree Loads'!Q78</f>
        <v>0</v>
      </c>
      <c r="G53" s="23">
        <f>'55 Degree Loads'!R78</f>
        <v>0</v>
      </c>
      <c r="H53" s="23">
        <f>'55 Degree Loads'!S78</f>
        <v>0</v>
      </c>
      <c r="I53" s="24">
        <f>'55 Degree Loads'!T78</f>
        <v>0</v>
      </c>
    </row>
    <row r="54" spans="2:51" x14ac:dyDescent="0.25">
      <c r="B54" s="10">
        <v>17</v>
      </c>
      <c r="C54" s="14" t="str">
        <f>'DRIVE REACTIONS Zone 1'!C28</f>
        <v>DL + 0.525 ELZ + 0.75 SL + 0.75 LL</v>
      </c>
      <c r="D54" s="34" t="s">
        <v>16</v>
      </c>
      <c r="E54" s="23">
        <f>'55 Degree Loads'!P79</f>
        <v>0</v>
      </c>
      <c r="F54" s="23">
        <f>'55 Degree Loads'!Q79</f>
        <v>0</v>
      </c>
      <c r="G54" s="23">
        <f>'55 Degree Loads'!R79</f>
        <v>0</v>
      </c>
      <c r="H54" s="23">
        <f>'55 Degree Loads'!S79</f>
        <v>0</v>
      </c>
      <c r="I54" s="24">
        <f>'55 Degree Loads'!T79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>'DRIVE REACTIONS Zone 1'!C29</f>
        <v>DL - 0.525 ELZ + 0.75 SL + 0.75 LL</v>
      </c>
      <c r="D55" s="34" t="s">
        <v>16</v>
      </c>
      <c r="E55" s="23">
        <f>'55 Degree Loads'!P80</f>
        <v>0</v>
      </c>
      <c r="F55" s="23">
        <f>'55 Degree Loads'!Q80</f>
        <v>0</v>
      </c>
      <c r="G55" s="23">
        <f>'55 Degree Loads'!R80</f>
        <v>0</v>
      </c>
      <c r="H55" s="23">
        <f>'55 Degree Loads'!S80</f>
        <v>0</v>
      </c>
      <c r="I55" s="24">
        <f>'55 Degree Loads'!T80</f>
        <v>0</v>
      </c>
    </row>
    <row r="56" spans="2:51" x14ac:dyDescent="0.25">
      <c r="B56" s="10">
        <v>19</v>
      </c>
      <c r="C56" s="14" t="str">
        <f>'DRIVE REACTIONS Zone 1'!C30</f>
        <v>0.6 DL + 0.7 ELX</v>
      </c>
      <c r="D56" s="34" t="s">
        <v>16</v>
      </c>
      <c r="E56" s="23">
        <f>'55 Degree Loads'!P81</f>
        <v>0</v>
      </c>
      <c r="F56" s="23">
        <f>'55 Degree Loads'!Q81</f>
        <v>0</v>
      </c>
      <c r="G56" s="23">
        <f>'55 Degree Loads'!R81</f>
        <v>0</v>
      </c>
      <c r="H56" s="23">
        <f>'55 Degree Loads'!S81</f>
        <v>0</v>
      </c>
      <c r="I56" s="24">
        <f>'55 Degree Loads'!T81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>'DRIVE REACTIONS Zone 1'!C31</f>
        <v>0.6 DL - 0.7 ELX</v>
      </c>
      <c r="D57" s="34" t="s">
        <v>16</v>
      </c>
      <c r="E57" s="23">
        <f>'55 Degree Loads'!P82</f>
        <v>0</v>
      </c>
      <c r="F57" s="23">
        <f>'55 Degree Loads'!Q82</f>
        <v>0</v>
      </c>
      <c r="G57" s="23">
        <f>'55 Degree Loads'!R82</f>
        <v>0</v>
      </c>
      <c r="H57" s="23">
        <f>'55 Degree Loads'!S82</f>
        <v>0</v>
      </c>
      <c r="I57" s="24">
        <f>'55 Degree Loads'!T82</f>
        <v>0</v>
      </c>
    </row>
    <row r="58" spans="2:51" x14ac:dyDescent="0.25">
      <c r="B58" s="10">
        <v>21</v>
      </c>
      <c r="C58" s="14" t="str">
        <f>'DRIVE REACTIONS Zone 1'!C32</f>
        <v>0.6 DL + 0.7 ELZ</v>
      </c>
      <c r="D58" s="34" t="s">
        <v>16</v>
      </c>
      <c r="E58" s="23">
        <f>'55 Degree Loads'!P83</f>
        <v>0</v>
      </c>
      <c r="F58" s="23">
        <f>'55 Degree Loads'!Q83</f>
        <v>0</v>
      </c>
      <c r="G58" s="23">
        <f>'55 Degree Loads'!R83</f>
        <v>0</v>
      </c>
      <c r="H58" s="23">
        <f>'55 Degree Loads'!S83</f>
        <v>0</v>
      </c>
      <c r="I58" s="24">
        <f>'55 Degree Loads'!T83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193.41622560110702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15" t="str">
        <f>'DRIVE REACTIONS Zone 1'!C33</f>
        <v>0.6 DL - 0.7 ELZ</v>
      </c>
      <c r="D59" s="36" t="s">
        <v>16</v>
      </c>
      <c r="E59" s="31">
        <f>'55 Degree Loads'!P84</f>
        <v>0</v>
      </c>
      <c r="F59" s="31">
        <f>'55 Degree Loads'!Q84</f>
        <v>0</v>
      </c>
      <c r="G59" s="31">
        <f>'55 Degree Loads'!R84</f>
        <v>0</v>
      </c>
      <c r="H59" s="31">
        <f>'55 Degree Loads'!S84</f>
        <v>0</v>
      </c>
      <c r="I59" s="32">
        <f>'55 Degree Loads'!T84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126.78760333312403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5.9664000000000001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201.7661879093223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416.08820166846402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5.9664000000000001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3.9547929600000002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193.41622560110702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23"/>
      <c r="D76" s="324"/>
      <c r="E76" s="323"/>
      <c r="G76" s="339" t="s">
        <v>48</v>
      </c>
      <c r="H76" s="339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128.94415040073801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481.95939271680004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185.99254567288165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5481.8842383123028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707.80755022462586</v>
      </c>
    </row>
    <row r="90" spans="2:51" x14ac:dyDescent="0.25">
      <c r="B90" s="371" t="s">
        <v>394</v>
      </c>
      <c r="C90" s="372"/>
    </row>
    <row r="91" spans="2:51" ht="15.75" thickBot="1" x14ac:dyDescent="0.3">
      <c r="B91" s="373"/>
      <c r="C91" s="374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481.95939271680004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0.77532952168153202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'DRIVE REACTIONS Zone 4'!C97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440.92552230614518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0.8039089969820844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1.0617267318152741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1.6173834273407037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293.95034820409677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125.65428183831061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213.30916807680001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224.51729163775593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213.30916807680001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190.4972994772306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126.99819965148707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1.2314649600000001</v>
      </c>
      <c r="AM134" t="s">
        <v>270</v>
      </c>
      <c r="AN134">
        <f>AO12*AO13</f>
        <v>1.4601009600000001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26.61627906976744</v>
      </c>
      <c r="AM135" t="s">
        <v>186</v>
      </c>
      <c r="AN135">
        <f>AN32</f>
        <v>23.238578680203045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24.629299200000002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1" t="s">
        <v>395</v>
      </c>
      <c r="C145" s="372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3"/>
      <c r="C146" s="374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56.418278400000013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'DRIVE REACTIONS Zone 4'!C151</f>
        <v>W6X15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3.9547929600000002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8.3722498051719185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5.9664000000000001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2.8064661454719491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0.2064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15.75" customHeight="1" thickBot="1" x14ac:dyDescent="0.3">
      <c r="B157" s="209" t="str">
        <f t="shared" si="4"/>
        <v>Flange Thickness (tf)</v>
      </c>
      <c r="C157" s="211">
        <f t="shared" si="5"/>
        <v>0.2364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4.2661833615360001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5.9664000000000001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26.019505242729679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1.6583457046042405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8.7220116796492615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6.9343208049254396E-2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2.5650016034267842</v>
      </c>
      <c r="D161" t="str">
        <f t="shared" si="5"/>
        <v>in</v>
      </c>
      <c r="E161" s="19" t="str">
        <f t="shared" si="6"/>
        <v>h/tw</v>
      </c>
      <c r="G161" s="211">
        <f t="shared" si="7"/>
        <v>26.61627906976744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9.6391878543360008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128.94415040073801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293.95034820409677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126.99819965148707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24.629299200000002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56.418278400000013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288.59843875257491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1" t="s">
        <v>396</v>
      </c>
      <c r="C194" s="372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3"/>
      <c r="C195" s="374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'DRIVE REACTIONS Zone 4'!C200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71" t="s">
        <v>397</v>
      </c>
      <c r="C243" s="372"/>
    </row>
    <row r="244" spans="2:8" ht="15.75" thickBot="1" x14ac:dyDescent="0.3">
      <c r="B244" s="373"/>
      <c r="C244" s="374"/>
    </row>
    <row r="248" spans="2:8" ht="15.75" thickBot="1" x14ac:dyDescent="0.3"/>
    <row r="249" spans="2:8" ht="15.75" thickBot="1" x14ac:dyDescent="0.3">
      <c r="B249" s="206" t="s">
        <v>350</v>
      </c>
      <c r="C249" s="230" t="str">
        <f>'DRIVE REACTIONS Zone 4'!C249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15.984407914553836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6.3563999999999998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5.2785179032276055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0.2964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1.52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0.43140000000000001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8.0325291483360015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6.0564</v>
      </c>
      <c r="D256" t="str">
        <f t="shared" si="63"/>
        <v>in</v>
      </c>
      <c r="E256" s="19" t="str">
        <f t="shared" si="60"/>
        <v>ho</v>
      </c>
      <c r="G256" s="211">
        <f>BD15</f>
        <v>5.9249999999999998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50.036950881186783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15.743801800134285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2.701971819038651</v>
      </c>
      <c r="D259" t="str">
        <f t="shared" si="63"/>
        <v>in</v>
      </c>
      <c r="E259" s="19" t="str">
        <f t="shared" si="60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17.716742333136001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B90:C91"/>
    <mergeCell ref="R95:S95"/>
    <mergeCell ref="AC95:AD95"/>
    <mergeCell ref="AM95:AN95"/>
    <mergeCell ref="AW95:AX95"/>
    <mergeCell ref="B99:H99"/>
    <mergeCell ref="R99:S99"/>
    <mergeCell ref="AC99:AD99"/>
    <mergeCell ref="AM99:AN99"/>
    <mergeCell ref="AW99:AX99"/>
    <mergeCell ref="G76:H76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BB28:BC28"/>
    <mergeCell ref="B35:I35"/>
    <mergeCell ref="B36:I36"/>
    <mergeCell ref="C61:E61"/>
    <mergeCell ref="C62:E62"/>
    <mergeCell ref="C63:E63"/>
    <mergeCell ref="R20:S20"/>
    <mergeCell ref="AC20:AD20"/>
    <mergeCell ref="AM20:AN20"/>
    <mergeCell ref="AW20:AX20"/>
    <mergeCell ref="W28:X28"/>
    <mergeCell ref="AH28:AI28"/>
    <mergeCell ref="AR28:AS28"/>
    <mergeCell ref="R19:S19"/>
    <mergeCell ref="AC19:AD19"/>
    <mergeCell ref="AM19:AN19"/>
    <mergeCell ref="AW19:AX19"/>
    <mergeCell ref="R18:S18"/>
    <mergeCell ref="W18:X18"/>
    <mergeCell ref="AC18:AD18"/>
    <mergeCell ref="AH18:AI18"/>
    <mergeCell ref="AM18:AN18"/>
    <mergeCell ref="AR18:AS18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AW18:AX18"/>
    <mergeCell ref="BB18:BC18"/>
    <mergeCell ref="AW15:AX15"/>
    <mergeCell ref="BB15:BC15"/>
    <mergeCell ref="O16:P16"/>
    <mergeCell ref="R16:S16"/>
    <mergeCell ref="W16:X16"/>
    <mergeCell ref="AC16:AD16"/>
    <mergeCell ref="AH16:AI16"/>
    <mergeCell ref="AM16:AN16"/>
    <mergeCell ref="AR16:AS16"/>
    <mergeCell ref="AW16:AX16"/>
    <mergeCell ref="R15:S15"/>
    <mergeCell ref="W15:X15"/>
    <mergeCell ref="AC15:AD15"/>
    <mergeCell ref="AH15:AI15"/>
    <mergeCell ref="AM15:AN15"/>
    <mergeCell ref="AR15:AS15"/>
    <mergeCell ref="BB16:BC16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3:X13"/>
    <mergeCell ref="AC13:AD13"/>
    <mergeCell ref="AH13:AI13"/>
    <mergeCell ref="AM13:AN13"/>
    <mergeCell ref="AR13:AS13"/>
    <mergeCell ref="C2:D2"/>
    <mergeCell ref="C3:D4"/>
    <mergeCell ref="C6:D6"/>
    <mergeCell ref="F6:G7"/>
    <mergeCell ref="B9:I9"/>
    <mergeCell ref="B10:I10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R11:S11"/>
    <mergeCell ref="W11:X11"/>
    <mergeCell ref="AC11:AD11"/>
    <mergeCell ref="AH11:AI11"/>
    <mergeCell ref="AM11:AN11"/>
    <mergeCell ref="AR11:AS11"/>
  </mergeCells>
  <conditionalFormatting sqref="E12:H33 E38:H59">
    <cfRule type="expression" dxfId="176" priority="41">
      <formula>ABS(E12)=MAX(ABS($E$12:$E$33),ABS($E$38:$E$59))</formula>
    </cfRule>
  </conditionalFormatting>
  <conditionalFormatting sqref="F12:F33 F38:F59 G12:H12">
    <cfRule type="expression" dxfId="175" priority="40">
      <formula>ABS(F12)=MAX(ABS($F$12:$F$33),ABS($F$38:$F$59))</formula>
    </cfRule>
  </conditionalFormatting>
  <conditionalFormatting sqref="G12:G33 G38:G59">
    <cfRule type="expression" dxfId="174" priority="39">
      <formula>ABS(G12)=MAX(ABS($G$12:$G$33),ABS($G$38:$G$59))</formula>
    </cfRule>
  </conditionalFormatting>
  <conditionalFormatting sqref="H12:H33 H38:H59">
    <cfRule type="expression" dxfId="173" priority="38">
      <formula>ABS(H12)=MAX(ABS($H$12:$H$33),ABS($H$38:$H$59))</formula>
    </cfRule>
  </conditionalFormatting>
  <conditionalFormatting sqref="I38:I59 I12:I35">
    <cfRule type="expression" dxfId="172" priority="37">
      <formula>ABS(I12)=MAX(ABS($I$12:$I$33),ABS($I$38:$I$59))</formula>
    </cfRule>
  </conditionalFormatting>
  <conditionalFormatting sqref="E12:I35 E38:I59">
    <cfRule type="expression" priority="36" stopIfTrue="1">
      <formula>E12=0</formula>
    </cfRule>
  </conditionalFormatting>
  <conditionalFormatting sqref="C132 C186 C235 C284">
    <cfRule type="cellIs" dxfId="171" priority="35" operator="greaterThan">
      <formula>1</formula>
    </cfRule>
  </conditionalFormatting>
  <conditionalFormatting sqref="V4">
    <cfRule type="expression" dxfId="170" priority="29">
      <formula>$F$9="Zone 5"</formula>
    </cfRule>
    <cfRule type="expression" dxfId="169" priority="30">
      <formula>$F$9="Zone 4"</formula>
    </cfRule>
    <cfRule type="expression" dxfId="168" priority="31">
      <formula>$F$9="Zone 3"</formula>
    </cfRule>
    <cfRule type="expression" dxfId="167" priority="32">
      <formula>$F$9="Zone 2"</formula>
    </cfRule>
    <cfRule type="expression" dxfId="166" priority="33">
      <formula>$F$9="Zone 1"</formula>
    </cfRule>
    <cfRule type="expression" dxfId="165" priority="34">
      <formula>$F$9="Zone 1 - Drive"</formula>
    </cfRule>
  </conditionalFormatting>
  <conditionalFormatting sqref="Y41:Y150 AJ41:AJ150 AT41:AT150 BD41:BD150">
    <cfRule type="expression" dxfId="164" priority="28">
      <formula>Y41="Satisfactory"</formula>
    </cfRule>
  </conditionalFormatting>
  <conditionalFormatting sqref="AG4">
    <cfRule type="expression" dxfId="163" priority="22">
      <formula>$F$9="Zone 5"</formula>
    </cfRule>
    <cfRule type="expression" dxfId="162" priority="23">
      <formula>$F$9="Zone 4"</formula>
    </cfRule>
    <cfRule type="expression" dxfId="161" priority="24">
      <formula>$F$9="Zone 3"</formula>
    </cfRule>
    <cfRule type="expression" dxfId="160" priority="25">
      <formula>$F$9="Zone 2"</formula>
    </cfRule>
    <cfRule type="expression" dxfId="159" priority="26">
      <formula>$F$9="Zone 1"</formula>
    </cfRule>
    <cfRule type="expression" dxfId="158" priority="27">
      <formula>$F$9="Zone 1 - Drive"</formula>
    </cfRule>
  </conditionalFormatting>
  <conditionalFormatting sqref="AQ4">
    <cfRule type="expression" dxfId="157" priority="16">
      <formula>$F$9="Zone 5"</formula>
    </cfRule>
    <cfRule type="expression" dxfId="156" priority="17">
      <formula>$F$9="Zone 4"</formula>
    </cfRule>
    <cfRule type="expression" dxfId="155" priority="18">
      <formula>$F$9="Zone 3"</formula>
    </cfRule>
    <cfRule type="expression" dxfId="154" priority="19">
      <formula>$F$9="Zone 2"</formula>
    </cfRule>
    <cfRule type="expression" dxfId="153" priority="20">
      <formula>$F$9="Zone 1"</formula>
    </cfRule>
    <cfRule type="expression" dxfId="152" priority="21">
      <formula>$F$9="Zone 1 - Drive"</formula>
    </cfRule>
  </conditionalFormatting>
  <conditionalFormatting sqref="BA4">
    <cfRule type="expression" dxfId="151" priority="10">
      <formula>$F$9="Zone 5"</formula>
    </cfRule>
    <cfRule type="expression" dxfId="150" priority="11">
      <formula>$F$9="Zone 4"</formula>
    </cfRule>
    <cfRule type="expression" dxfId="149" priority="12">
      <formula>$F$9="Zone 3"</formula>
    </cfRule>
    <cfRule type="expression" dxfId="148" priority="13">
      <formula>$F$9="Zone 2"</formula>
    </cfRule>
    <cfRule type="expression" dxfId="147" priority="14">
      <formula>$F$9="Zone 1"</formula>
    </cfRule>
    <cfRule type="expression" dxfId="146" priority="15">
      <formula>$F$9="Zone 1 - Drive"</formula>
    </cfRule>
  </conditionalFormatting>
  <conditionalFormatting sqref="Y31:Y40 AJ31:AJ40 AT31:AT40 BD31:BD40">
    <cfRule type="expression" dxfId="145" priority="9">
      <formula>Y31="Satisfactory"</formula>
    </cfRule>
  </conditionalFormatting>
  <conditionalFormatting sqref="Y158:Y179">
    <cfRule type="top10" dxfId="144" priority="8" rank="1"/>
  </conditionalFormatting>
  <conditionalFormatting sqref="Y184:Y205">
    <cfRule type="top10" dxfId="143" priority="7" rank="1"/>
  </conditionalFormatting>
  <conditionalFormatting sqref="AJ158:AJ179">
    <cfRule type="top10" dxfId="142" priority="6" rank="1"/>
  </conditionalFormatting>
  <conditionalFormatting sqref="AJ184:AJ205">
    <cfRule type="top10" dxfId="141" priority="5" rank="1"/>
  </conditionalFormatting>
  <conditionalFormatting sqref="AT158:AT179">
    <cfRule type="top10" dxfId="140" priority="4" rank="1"/>
  </conditionalFormatting>
  <conditionalFormatting sqref="AT184:AT205">
    <cfRule type="top10" dxfId="139" priority="3" rank="1"/>
  </conditionalFormatting>
  <conditionalFormatting sqref="BD158:BD179">
    <cfRule type="top10" dxfId="138" priority="2" rank="1"/>
  </conditionalFormatting>
  <conditionalFormatting sqref="BD184:BD205">
    <cfRule type="top10" dxfId="137" priority="1" rank="1"/>
  </conditionalFormatting>
  <dataValidations count="1">
    <dataValidation type="list" allowBlank="1" showInputMessage="1" showErrorMessage="1" sqref="P17" xr:uid="{261FE343-8689-4CA1-9C99-F2A34640A187}">
      <formula1>"No,Yes"</formula1>
    </dataValidation>
  </dataValidations>
  <pageMargins left="0.7" right="0.7" top="0.75" bottom="0.75" header="0.3" footer="0.3"/>
  <pageSetup scale="40" orientation="landscape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F462894-44B5-4594-8E42-BB549CF603E0}">
          <x14:formula1>
            <xm:f>List!$D$2:$D$5</xm:f>
          </x14:formula1>
          <xm:sqref>P21</xm:sqref>
        </x14:dataValidation>
        <x14:dataValidation type="list" allowBlank="1" showInputMessage="1" showErrorMessage="1" xr:uid="{69FE1F60-3F85-4125-ABC4-DA2E94C9425F}">
          <x14:formula1>
            <xm:f>'Load Combinations'!$A$1:$C$1</xm:f>
          </x14:formula1>
          <xm:sqref>C11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DB639-6B97-4031-916E-E868492773CB}">
  <sheetPr codeName="Sheet31">
    <pageSetUpPr fitToPage="1"/>
  </sheetPr>
  <dimension ref="B2:BF286"/>
  <sheetViews>
    <sheetView showGridLines="0" view="pageBreakPreview" zoomScale="70" zoomScaleNormal="100" zoomScaleSheetLayoutView="70" workbookViewId="0">
      <selection activeCell="E291" sqref="E291"/>
    </sheetView>
  </sheetViews>
  <sheetFormatPr defaultRowHeight="15" x14ac:dyDescent="0.25"/>
  <cols>
    <col min="2" max="2" width="42.5703125" customWidth="1"/>
    <col min="3" max="3" width="39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5" t="s">
        <v>103</v>
      </c>
      <c r="D3" s="376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77"/>
      <c r="D4" s="378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W6x10.4</v>
      </c>
      <c r="U4" s="155"/>
      <c r="V4" s="156"/>
      <c r="AD4" s="153" t="s">
        <v>383</v>
      </c>
      <c r="AE4" s="154" t="str">
        <f>C151</f>
        <v>W6X12</v>
      </c>
      <c r="AF4" s="155"/>
      <c r="AG4" s="156"/>
      <c r="AN4" s="153" t="s">
        <v>383</v>
      </c>
      <c r="AO4" s="154" t="str">
        <f>C200</f>
        <v>W6X15</v>
      </c>
      <c r="AP4" s="155"/>
      <c r="AQ4" s="156"/>
      <c r="AX4" s="153" t="s">
        <v>383</v>
      </c>
      <c r="AY4" s="154" t="str">
        <f>C249</f>
        <v>W6X15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3.0543800000000001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2.5794741551666669</v>
      </c>
      <c r="Z11" s="166" t="s">
        <v>173</v>
      </c>
      <c r="AC11" s="341" t="s">
        <v>171</v>
      </c>
      <c r="AD11" s="340"/>
      <c r="AE11" s="164">
        <f>2*(AE15*AE14)+((AE12-(2*AE14))*AE13)</f>
        <v>3.4981000000000004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2.9922127908333334</v>
      </c>
      <c r="AK11" s="166" t="s">
        <v>173</v>
      </c>
      <c r="AM11" s="341" t="s">
        <v>171</v>
      </c>
      <c r="AN11" s="340"/>
      <c r="AO11" s="164">
        <f>2*(AO15*AO14)+((AO12-(2*AO14))*AO13)</f>
        <v>4.3729000000000005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9.3188240808333358</v>
      </c>
      <c r="AU11" s="166" t="s">
        <v>173</v>
      </c>
      <c r="AW11" s="341" t="s">
        <v>171</v>
      </c>
      <c r="AX11" s="340"/>
      <c r="AY11" s="164">
        <f>2*(AY15*AY14)+((AY12-(2*AY14))*AY13)</f>
        <v>4.3729000000000005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9.3188240808333358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Loads'!P111</f>
        <v>0</v>
      </c>
      <c r="F12" s="21">
        <f>'0 Degree Loads'!Q111</f>
        <v>0</v>
      </c>
      <c r="G12" s="21">
        <f>'0 Degree Loads'!R111</f>
        <v>0</v>
      </c>
      <c r="H12" s="21">
        <f>'0 Degree Loads'!S111</f>
        <v>0</v>
      </c>
      <c r="I12" s="22">
        <f>'0 Degree Loads'!T111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INDEX(Shapes!$D$2:$D$17,MATCH(PROFILE_ZONE_5_STD,Shapes!$A$2:$A$17,0))-T9</f>
        <v>5.96</v>
      </c>
      <c r="U12" t="s">
        <v>170</v>
      </c>
      <c r="V12" s="168"/>
      <c r="W12" s="342" t="s">
        <v>405</v>
      </c>
      <c r="X12" s="342"/>
      <c r="Y12" s="8">
        <f>(2*Y11)/T15</f>
        <v>1.2994832015952982</v>
      </c>
      <c r="Z12" s="159" t="s">
        <v>175</v>
      </c>
      <c r="AC12" s="343" t="s">
        <v>174</v>
      </c>
      <c r="AD12" s="342"/>
      <c r="AE12" s="167">
        <f>INDEX(Shapes!$D$2:$D$17,MATCH(PROFILE_ZONE_5_1,Shapes!$A$2:$A$17,0))-AE9</f>
        <v>6.03</v>
      </c>
      <c r="AF12" t="s">
        <v>170</v>
      </c>
      <c r="AG12" s="168"/>
      <c r="AH12" s="342" t="s">
        <v>405</v>
      </c>
      <c r="AI12" s="342"/>
      <c r="AJ12" s="8">
        <f>(2*AJ11)/AE15</f>
        <v>1.4961063954166667</v>
      </c>
      <c r="AK12" s="159" t="s">
        <v>175</v>
      </c>
      <c r="AM12" s="343" t="s">
        <v>174</v>
      </c>
      <c r="AN12" s="342"/>
      <c r="AO12" s="167">
        <f>INDEX(Shapes!$D$2:$D$17,MATCH(PROFILE_ZONE_5_2,Shapes!$A$2:$A$17,0))-AO9</f>
        <v>5.99</v>
      </c>
      <c r="AP12" t="s">
        <v>170</v>
      </c>
      <c r="AQ12" s="168"/>
      <c r="AR12" s="342" t="s">
        <v>405</v>
      </c>
      <c r="AS12" s="342"/>
      <c r="AT12" s="8">
        <f>(2*AT11)/AO15</f>
        <v>3.1114604610461889</v>
      </c>
      <c r="AU12" s="159" t="s">
        <v>175</v>
      </c>
      <c r="AW12" s="343" t="s">
        <v>174</v>
      </c>
      <c r="AX12" s="342"/>
      <c r="AY12" s="167">
        <f>INDEX(Shapes!$D$2:$D$17,MATCH(PROFILE_ZONE_5_3,Shapes!$A$2:$A$17,0))-AY9</f>
        <v>5.99</v>
      </c>
      <c r="AZ12" t="s">
        <v>170</v>
      </c>
      <c r="BA12" s="168"/>
      <c r="BB12" s="342" t="s">
        <v>405</v>
      </c>
      <c r="BC12" s="342"/>
      <c r="BD12" s="8">
        <f>(2*BD11)/AY15</f>
        <v>3.1114604610461889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Loads'!P112</f>
        <v>0</v>
      </c>
      <c r="F13" s="23">
        <f>'0 Degree Loads'!Q112</f>
        <v>0</v>
      </c>
      <c r="G13" s="23">
        <f>'0 Degree Loads'!R112</f>
        <v>0</v>
      </c>
      <c r="H13" s="23">
        <f>'0 Degree Loads'!S112</f>
        <v>0</v>
      </c>
      <c r="I13" s="24">
        <f>'0 Degree Loads'!T112</f>
        <v>0</v>
      </c>
      <c r="R13" s="343" t="s">
        <v>176</v>
      </c>
      <c r="S13" s="342"/>
      <c r="T13" s="167">
        <f>INDEX(Shapes!$H$2:$H$17,MATCH(PROFILE_ZONE_5_STD,Shapes!$A$2:$A$17,0))-T9</f>
        <v>0.2</v>
      </c>
      <c r="U13" t="s">
        <v>170</v>
      </c>
      <c r="V13" s="168"/>
      <c r="W13" s="342" t="s">
        <v>177</v>
      </c>
      <c r="X13" s="342"/>
      <c r="Y13" s="8">
        <f>INDEX(Shapes!$Y$2:$Y$17,MATCH(PROFILE_ZONE_5_STD,Shapes!$A$2:$A$17,0))</f>
        <v>0.90800000000000003</v>
      </c>
      <c r="Z13" s="159" t="s">
        <v>175</v>
      </c>
      <c r="AC13" s="343" t="s">
        <v>176</v>
      </c>
      <c r="AD13" s="342"/>
      <c r="AE13" s="167">
        <f>INDEX(Shapes!$H$2:$H$17,MATCH(PROFILE_ZONE_5_1,Shapes!$A$2:$A$17,0))-AE9</f>
        <v>0.23</v>
      </c>
      <c r="AF13" t="s">
        <v>170</v>
      </c>
      <c r="AG13" s="168"/>
      <c r="AH13" s="342" t="s">
        <v>177</v>
      </c>
      <c r="AI13" s="342"/>
      <c r="AJ13" s="8">
        <f>INDEX(Shapes!$Y$2:$Y$17,MATCH(PROFILE_ZONE_5_1,Shapes!$A$2:$A$17,0))</f>
        <v>0.91800000000000004</v>
      </c>
      <c r="AK13" s="159" t="s">
        <v>175</v>
      </c>
      <c r="AM13" s="343" t="s">
        <v>176</v>
      </c>
      <c r="AN13" s="342"/>
      <c r="AO13" s="167">
        <f>INDEX(Shapes!$H$2:$H$17,MATCH(PROFILE_ZONE_5_2,Shapes!$A$2:$A$17,0))-AO9</f>
        <v>0.23</v>
      </c>
      <c r="AP13" t="s">
        <v>170</v>
      </c>
      <c r="AQ13" s="168"/>
      <c r="AR13" s="342" t="s">
        <v>177</v>
      </c>
      <c r="AS13" s="342"/>
      <c r="AT13" s="8">
        <f>INDEX(Shapes!$Y$2:$Y$17,MATCH(PROFILE_ZONE_5_2,Shapes!$A$2:$A$17,0))</f>
        <v>1.45</v>
      </c>
      <c r="AU13" s="159" t="s">
        <v>175</v>
      </c>
      <c r="AW13" s="343" t="s">
        <v>176</v>
      </c>
      <c r="AX13" s="342"/>
      <c r="AY13" s="167">
        <f>INDEX(Shapes!$H$2:$H$17,MATCH(PROFILE_ZONE_5_3,Shapes!$A$2:$A$17,0))-AY9</f>
        <v>0.23</v>
      </c>
      <c r="AZ13" t="s">
        <v>170</v>
      </c>
      <c r="BA13" s="168"/>
      <c r="BB13" s="342" t="s">
        <v>177</v>
      </c>
      <c r="BC13" s="342"/>
      <c r="BD13" s="8">
        <f>INDEX(Shapes!$Y$2:$Y$17,MATCH(PROFILE_ZONE_5_3,Shapes!$A$2:$A$17,0))</f>
        <v>1.45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Loads'!P113</f>
        <v>0</v>
      </c>
      <c r="F14" s="23">
        <f>'0 Degree Loads'!Q113</f>
        <v>0</v>
      </c>
      <c r="G14" s="23">
        <f>'0 Degree Loads'!R113</f>
        <v>0</v>
      </c>
      <c r="H14" s="23">
        <f>'0 Degree Loads'!S113</f>
        <v>0</v>
      </c>
      <c r="I14" s="24">
        <f>'0 Degree Loads'!T113</f>
        <v>0</v>
      </c>
      <c r="R14" s="343" t="s">
        <v>178</v>
      </c>
      <c r="S14" s="342"/>
      <c r="T14" s="167">
        <f>INDEX(Shapes!$K$2:$K$17,MATCH(PROFILE_ZONE_5_STD,Shapes!$A$2:$A$17,0))-T9</f>
        <v>0.247</v>
      </c>
      <c r="U14" t="s">
        <v>170</v>
      </c>
      <c r="V14" s="168"/>
      <c r="W14" s="342" t="s">
        <v>406</v>
      </c>
      <c r="X14" s="342"/>
      <c r="Y14" s="8">
        <f>((T15^2*T14)/2)+((T13^2)*(T20))/4</f>
        <v>2.00113115</v>
      </c>
      <c r="Z14" s="159" t="s">
        <v>175</v>
      </c>
      <c r="AC14" s="343" t="s">
        <v>178</v>
      </c>
      <c r="AD14" s="342"/>
      <c r="AE14" s="167">
        <f>INDEX(Shapes!$K$2:$K$17,MATCH(PROFILE_ZONE_5_1,Shapes!$A$2:$A$17,0))-AE9</f>
        <v>0.28000000000000003</v>
      </c>
      <c r="AF14" t="s">
        <v>170</v>
      </c>
      <c r="AG14" s="168"/>
      <c r="AH14" s="342" t="s">
        <v>406</v>
      </c>
      <c r="AI14" s="342"/>
      <c r="AJ14" s="8">
        <f>((AE15^2*AE14)/2)+((AE13^2)*(AE20))/4</f>
        <v>2.3123407500000002</v>
      </c>
      <c r="AK14" s="159" t="s">
        <v>175</v>
      </c>
      <c r="AM14" s="343" t="s">
        <v>178</v>
      </c>
      <c r="AN14" s="342"/>
      <c r="AO14" s="167">
        <f>INDEX(Shapes!$K$2:$K$17,MATCH(PROFILE_ZONE_5_2,Shapes!$A$2:$A$17,0))-AO9</f>
        <v>0.26</v>
      </c>
      <c r="AP14" t="s">
        <v>170</v>
      </c>
      <c r="AQ14" s="168"/>
      <c r="AR14" s="342" t="s">
        <v>406</v>
      </c>
      <c r="AS14" s="342"/>
      <c r="AT14" s="8">
        <f>((AO15^2*AO14)/2)+((AO13^2)*(AO20))/4</f>
        <v>4.736753750000001</v>
      </c>
      <c r="AU14" s="159" t="s">
        <v>175</v>
      </c>
      <c r="AW14" s="343" t="s">
        <v>178</v>
      </c>
      <c r="AX14" s="342"/>
      <c r="AY14" s="167">
        <f>INDEX(Shapes!$K$2:$K$17,MATCH(PROFILE_ZONE_5_3,Shapes!$A$2:$A$17,0))-AY9</f>
        <v>0.26</v>
      </c>
      <c r="AZ14" t="s">
        <v>170</v>
      </c>
      <c r="BA14" s="168"/>
      <c r="BB14" s="342" t="s">
        <v>406</v>
      </c>
      <c r="BC14" s="342"/>
      <c r="BD14" s="8">
        <f>((AY15^2*AY14)/2)+((AY13^2)*(AY20))/4</f>
        <v>4.736753750000001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Loads'!P114</f>
        <v>0</v>
      </c>
      <c r="F15" s="23">
        <f>'0 Degree Loads'!Q114</f>
        <v>0</v>
      </c>
      <c r="G15" s="23">
        <f>'0 Degree Loads'!R114</f>
        <v>0</v>
      </c>
      <c r="H15" s="23">
        <f>'0 Degree Loads'!S114</f>
        <v>0</v>
      </c>
      <c r="I15" s="24">
        <f>'0 Degree Loads'!T114</f>
        <v>0</v>
      </c>
      <c r="R15" s="343" t="s">
        <v>179</v>
      </c>
      <c r="S15" s="342"/>
      <c r="T15" s="167">
        <f>INDEX(Shapes!$F$2:$F$17,MATCH(PROFILE_ZONE_5_STD,Shapes!$A$2:$A$17,0))-T9</f>
        <v>3.97</v>
      </c>
      <c r="U15" t="s">
        <v>170</v>
      </c>
      <c r="V15" s="168"/>
      <c r="W15" s="342" t="s">
        <v>180</v>
      </c>
      <c r="X15" s="342"/>
      <c r="Y15" s="167">
        <f>T12-(T14)</f>
        <v>5.7130000000000001</v>
      </c>
      <c r="Z15" s="159"/>
      <c r="AC15" s="343" t="s">
        <v>179</v>
      </c>
      <c r="AD15" s="342"/>
      <c r="AE15" s="167">
        <f>INDEX(Shapes!$F$2:$F$17,MATCH(PROFILE_ZONE_5_1,Shapes!$A$2:$A$17,0))-AE9</f>
        <v>4</v>
      </c>
      <c r="AF15" t="s">
        <v>170</v>
      </c>
      <c r="AG15" s="168"/>
      <c r="AH15" s="342" t="s">
        <v>180</v>
      </c>
      <c r="AI15" s="342"/>
      <c r="AJ15" s="167">
        <f>AE12-(AE14)</f>
        <v>5.75</v>
      </c>
      <c r="AK15" s="159"/>
      <c r="AM15" s="343" t="s">
        <v>179</v>
      </c>
      <c r="AN15" s="342"/>
      <c r="AO15" s="167">
        <f>INDEX(Shapes!$F$2:$F$17,MATCH(PROFILE_ZONE_5_2,Shapes!$A$2:$A$17,0))-AO9</f>
        <v>5.99</v>
      </c>
      <c r="AP15" t="s">
        <v>170</v>
      </c>
      <c r="AQ15" s="168"/>
      <c r="AR15" s="342" t="s">
        <v>180</v>
      </c>
      <c r="AS15" s="342"/>
      <c r="AT15" s="167">
        <f>AO12-(AO14)</f>
        <v>5.73</v>
      </c>
      <c r="AU15" s="159"/>
      <c r="AW15" s="343" t="s">
        <v>179</v>
      </c>
      <c r="AX15" s="342"/>
      <c r="AY15" s="167">
        <f>INDEX(Shapes!$F$2:$F$17,MATCH(PROFILE_ZONE_5_3,Shapes!$A$2:$A$17,0))-AY9</f>
        <v>5.99</v>
      </c>
      <c r="AZ15" t="s">
        <v>170</v>
      </c>
      <c r="BA15" s="168"/>
      <c r="BB15" s="342" t="s">
        <v>180</v>
      </c>
      <c r="BC15" s="342"/>
      <c r="BD15" s="167">
        <f>AY12-(AY14)</f>
        <v>5.73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Loads'!P115</f>
        <v>0</v>
      </c>
      <c r="F16" s="23">
        <f>'0 Degree Loads'!Q115</f>
        <v>0</v>
      </c>
      <c r="G16" s="23">
        <f>'0 Degree Loads'!R115</f>
        <v>0</v>
      </c>
      <c r="H16" s="23">
        <f>'0 Degree Loads'!S115</f>
        <v>0</v>
      </c>
      <c r="I16" s="24">
        <f>'0 Degree Loads'!T115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18.73420884300667</v>
      </c>
      <c r="U16" t="s">
        <v>173</v>
      </c>
      <c r="V16" s="168"/>
      <c r="W16" s="342" t="s">
        <v>182</v>
      </c>
      <c r="X16" s="342"/>
      <c r="Y16" s="8">
        <f>SQRT((Y11*Y15)/(2*T17))</f>
        <v>1.0826128011388125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21.666591690833339</v>
      </c>
      <c r="AF16" t="s">
        <v>173</v>
      </c>
      <c r="AG16" s="168"/>
      <c r="AH16" s="342" t="s">
        <v>182</v>
      </c>
      <c r="AI16" s="342"/>
      <c r="AJ16" s="8">
        <f>SQRT((AJ11*AJ15)/(2*AE17))</f>
        <v>1.0941163821601956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28.721482960833342</v>
      </c>
      <c r="AP16" t="s">
        <v>173</v>
      </c>
      <c r="AQ16" s="168"/>
      <c r="AR16" s="342" t="s">
        <v>182</v>
      </c>
      <c r="AS16" s="342"/>
      <c r="AT16" s="8">
        <f>SQRT((AT11*AT15)/(2*AO17))</f>
        <v>1.6685447284918389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28.721482960833342</v>
      </c>
      <c r="AZ16" t="s">
        <v>173</v>
      </c>
      <c r="BA16" s="168"/>
      <c r="BB16" s="342" t="s">
        <v>182</v>
      </c>
      <c r="BC16" s="342"/>
      <c r="BD16" s="8">
        <f>SQRT((BD11*BD15)/(2*AY17))</f>
        <v>1.6685447284918389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Loads'!P116</f>
        <v>0</v>
      </c>
      <c r="F17" s="23">
        <f>'0 Degree Loads'!Q116</f>
        <v>0</v>
      </c>
      <c r="G17" s="23">
        <f>'0 Degree Loads'!R116</f>
        <v>0</v>
      </c>
      <c r="H17" s="23">
        <f>'0 Degree Loads'!S116</f>
        <v>0</v>
      </c>
      <c r="I17" s="24">
        <f>'0 Degree Loads'!T116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6.2866472627539158</v>
      </c>
      <c r="U17" t="s">
        <v>175</v>
      </c>
      <c r="V17" s="168"/>
      <c r="W17" s="342" t="s">
        <v>184</v>
      </c>
      <c r="X17" s="342"/>
      <c r="Y17" s="8">
        <f>((2*T15*T14^3)+(Y15*T13^3))/3</f>
        <v>5.5117876873333339E-2</v>
      </c>
      <c r="Z17" s="159" t="s">
        <v>173</v>
      </c>
      <c r="AC17" s="343" t="s">
        <v>183</v>
      </c>
      <c r="AD17" s="342"/>
      <c r="AE17" s="8">
        <f>(2*AE16)/((AE20+2*AE14))</f>
        <v>7.1862659007739085</v>
      </c>
      <c r="AF17" t="s">
        <v>175</v>
      </c>
      <c r="AG17" s="168"/>
      <c r="AH17" s="342" t="s">
        <v>184</v>
      </c>
      <c r="AI17" s="342"/>
      <c r="AJ17" s="8">
        <f>((2*AE15*AE14^3)+(AJ15*AE13^3))/3</f>
        <v>8.1858750000000022E-2</v>
      </c>
      <c r="AK17" s="159" t="s">
        <v>173</v>
      </c>
      <c r="AM17" s="343" t="s">
        <v>183</v>
      </c>
      <c r="AN17" s="342"/>
      <c r="AO17" s="8">
        <f>(2*AO16)/((AO20+2*AO14))</f>
        <v>9.5898106713967746</v>
      </c>
      <c r="AP17" t="s">
        <v>175</v>
      </c>
      <c r="AQ17" s="168"/>
      <c r="AR17" s="342" t="s">
        <v>184</v>
      </c>
      <c r="AS17" s="342"/>
      <c r="AT17" s="8">
        <f>((2*AO15*AO14^3)+(AT15*AO13^3))/3</f>
        <v>9.3425796666666672E-2</v>
      </c>
      <c r="AU17" s="159" t="s">
        <v>173</v>
      </c>
      <c r="AW17" s="343" t="s">
        <v>183</v>
      </c>
      <c r="AX17" s="342"/>
      <c r="AY17" s="8">
        <f>(2*AY16)/((AY20+2*AY14))</f>
        <v>9.5898106713967746</v>
      </c>
      <c r="AZ17" t="s">
        <v>175</v>
      </c>
      <c r="BA17" s="168"/>
      <c r="BB17" s="342" t="s">
        <v>184</v>
      </c>
      <c r="BC17" s="342"/>
      <c r="BD17" s="8">
        <f>((2*AY15*AY14^3)+(BD15*AY13^3))/3</f>
        <v>9.3425796666666672E-2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Loads'!P117</f>
        <v>0</v>
      </c>
      <c r="F18" s="23">
        <f>'0 Degree Loads'!Q117</f>
        <v>0</v>
      </c>
      <c r="G18" s="23">
        <f>'0 Degree Loads'!R117</f>
        <v>0</v>
      </c>
      <c r="H18" s="23">
        <f>'0 Degree Loads'!S117</f>
        <v>0</v>
      </c>
      <c r="I18" s="24">
        <f>'0 Degree Loads'!T117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2.4766015762282496</v>
      </c>
      <c r="U18" t="s">
        <v>170</v>
      </c>
      <c r="V18" s="168"/>
      <c r="W18" s="342" t="s">
        <v>186</v>
      </c>
      <c r="X18" s="342"/>
      <c r="Y18" s="8">
        <f>T20/T13</f>
        <v>27.33</v>
      </c>
      <c r="Z18" s="159"/>
      <c r="AC18" s="343" t="s">
        <v>185</v>
      </c>
      <c r="AD18" s="342"/>
      <c r="AE18" s="8">
        <f>(AE16/AE11)^0.5</f>
        <v>2.4887380590729697</v>
      </c>
      <c r="AF18" t="s">
        <v>170</v>
      </c>
      <c r="AG18" s="168"/>
      <c r="AH18" s="342" t="s">
        <v>186</v>
      </c>
      <c r="AI18" s="342"/>
      <c r="AJ18" s="8">
        <f>AE20/AE13</f>
        <v>23.782608695652176</v>
      </c>
      <c r="AK18" s="159"/>
      <c r="AM18" s="343" t="s">
        <v>185</v>
      </c>
      <c r="AN18" s="342"/>
      <c r="AO18" s="8">
        <f>(AO16/AO11)^0.5</f>
        <v>2.5628232598673386</v>
      </c>
      <c r="AP18" t="s">
        <v>170</v>
      </c>
      <c r="AQ18" s="168"/>
      <c r="AR18" s="342" t="s">
        <v>186</v>
      </c>
      <c r="AS18" s="342"/>
      <c r="AT18" s="8">
        <f>AO20/AO13</f>
        <v>23.782608695652176</v>
      </c>
      <c r="AU18" s="159"/>
      <c r="AW18" s="343" t="s">
        <v>185</v>
      </c>
      <c r="AX18" s="342"/>
      <c r="AY18" s="8">
        <f>(AY16/AY11)^0.5</f>
        <v>2.5628232598673386</v>
      </c>
      <c r="AZ18" t="s">
        <v>170</v>
      </c>
      <c r="BA18" s="168"/>
      <c r="BB18" s="342" t="s">
        <v>186</v>
      </c>
      <c r="BC18" s="342"/>
      <c r="BD18" s="8">
        <f>AY20/AY13</f>
        <v>23.782608695652176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Loads'!P118</f>
        <v>0</v>
      </c>
      <c r="F19" s="23">
        <f>'0 Degree Loads'!Q118</f>
        <v>0</v>
      </c>
      <c r="G19" s="23">
        <f>'0 Degree Loads'!R118</f>
        <v>0</v>
      </c>
      <c r="H19" s="23">
        <f>'0 Degree Loads'!S118</f>
        <v>0</v>
      </c>
      <c r="I19" s="24">
        <f>'0 Degree Loads'!T118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7.0959684700000007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8.16045175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10.644353750000002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10.644353750000002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Loads'!P119</f>
        <v>0</v>
      </c>
      <c r="F20" s="23">
        <f>'0 Degree Loads'!Q119</f>
        <v>0</v>
      </c>
      <c r="G20" s="23">
        <f>'0 Degree Loads'!R119</f>
        <v>0</v>
      </c>
      <c r="H20" s="23">
        <f>'0 Degree Loads'!S119</f>
        <v>0</v>
      </c>
      <c r="I20" s="24">
        <f>'0 Degree Loads'!T119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5.4660000000000002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5.4700000000000006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Loads'!P120</f>
        <v>0</v>
      </c>
      <c r="F21" s="23">
        <f>'0 Degree Loads'!Q120</f>
        <v>0</v>
      </c>
      <c r="G21" s="23">
        <f>'0 Degree Loads'!R120</f>
        <v>0</v>
      </c>
      <c r="H21" s="23">
        <f>'0 Degree Loads'!S120</f>
        <v>0</v>
      </c>
      <c r="I21" s="24">
        <f>'0 Degree Loads'!T120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Loads'!P121</f>
        <v>0</v>
      </c>
      <c r="F22" s="23">
        <f>'0 Degree Loads'!Q121</f>
        <v>0</v>
      </c>
      <c r="G22" s="23">
        <f>'0 Degree Loads'!R121</f>
        <v>0</v>
      </c>
      <c r="H22" s="23">
        <f>'0 Degree Loads'!S121</f>
        <v>0</v>
      </c>
      <c r="I22" s="24">
        <f>'0 Degree Loads'!T121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Loads'!P122</f>
        <v>0</v>
      </c>
      <c r="F23" s="23">
        <f>'0 Degree Loads'!Q122</f>
        <v>0</v>
      </c>
      <c r="G23" s="23">
        <f>'0 Degree Loads'!R122</f>
        <v>0</v>
      </c>
      <c r="H23" s="23">
        <f>'0 Degree Loads'!S122</f>
        <v>0</v>
      </c>
      <c r="I23" s="24">
        <f>'0 Degree Loads'!T122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Loads'!P123</f>
        <v>0</v>
      </c>
      <c r="F24" s="23">
        <f>'0 Degree Loads'!Q123</f>
        <v>0</v>
      </c>
      <c r="G24" s="23">
        <f>'0 Degree Loads'!R123</f>
        <v>0</v>
      </c>
      <c r="H24" s="23">
        <f>'0 Degree Loads'!S123</f>
        <v>0</v>
      </c>
      <c r="I24" s="24">
        <f>'0 Degree Loads'!T123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Loads'!P124</f>
        <v>0</v>
      </c>
      <c r="F25" s="23">
        <f>'0 Degree Loads'!Q124</f>
        <v>0</v>
      </c>
      <c r="G25" s="23">
        <f>'0 Degree Loads'!R124</f>
        <v>0</v>
      </c>
      <c r="H25" s="23">
        <f>'0 Degree Loads'!S124</f>
        <v>0</v>
      </c>
      <c r="I25" s="24">
        <f>'0 Degree Loads'!T124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Loads'!P125</f>
        <v>0</v>
      </c>
      <c r="F26" s="23">
        <f>'0 Degree Loads'!Q125</f>
        <v>0</v>
      </c>
      <c r="G26" s="23">
        <f>'0 Degree Loads'!R125</f>
        <v>0</v>
      </c>
      <c r="H26" s="23">
        <f>'0 Degree Loads'!S125</f>
        <v>0</v>
      </c>
      <c r="I26" s="24">
        <f>'0 Degree Loads'!T125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Loads'!P126</f>
        <v>0</v>
      </c>
      <c r="F27" s="23">
        <f>'0 Degree Loads'!Q126</f>
        <v>0</v>
      </c>
      <c r="G27" s="23">
        <f>'0 Degree Loads'!R126</f>
        <v>0</v>
      </c>
      <c r="H27" s="23">
        <f>'0 Degree Loads'!S126</f>
        <v>0</v>
      </c>
      <c r="I27" s="24">
        <f>'0 Degree Loads'!T126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Loads'!P127</f>
        <v>0</v>
      </c>
      <c r="F28" s="23">
        <f>'0 Degree Loads'!Q127</f>
        <v>0</v>
      </c>
      <c r="G28" s="23">
        <f>'0 Degree Loads'!R127</f>
        <v>0</v>
      </c>
      <c r="H28" s="23">
        <f>'0 Degree Loads'!S127</f>
        <v>0</v>
      </c>
      <c r="I28" s="24">
        <f>'0 Degree Loads'!T127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Loads'!P128</f>
        <v>0</v>
      </c>
      <c r="F29" s="23">
        <f>'0 Degree Loads'!Q128</f>
        <v>0</v>
      </c>
      <c r="G29" s="23">
        <f>'0 Degree Loads'!R128</f>
        <v>0</v>
      </c>
      <c r="H29" s="23">
        <f>'0 Degree Loads'!S128</f>
        <v>0</v>
      </c>
      <c r="I29" s="24">
        <f>'0 Degree Loads'!T128</f>
        <v>0</v>
      </c>
      <c r="R29" t="s">
        <v>195</v>
      </c>
      <c r="S29">
        <f>(T15/2)/T14</f>
        <v>8.0364372469635637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7.1428571428571423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11.51923076923077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11.51923076923077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Loads'!P129</f>
        <v>0</v>
      </c>
      <c r="F30" s="23">
        <f>'0 Degree Loads'!Q129</f>
        <v>0</v>
      </c>
      <c r="G30" s="23">
        <f>'0 Degree Loads'!R129</f>
        <v>0</v>
      </c>
      <c r="H30" s="23">
        <f>'0 Degree Loads'!S129</f>
        <v>0</v>
      </c>
      <c r="I30" s="24">
        <f>'0 Degree Loads'!T129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Loads'!P130</f>
        <v>0</v>
      </c>
      <c r="F31" s="23">
        <f>'0 Degree Loads'!Q130</f>
        <v>0</v>
      </c>
      <c r="G31" s="23">
        <f>'0 Degree Loads'!R130</f>
        <v>0</v>
      </c>
      <c r="H31" s="23">
        <f>'0 Degree Loads'!S130</f>
        <v>0</v>
      </c>
      <c r="I31" s="24">
        <f>'0 Degree Loads'!T130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Loads'!P131</f>
        <v>0</v>
      </c>
      <c r="F32" s="23">
        <f>'0 Degree Loads'!Q131</f>
        <v>0</v>
      </c>
      <c r="G32" s="23">
        <f>'0 Degree Loads'!R131</f>
        <v>0</v>
      </c>
      <c r="H32" s="23">
        <f>'0 Degree Loads'!S131</f>
        <v>0</v>
      </c>
      <c r="I32" s="24">
        <f>'0 Degree Loads'!T131</f>
        <v>0</v>
      </c>
      <c r="R32" t="s">
        <v>186</v>
      </c>
      <c r="S32">
        <f>Y18</f>
        <v>27.33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23.782608695652176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23.782608695652176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23.782608695652176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Loads'!P132</f>
        <v>0</v>
      </c>
      <c r="F33" s="31">
        <f>'0 Degree Loads'!Q132</f>
        <v>0</v>
      </c>
      <c r="G33" s="31">
        <f>'0 Degree Loads'!R132</f>
        <v>0</v>
      </c>
      <c r="H33" s="31">
        <f>'0 Degree Loads'!S132</f>
        <v>0</v>
      </c>
      <c r="I33" s="32">
        <f>'0 Degree Loads'!T132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8.0364372469635637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7.1428571428571423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11.51923076923077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11.51923076923077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Non-Compact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Non-Compact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Loads'!P111</f>
        <v>0</v>
      </c>
      <c r="F38" s="21">
        <f>'55 Degree Loads'!Q111</f>
        <v>0</v>
      </c>
      <c r="G38" s="21">
        <f>'55 Degree Loads'!R111</f>
        <v>0</v>
      </c>
      <c r="H38" s="21">
        <f>'55 Degree Loads'!S111</f>
        <v>0</v>
      </c>
      <c r="I38" s="22">
        <f>'55 Degree Loads'!T111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Loads'!P112</f>
        <v>0</v>
      </c>
      <c r="F39" s="23">
        <f>'55 Degree Loads'!Q112</f>
        <v>0</v>
      </c>
      <c r="G39" s="23">
        <f>'55 Degree Loads'!R112</f>
        <v>0</v>
      </c>
      <c r="H39" s="23">
        <f>'55 Degree Loads'!S112</f>
        <v>0</v>
      </c>
      <c r="I39" s="24">
        <f>'55 Degree Loads'!T112</f>
        <v>0</v>
      </c>
      <c r="R39" t="s">
        <v>186</v>
      </c>
      <c r="S39">
        <f>S32</f>
        <v>27.33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23.782608695652176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23.782608695652176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23.782608695652176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Loads'!P113</f>
        <v>0</v>
      </c>
      <c r="F40" s="23">
        <f>'55 Degree Loads'!Q113</f>
        <v>0</v>
      </c>
      <c r="G40" s="23">
        <f>'55 Degree Loads'!R113</f>
        <v>0</v>
      </c>
      <c r="H40" s="23">
        <f>'55 Degree Loads'!S113</f>
        <v>0</v>
      </c>
      <c r="I40" s="24">
        <f>'55 Degree Loads'!T113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Loads'!P114</f>
        <v>0</v>
      </c>
      <c r="F41" s="23">
        <f>'55 Degree Loads'!Q114</f>
        <v>0</v>
      </c>
      <c r="G41" s="23">
        <f>'55 Degree Loads'!R114</f>
        <v>0</v>
      </c>
      <c r="H41" s="23">
        <f>'55 Degree Loads'!S114</f>
        <v>0</v>
      </c>
      <c r="I41" s="24">
        <f>'55 Degree Loads'!T114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Loads'!P115</f>
        <v>0</v>
      </c>
      <c r="F42" s="23">
        <f>'55 Degree Loads'!Q115</f>
        <v>0</v>
      </c>
      <c r="G42" s="23">
        <f>'55 Degree Loads'!R115</f>
        <v>0</v>
      </c>
      <c r="H42" s="23">
        <f>'55 Degree Loads'!S115</f>
        <v>0</v>
      </c>
      <c r="I42" s="24">
        <f>'55 Degree Loads'!T115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Loads'!P116</f>
        <v>0</v>
      </c>
      <c r="F43" s="23">
        <f>'55 Degree Loads'!Q116</f>
        <v>0</v>
      </c>
      <c r="G43" s="23">
        <f>'55 Degree Loads'!R116</f>
        <v>0</v>
      </c>
      <c r="H43" s="23">
        <f>'55 Degree Loads'!S116</f>
        <v>0</v>
      </c>
      <c r="I43" s="24">
        <f>'55 Degree Loads'!T116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Loads'!P117</f>
        <v>0</v>
      </c>
      <c r="F44" s="23">
        <f>'55 Degree Loads'!Q117</f>
        <v>0</v>
      </c>
      <c r="G44" s="23">
        <f>'55 Degree Loads'!R117</f>
        <v>0</v>
      </c>
      <c r="H44" s="23">
        <f>'55 Degree Loads'!S117</f>
        <v>0</v>
      </c>
      <c r="I44" s="24">
        <f>'55 Degree Loads'!T117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Loads'!P118</f>
        <v>0</v>
      </c>
      <c r="F45" s="23">
        <f>'55 Degree Loads'!Q118</f>
        <v>0</v>
      </c>
      <c r="G45" s="23">
        <f>'55 Degree Loads'!R118</f>
        <v>0</v>
      </c>
      <c r="H45" s="23">
        <f>'55 Degree Loads'!S118</f>
        <v>0</v>
      </c>
      <c r="I45" s="24">
        <f>'55 Degree Loads'!T118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Loads'!P119</f>
        <v>0</v>
      </c>
      <c r="F46" s="23">
        <f>'55 Degree Loads'!Q119</f>
        <v>0</v>
      </c>
      <c r="G46" s="23">
        <f>'55 Degree Loads'!R119</f>
        <v>0</v>
      </c>
      <c r="H46" s="23">
        <f>'55 Degree Loads'!S119</f>
        <v>0</v>
      </c>
      <c r="I46" s="24">
        <f>'55 Degree Loads'!T119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10.125613624997865</v>
      </c>
      <c r="AM46" t="s">
        <v>209</v>
      </c>
      <c r="AN46" s="173">
        <f>(AN44*AP25)/AO18</f>
        <v>19.66581183698516</v>
      </c>
      <c r="AW46" t="s">
        <v>209</v>
      </c>
      <c r="AX46" s="173">
        <f>(AX44*AZ25)/AY18</f>
        <v>29.498717755477742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Loads'!P120</f>
        <v>0</v>
      </c>
      <c r="F47" s="23">
        <f>'55 Degree Loads'!Q120</f>
        <v>0</v>
      </c>
      <c r="G47" s="23">
        <f>'55 Degree Loads'!R120</f>
        <v>0</v>
      </c>
      <c r="H47" s="23">
        <f>'55 Degree Loads'!S120</f>
        <v>0</v>
      </c>
      <c r="I47" s="24">
        <f>'55 Degree Loads'!T120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Loads'!P121</f>
        <v>0</v>
      </c>
      <c r="F48" s="23">
        <f>'55 Degree Loads'!Q121</f>
        <v>0</v>
      </c>
      <c r="G48" s="23">
        <f>'55 Degree Loads'!R121</f>
        <v>0</v>
      </c>
      <c r="H48" s="23">
        <f>'55 Degree Loads'!S121</f>
        <v>0</v>
      </c>
      <c r="I48" s="24">
        <f>'55 Degree Loads'!T121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27.450980392156865</v>
      </c>
      <c r="AM48" t="s">
        <v>210</v>
      </c>
      <c r="AN48" s="173">
        <f>(AN44*AS25)/AT13</f>
        <v>34.758620689655174</v>
      </c>
      <c r="AW48" t="s">
        <v>210</v>
      </c>
      <c r="AX48" s="173">
        <f>(AX44*BC25)/BD13</f>
        <v>52.137931034482769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Loads'!P122</f>
        <v>0</v>
      </c>
      <c r="F49" s="23">
        <f>'55 Degree Loads'!Q122</f>
        <v>0</v>
      </c>
      <c r="G49" s="23">
        <f>'55 Degree Loads'!R122</f>
        <v>0</v>
      </c>
      <c r="H49" s="23">
        <f>'55 Degree Loads'!S122</f>
        <v>0</v>
      </c>
      <c r="I49" s="24">
        <f>'55 Degree Loads'!T122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Loads'!P123</f>
        <v>0</v>
      </c>
      <c r="F50" s="23">
        <f>'55 Degree Loads'!Q123</f>
        <v>0</v>
      </c>
      <c r="G50" s="23">
        <f>'55 Degree Loads'!R123</f>
        <v>0</v>
      </c>
      <c r="H50" s="23">
        <f>'55 Degree Loads'!S123</f>
        <v>0</v>
      </c>
      <c r="I50" s="24">
        <f>'55 Degree Loads'!T123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27.450980392156865</v>
      </c>
      <c r="AM50" t="s">
        <v>211</v>
      </c>
      <c r="AN50" s="173">
        <f>MAX(AN46,AN48)</f>
        <v>34.758620689655174</v>
      </c>
      <c r="AW50" t="s">
        <v>211</v>
      </c>
      <c r="AX50" s="173">
        <f>MAX(AX46,AX48)</f>
        <v>52.137931034482769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Loads'!P124</f>
        <v>0</v>
      </c>
      <c r="F51" s="23">
        <f>'55 Degree Loads'!Q124</f>
        <v>0</v>
      </c>
      <c r="G51" s="23">
        <f>'55 Degree Loads'!R124</f>
        <v>0</v>
      </c>
      <c r="H51" s="23">
        <f>'55 Degree Loads'!S124</f>
        <v>0</v>
      </c>
      <c r="I51" s="24">
        <f>'55 Degree Loads'!T124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Loads'!P125</f>
        <v>0</v>
      </c>
      <c r="F52" s="23">
        <f>'55 Degree Loads'!Q125</f>
        <v>0</v>
      </c>
      <c r="G52" s="23">
        <f>'55 Degree Loads'!R125</f>
        <v>0</v>
      </c>
      <c r="H52" s="23">
        <f>'55 Degree Loads'!S125</f>
        <v>0</v>
      </c>
      <c r="I52" s="24">
        <f>'55 Degree Loads'!T125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379.43865734693873</v>
      </c>
      <c r="AM52" t="s">
        <v>212</v>
      </c>
      <c r="AN52">
        <f>((3.14^2)*E)/(AN50^2)</f>
        <v>236.66401368417738</v>
      </c>
      <c r="AW52" t="s">
        <v>212</v>
      </c>
      <c r="AX52">
        <f>((3.14^2)*E)/(AX50^2)</f>
        <v>105.18400608185658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Loads'!P126</f>
        <v>0</v>
      </c>
      <c r="F53" s="23">
        <f>'55 Degree Loads'!Q126</f>
        <v>0</v>
      </c>
      <c r="G53" s="23">
        <f>'55 Degree Loads'!R126</f>
        <v>0</v>
      </c>
      <c r="H53" s="23">
        <f>'55 Degree Loads'!S126</f>
        <v>0</v>
      </c>
      <c r="I53" s="24">
        <f>'55 Degree Loads'!T126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Loads'!P127</f>
        <v>0</v>
      </c>
      <c r="F54" s="23">
        <f>'55 Degree Loads'!Q127</f>
        <v>0</v>
      </c>
      <c r="G54" s="23">
        <f>'55 Degree Loads'!R127</f>
        <v>0</v>
      </c>
      <c r="H54" s="23">
        <f>'55 Degree Loads'!S127</f>
        <v>0</v>
      </c>
      <c r="I54" s="24">
        <f>'55 Degree Loads'!T127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Loads'!P128</f>
        <v>0</v>
      </c>
      <c r="F55" s="23">
        <f>'55 Degree Loads'!Q128</f>
        <v>0</v>
      </c>
      <c r="G55" s="23">
        <f>'55 Degree Loads'!R128</f>
        <v>0</v>
      </c>
      <c r="H55" s="23">
        <f>'55 Degree Loads'!S128</f>
        <v>0</v>
      </c>
      <c r="I55" s="24">
        <f>'55 Degree Loads'!T128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Loads'!P129</f>
        <v>0</v>
      </c>
      <c r="F56" s="23">
        <f>'55 Degree Loads'!Q129</f>
        <v>0</v>
      </c>
      <c r="G56" s="23">
        <f>'55 Degree Loads'!R129</f>
        <v>0</v>
      </c>
      <c r="H56" s="23">
        <f>'55 Degree Loads'!S129</f>
        <v>0</v>
      </c>
      <c r="I56" s="24">
        <f>'55 Degree Loads'!T129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47.316975301147288</v>
      </c>
      <c r="AE56" t="s">
        <v>215</v>
      </c>
      <c r="AM56" t="s">
        <v>214</v>
      </c>
      <c r="AN56">
        <f>IF(AN50&lt;=AN54,(0.658^(Fy/AN52))*Fy,(0.877*AN52))</f>
        <v>45.768490975477448</v>
      </c>
      <c r="AO56" t="s">
        <v>215</v>
      </c>
      <c r="AW56" t="s">
        <v>214</v>
      </c>
      <c r="AX56">
        <f>IF(AX50&lt;=AX54,(0.658^(Fy/AX52))*Fy,(0.877*AX52))</f>
        <v>40.979091905027303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Loads'!P130</f>
        <v>0</v>
      </c>
      <c r="F57" s="23">
        <f>'55 Degree Loads'!Q130</f>
        <v>0</v>
      </c>
      <c r="G57" s="23">
        <f>'55 Degree Loads'!R130</f>
        <v>0</v>
      </c>
      <c r="H57" s="23">
        <f>'55 Degree Loads'!S130</f>
        <v>0</v>
      </c>
      <c r="I57" s="24">
        <f>'55 Degree Loads'!T130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Loads'!P131</f>
        <v>0</v>
      </c>
      <c r="F58" s="23">
        <f>'55 Degree Loads'!Q131</f>
        <v>0</v>
      </c>
      <c r="G58" s="23">
        <f>'55 Degree Loads'!R131</f>
        <v>0</v>
      </c>
      <c r="H58" s="23">
        <f>'55 Degree Loads'!S131</f>
        <v>0</v>
      </c>
      <c r="I58" s="24">
        <f>'55 Degree Loads'!T131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165.51951130094335</v>
      </c>
      <c r="AE58" t="s">
        <v>217</v>
      </c>
      <c r="AM58" t="s">
        <v>216</v>
      </c>
      <c r="AN58">
        <f>IF(AN56&gt;Fy,(Fy*AO11)/1.67,(AN56*AO11))</f>
        <v>200.14103418666537</v>
      </c>
      <c r="AO58" t="s">
        <v>217</v>
      </c>
      <c r="AW58" t="s">
        <v>216</v>
      </c>
      <c r="AX58">
        <f>IF(AX56&gt;Fy,(Fy*AY11)/1.67,(AX56*AY11))</f>
        <v>179.1974709914939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Loads'!P132</f>
        <v>0</v>
      </c>
      <c r="F59" s="31">
        <f>'55 Degree Loads'!Q132</f>
        <v>0</v>
      </c>
      <c r="G59" s="31">
        <f>'55 Degree Loads'!R132</f>
        <v>0</v>
      </c>
      <c r="H59" s="31">
        <f>'55 Degree Loads'!S132</f>
        <v>0</v>
      </c>
      <c r="I59" s="32">
        <f>'55 Degree Loads'!T132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14.251318731187331</v>
      </c>
      <c r="AM63" s="174" t="s">
        <v>219</v>
      </c>
      <c r="AN63">
        <f>AN30*(Fy/AN56)</f>
        <v>14.733483277254461</v>
      </c>
      <c r="AW63" s="174" t="s">
        <v>219</v>
      </c>
      <c r="AX63">
        <f>AX30*(Fy/AX56)</f>
        <v>16.455447523707623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312.62195385719338</v>
      </c>
      <c r="AC66" s="174" t="s">
        <v>222</v>
      </c>
      <c r="AD66">
        <f>(AD65*(AD30/AD29))^2*Fy</f>
        <v>395.73335782400011</v>
      </c>
      <c r="AM66" s="174" t="s">
        <v>222</v>
      </c>
      <c r="AN66">
        <f>(AN65*(AN30/AN29))^2*Fy</f>
        <v>152.15969575826153</v>
      </c>
      <c r="AW66" s="174" t="s">
        <v>222</v>
      </c>
      <c r="AX66">
        <f>(AX65*(AX30/AX29))^2*Fy</f>
        <v>152.15969575826153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4</v>
      </c>
      <c r="AE67" t="s">
        <v>170</v>
      </c>
      <c r="AM67" s="174" t="s">
        <v>223</v>
      </c>
      <c r="AN67">
        <f>IF(AN29&lt;=AN63,AO15,AO15*(1-(AN64*SQRT(AN66/AN56)))*SQRT(AN66/AN56))</f>
        <v>5.99</v>
      </c>
      <c r="AO67" t="s">
        <v>170</v>
      </c>
      <c r="AW67" s="174" t="s">
        <v>223</v>
      </c>
      <c r="AX67">
        <f>IF(AX29&lt;=AX63,AY15,AY15*(1-(AX64*SQRT(AX66/AX56)))*SQRT(AX66/AX56))</f>
        <v>5.99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36.887292533702954</v>
      </c>
      <c r="AM70" s="174" t="s">
        <v>219</v>
      </c>
      <c r="AN70">
        <f>AN33*SQRT(Fy/AN56)</f>
        <v>37.506105469559856</v>
      </c>
      <c r="AW70" s="174" t="s">
        <v>219</v>
      </c>
      <c r="AX70">
        <f>AX33*SQRT(Fy/AX56)</f>
        <v>39.637303518520284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191.36557213143044</v>
      </c>
      <c r="AC71" s="174" t="s">
        <v>222</v>
      </c>
      <c r="AD71">
        <f>(AD65*(AD33/AD32))^2*Fy</f>
        <v>252.71096777640366</v>
      </c>
      <c r="AM71" s="174" t="s">
        <v>222</v>
      </c>
      <c r="AN71">
        <f>(AN65*(AN33/AN32))^2*Fy</f>
        <v>252.71096777640366</v>
      </c>
      <c r="AW71" s="174" t="s">
        <v>222</v>
      </c>
      <c r="AX71">
        <f>(AX65*(AX33/AX32))^2*Fy</f>
        <v>252.71096777640366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6.03</v>
      </c>
      <c r="AE72" t="s">
        <v>225</v>
      </c>
      <c r="AM72" s="174" t="s">
        <v>224</v>
      </c>
      <c r="AN72">
        <f>IF(AN32&lt;=AN70,AO12,AO12*(1-(AN64*SQRT(AN71/AN56)))*SQRT(AN71/AN56))</f>
        <v>5.99</v>
      </c>
      <c r="AO72" t="s">
        <v>225</v>
      </c>
      <c r="AW72" s="174" t="s">
        <v>224</v>
      </c>
      <c r="AX72">
        <f>IF(AX32&lt;=AX70,AY12,AY12*(1-(AX64*SQRT(AX71/AX56)))*SQRT(AX71/AX56))</f>
        <v>5.99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3.4981000000000004</v>
      </c>
      <c r="AE73" t="s">
        <v>225</v>
      </c>
      <c r="AM73" t="s">
        <v>226</v>
      </c>
      <c r="AN73">
        <f>2*(AN67*AO14)+((AN72-(2*AO14))*AO13)</f>
        <v>4.3729000000000005</v>
      </c>
      <c r="AO73" t="s">
        <v>225</v>
      </c>
      <c r="AW73" t="s">
        <v>226</v>
      </c>
      <c r="AX73">
        <f>2*(AX67*AY14)+((AX72-(2*AY14))*AY13)</f>
        <v>4.3729000000000005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165.51951130094335</v>
      </c>
      <c r="AE75" t="s">
        <v>217</v>
      </c>
      <c r="AM75" t="s">
        <v>216</v>
      </c>
      <c r="AN75">
        <f>(AN56*AN73)</f>
        <v>200.14103418666537</v>
      </c>
      <c r="AO75" t="s">
        <v>217</v>
      </c>
      <c r="AW75" t="s">
        <v>216</v>
      </c>
      <c r="AX75">
        <f>(AX56*AX73)</f>
        <v>179.1974709914939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99.113479820924169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119.84493065069783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107.30387484520594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354.79842350000001</v>
      </c>
      <c r="T82" t="s">
        <v>234</v>
      </c>
      <c r="AC82" t="s">
        <v>233</v>
      </c>
      <c r="AD82">
        <f>Fy*AE19</f>
        <v>408.02258749999999</v>
      </c>
      <c r="AE82" t="s">
        <v>234</v>
      </c>
      <c r="AM82" t="s">
        <v>233</v>
      </c>
      <c r="AN82">
        <f>Fy*AO19</f>
        <v>532.21768750000012</v>
      </c>
      <c r="AO82" t="s">
        <v>234</v>
      </c>
      <c r="AW82" t="s">
        <v>233</v>
      </c>
      <c r="AX82">
        <f>Fy*AY19</f>
        <v>532.21768750000012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38.486862928952789</v>
      </c>
      <c r="AC86" t="s">
        <v>238</v>
      </c>
      <c r="AD86">
        <f>1.76*AJ13*SQRT(E/Fy)</f>
        <v>38.91072705812627</v>
      </c>
      <c r="AM86" t="s">
        <v>238</v>
      </c>
      <c r="AN86">
        <f>1.76*AT13*SQRT(E/Fy)</f>
        <v>61.460298730155877</v>
      </c>
      <c r="AW86" t="s">
        <v>238</v>
      </c>
      <c r="AX86">
        <f>1.76*BD13*SQRT(E/Fy)</f>
        <v>61.460298730155877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124.02939015166409</v>
      </c>
      <c r="AC87" t="s">
        <v>239</v>
      </c>
      <c r="AD87">
        <f>(1.95*AJ16*(E/(0.7*Fy)))*SQRT((AJ17/(AE17*AJ15))+SQRT((AJ17/(AE17*AJ15))^2+6.76*((0.7*Fy)/E)^2))</f>
        <v>133.37064380221128</v>
      </c>
      <c r="AM87" t="s">
        <v>239</v>
      </c>
      <c r="AN87">
        <f>(1.95*AT16*(E/(0.7*Fy)))*SQRT((AT17/(AO17*AT15))+SQRT((AT17/(AO17*AT15))^2+6.76*((0.7*Fy)/E)^2))</f>
        <v>195.69176841451772</v>
      </c>
      <c r="AW87" t="s">
        <v>239</v>
      </c>
      <c r="AX87">
        <f>(1.95*BD16*(E/(0.7*Fy)))*SQRT((BD17/(AY17*BD15))+SQRT((BD17/(AY17*BD15))^2+6.76*((0.7*Fy)/E)^2))</f>
        <v>195.69176841451772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2401.4795845588451</v>
      </c>
      <c r="AM89" t="s">
        <v>241</v>
      </c>
      <c r="AN89">
        <f>(AN88*9.87*E)/((AN85/AT16)^2)*SQRT(1+0.078*((AT17/(AO17*AT15))*((AN85/AT16)^2)))</f>
        <v>1402.3165727616781</v>
      </c>
      <c r="AW89" t="s">
        <v>241</v>
      </c>
      <c r="AX89">
        <f>(AX88*9.87*E)/((AX85/BD16)^2)*SQRT(1+0.078*((BD17/(AY17*BD15))*((AX85/BD16)^2)))</f>
        <v>633.56877549133458</v>
      </c>
    </row>
    <row r="90" spans="2:51" x14ac:dyDescent="0.25">
      <c r="B90" s="375" t="s">
        <v>398</v>
      </c>
      <c r="C90" s="376"/>
    </row>
    <row r="91" spans="2:51" ht="15.75" thickBot="1" x14ac:dyDescent="0.3">
      <c r="B91" s="377"/>
      <c r="C91" s="378"/>
      <c r="R91" t="s">
        <v>242</v>
      </c>
      <c r="S91">
        <f>IF(S85&lt;=S86,Fy*T19,IF(S85&lt;S87,S88*(S82-(S82-0.7*Fy*T17)*((S85-S86)/(S87-S86))),S89*T17))</f>
        <v>354.79842350000001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408.02258749999999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532.21768750000012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532.21768750000012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0.76513871189800109</v>
      </c>
      <c r="AC96" t="s">
        <v>245</v>
      </c>
      <c r="AD96">
        <f>4/(SQRT(AD39))</f>
        <v>0.82021979486171759</v>
      </c>
      <c r="AM96" t="s">
        <v>245</v>
      </c>
      <c r="AN96">
        <f>4/(SQRT(AN39))</f>
        <v>0.82021979486171759</v>
      </c>
      <c r="AW96" t="s">
        <v>245</v>
      </c>
      <c r="AX96">
        <f>4/(SQRT(AX39))</f>
        <v>0.82021979486171759</v>
      </c>
    </row>
    <row r="97" spans="2:51" ht="15.75" thickBot="1" x14ac:dyDescent="0.3">
      <c r="B97" s="206" t="s">
        <v>350</v>
      </c>
      <c r="C97" s="230" t="s">
        <v>293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>
        <f>IF(AO38="Slender",(0.9*E*AN96*AO17)/(AN36^2),IF(AO37="Non-Compact",(AN82-(AN82-(0.7*Fy*AO17))*((AN36-AN37)/(AN38-AN37)))," "))</f>
        <v>501.04796910161019</v>
      </c>
      <c r="AO97" t="s">
        <v>234</v>
      </c>
      <c r="AW97" t="s">
        <v>242</v>
      </c>
      <c r="AX97">
        <f>IF(AY38="Slender",(0.9*E*AX96*AY17)/(AX36^2),IF(AY37="Non-Compact",(AX82-(AX82-(0.7*Fy*AY17))*((AX36-AX37)/(AX38-AX37)))," "))</f>
        <v>501.04796910161019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3.0543800000000001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2.5794741551666669</v>
      </c>
      <c r="H100" s="166" t="str">
        <f t="shared" si="3"/>
        <v>in^4</v>
      </c>
      <c r="R100" s="19" t="s">
        <v>248</v>
      </c>
      <c r="S100" s="8">
        <f>S39*T13</f>
        <v>5.4660000000000002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5.4700000000000006</v>
      </c>
    </row>
    <row r="101" spans="2:51" x14ac:dyDescent="0.25">
      <c r="B101" s="209" t="str">
        <f t="shared" si="0"/>
        <v>Depth (d)</v>
      </c>
      <c r="C101" s="211">
        <f t="shared" si="1"/>
        <v>5.96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1.2994832015952982</v>
      </c>
      <c r="H101" s="159" t="str">
        <f t="shared" si="3"/>
        <v>in^3</v>
      </c>
      <c r="R101" s="19" t="s">
        <v>249</v>
      </c>
      <c r="S101" s="8">
        <f>(S100*T13)/(T15*T14)</f>
        <v>1.1148390254846572</v>
      </c>
      <c r="AC101" s="19" t="s">
        <v>249</v>
      </c>
      <c r="AD101" s="8">
        <f>(AD100*AE13)/(AE15*AE14)</f>
        <v>1.1233035714285715</v>
      </c>
      <c r="AM101" s="19" t="s">
        <v>249</v>
      </c>
      <c r="AN101" s="8">
        <f>(AN100*AO13)/(AO15*AO14)</f>
        <v>0.80782072685244644</v>
      </c>
      <c r="AW101" s="19" t="s">
        <v>249</v>
      </c>
      <c r="AX101" s="8">
        <f>(AX100*AY13)/(AY15*AY14)</f>
        <v>0.80782072685244644</v>
      </c>
    </row>
    <row r="102" spans="2:51" x14ac:dyDescent="0.25">
      <c r="B102" s="209" t="str">
        <f t="shared" si="0"/>
        <v>Web Thickness (tw)</v>
      </c>
      <c r="C102" s="211">
        <f t="shared" si="1"/>
        <v>0.2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0.90800000000000003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1.0798787344492655</v>
      </c>
      <c r="AC102" s="19" t="s">
        <v>250</v>
      </c>
      <c r="AD102" s="8">
        <f>1-((AD101/(1200+300*AD101))*((AD100/AE13)-5.7*SQRT(E/Fy)))</f>
        <v>1.0829448444555956</v>
      </c>
      <c r="AM102" s="19" t="s">
        <v>250</v>
      </c>
      <c r="AN102" s="8">
        <f>1-((AN101/(1200+300*AN101))*((AN100/AO13)-5.7*SQRT(E/Fy)))</f>
        <v>1.0635636860411946</v>
      </c>
      <c r="AW102" s="19" t="s">
        <v>250</v>
      </c>
      <c r="AX102" s="8">
        <f>1-((AX101/(1200+300*AX101))*((AX100/AY13)-5.7*SQRT(E/Fy)))</f>
        <v>1.0635636860411946</v>
      </c>
    </row>
    <row r="103" spans="2:51" x14ac:dyDescent="0.25">
      <c r="B103" s="209" t="str">
        <f t="shared" si="0"/>
        <v>Flange Thickness (tf)</v>
      </c>
      <c r="C103" s="211">
        <f t="shared" si="1"/>
        <v>0.247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2.00113115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3.97</v>
      </c>
      <c r="D104" t="str">
        <f t="shared" si="1"/>
        <v>in</v>
      </c>
      <c r="E104" s="19" t="str">
        <f t="shared" si="2"/>
        <v>ho</v>
      </c>
      <c r="G104" s="211">
        <f t="shared" si="3"/>
        <v>5.7130000000000001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18.73420884300667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1.0826128011388125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6.2866472627539158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5.5117876873333339E-2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2.4766015762282496</v>
      </c>
      <c r="D107" t="str">
        <f t="shared" si="1"/>
        <v>in</v>
      </c>
      <c r="E107" s="19" t="str">
        <f t="shared" si="2"/>
        <v>h/tw</v>
      </c>
      <c r="G107" s="211">
        <f t="shared" si="3"/>
        <v>27.33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7.0959684700000007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1.0524129045684352</v>
      </c>
      <c r="AC108" s="19" t="s">
        <v>254</v>
      </c>
      <c r="AD108" s="8">
        <f>AE15/SQRT(12*(1+0.1667*AD101))</f>
        <v>1.059735342842675</v>
      </c>
      <c r="AM108" s="19" t="s">
        <v>254</v>
      </c>
      <c r="AN108" s="8">
        <f>AO15/SQRT(12*(1+0.1667*AN101))</f>
        <v>1.6233143053638803</v>
      </c>
      <c r="AW108" s="19" t="s">
        <v>254</v>
      </c>
      <c r="AX108" s="8">
        <f>AY15/SQRT(12*(1+0.1667*AX101))</f>
        <v>1.6233143053638803</v>
      </c>
    </row>
    <row r="109" spans="2:51" ht="15.75" thickBot="1" x14ac:dyDescent="0.3">
      <c r="B109" s="213" t="str">
        <f t="shared" si="0"/>
        <v>Wh</v>
      </c>
      <c r="C109" s="212">
        <f t="shared" si="1"/>
        <v>5.4660000000000002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212.45414580838326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244.32490269461078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300.02872401294024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300.02872401294024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309.82750731239963</v>
      </c>
      <c r="AC119" t="s">
        <v>255</v>
      </c>
      <c r="AD119">
        <f>(0.69*E)/(AD36^2)</f>
        <v>392.19600000000003</v>
      </c>
      <c r="AM119" t="s">
        <v>255</v>
      </c>
      <c r="AN119">
        <f>(0.69*E)/(AN36^2)</f>
        <v>150.79957971131628</v>
      </c>
      <c r="AW119" t="s">
        <v>255</v>
      </c>
      <c r="AX119">
        <f>(0.69*E)/(AX36^2)</f>
        <v>150.79957971131628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212.45414580838326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100.0565575</v>
      </c>
      <c r="T120" t="s">
        <v>234</v>
      </c>
      <c r="AC120" t="s">
        <v>263</v>
      </c>
      <c r="AD120">
        <f>Fy*AJ14</f>
        <v>115.61703750000001</v>
      </c>
      <c r="AE120" t="s">
        <v>234</v>
      </c>
      <c r="AM120" t="s">
        <v>263</v>
      </c>
      <c r="AN120">
        <f>Fy*AT14</f>
        <v>236.83768750000004</v>
      </c>
      <c r="AO120" t="s">
        <v>234</v>
      </c>
      <c r="AW120" t="s">
        <v>263</v>
      </c>
      <c r="AX120">
        <f>Fy*BD14</f>
        <v>236.83768750000004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103.95865612762385</v>
      </c>
      <c r="T121" t="s">
        <v>265</v>
      </c>
      <c r="AC121" t="s">
        <v>264</v>
      </c>
      <c r="AD121">
        <f>1.6*Fy*AJ12</f>
        <v>119.68851163333333</v>
      </c>
      <c r="AE121" t="s">
        <v>265</v>
      </c>
      <c r="AM121" t="s">
        <v>264</v>
      </c>
      <c r="AN121">
        <f>1.6*Fy*AT12</f>
        <v>248.91683688369511</v>
      </c>
      <c r="AO121" t="s">
        <v>265</v>
      </c>
      <c r="AW121" t="s">
        <v>264</v>
      </c>
      <c r="AX121">
        <f>1.6*Fy*BD12</f>
        <v>248.91683688369511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59.914106287425149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100.0565575</v>
      </c>
      <c r="T122" t="s">
        <v>234</v>
      </c>
      <c r="AC122" t="s">
        <v>266</v>
      </c>
      <c r="AD122">
        <f>MIN(AD120:AD121)</f>
        <v>115.61703750000001</v>
      </c>
      <c r="AE122" t="s">
        <v>234</v>
      </c>
      <c r="AM122" t="s">
        <v>266</v>
      </c>
      <c r="AN122">
        <f>MIN(AN120:AN121)</f>
        <v>236.83768750000004</v>
      </c>
      <c r="AO122" t="s">
        <v>234</v>
      </c>
      <c r="AW122" t="s">
        <v>266</v>
      </c>
      <c r="AX122">
        <f>MIN(AX120:AX121)</f>
        <v>236.83768750000004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100.0565575</v>
      </c>
      <c r="T123" t="s">
        <v>234</v>
      </c>
      <c r="AC123" t="s">
        <v>242</v>
      </c>
      <c r="AD123">
        <f>IF(AE37="Compact",AD122,IF(AE37="Non-Compact",AD122-(0.7*Fy*AJ12)*((AD36-AD37)/(AD38-AD37)),AD119*AJ12))</f>
        <v>115.61703750000001</v>
      </c>
      <c r="AE123" t="s">
        <v>234</v>
      </c>
      <c r="AM123" t="s">
        <v>242</v>
      </c>
      <c r="AN123">
        <f>IF(AO37="Compact",AN122,IF(AO37="Non-Compact",AN122-(0.7*Fy*AT12)*((AN36-AN37)/(AN38-AN37)),AN119*AT12))</f>
        <v>219.56983060579017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219.56983060579017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21.41317365269461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59.914106287425149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69.231758982035942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131.4789404825091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131.4789404825091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35.230778443113778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212.45414580838326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5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1.1919999999999999</v>
      </c>
      <c r="AC134" t="s">
        <v>270</v>
      </c>
      <c r="AD134">
        <f>AE12*AE13</f>
        <v>1.3869</v>
      </c>
      <c r="AM134" t="s">
        <v>270</v>
      </c>
      <c r="AN134">
        <f>AO12*AO13</f>
        <v>1.3777000000000001</v>
      </c>
      <c r="AW134" t="s">
        <v>270</v>
      </c>
      <c r="AX134">
        <f>AY12*AY13</f>
        <v>1.3777000000000001</v>
      </c>
    </row>
    <row r="135" spans="2:56" x14ac:dyDescent="0.25">
      <c r="R135" t="s">
        <v>186</v>
      </c>
      <c r="S135">
        <f>S32</f>
        <v>27.33</v>
      </c>
      <c r="AC135" t="s">
        <v>186</v>
      </c>
      <c r="AD135">
        <f>AD32</f>
        <v>23.782608695652176</v>
      </c>
      <c r="AM135" t="s">
        <v>186</v>
      </c>
      <c r="AN135">
        <f>AN32</f>
        <v>23.782608695652176</v>
      </c>
      <c r="AW135" t="s">
        <v>186</v>
      </c>
      <c r="AX135">
        <f>AX32</f>
        <v>23.782608695652176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21.41317365269461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24.91437125748503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24.749101796407189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24.749101796407189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5" t="s">
        <v>399</v>
      </c>
      <c r="C145" s="37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7"/>
      <c r="C146" s="37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35.230778443113778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40.239520958083837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55.954491017964081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55.954491017964081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294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3.4981000000000004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2.9922127908333334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6.03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1.4961063954166667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0.91800000000000004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0.28000000000000003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2.3123407500000002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4</v>
      </c>
      <c r="D158" t="str">
        <f t="shared" si="5"/>
        <v>in</v>
      </c>
      <c r="E158" s="19" t="str">
        <f t="shared" si="6"/>
        <v>ho</v>
      </c>
      <c r="G158" s="211">
        <f t="shared" si="7"/>
        <v>5.75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21.666591690833339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1.0941163821601956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7.1862659007739085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8.1858750000000022E-2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2.4887380590729697</v>
      </c>
      <c r="D161" t="str">
        <f t="shared" si="5"/>
        <v>in</v>
      </c>
      <c r="E161" s="19" t="str">
        <f t="shared" si="6"/>
        <v>h/tw</v>
      </c>
      <c r="G161" s="211">
        <f t="shared" si="7"/>
        <v>23.782608695652176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8.16045175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99.113479820924169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244.32490269461078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69.231758982035942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24.91437125748503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40.239520958083837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244.32490269461078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5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5" t="s">
        <v>400</v>
      </c>
      <c r="C194" s="376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7"/>
      <c r="C195" s="378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296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4.3729000000000005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9.3188240808333358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5.99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3.1114604610461889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1.45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0.26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4.736753750000001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</v>
      </c>
      <c r="D207" t="str">
        <f t="shared" si="60"/>
        <v>in</v>
      </c>
      <c r="E207" s="19" t="str">
        <f t="shared" si="56"/>
        <v>ho</v>
      </c>
      <c r="G207" s="211">
        <f>AT15</f>
        <v>5.73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28.721482960833342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1.6685447284918389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9.5898106713967746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9.3425796666666672E-2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2.5628232598673386</v>
      </c>
      <c r="D210" t="str">
        <f t="shared" si="60"/>
        <v>in</v>
      </c>
      <c r="E210" s="19" t="str">
        <f t="shared" si="56"/>
        <v>h/tw</v>
      </c>
      <c r="G210" s="211">
        <f>AT18</f>
        <v>23.782608695652176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10.644353750000002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119.84493065069783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300.02872401294024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131.4789404825091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24.749101796407189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55.954491017964081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318.69322604790426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5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75" t="s">
        <v>401</v>
      </c>
      <c r="C243" s="376"/>
    </row>
    <row r="244" spans="2:8" ht="15.75" thickBot="1" x14ac:dyDescent="0.3">
      <c r="B244" s="377"/>
      <c r="C244" s="378"/>
    </row>
    <row r="248" spans="2:8" ht="15.75" thickBot="1" x14ac:dyDescent="0.3"/>
    <row r="249" spans="2:8" ht="15.75" thickBot="1" x14ac:dyDescent="0.3">
      <c r="B249" s="206" t="s">
        <v>350</v>
      </c>
      <c r="C249" s="230" t="s">
        <v>296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4.3729000000000005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9.3188240808333358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5.99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3.1114604610461889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0.23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1.45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0.26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4.736753750000001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5.99</v>
      </c>
      <c r="D256" t="str">
        <f t="shared" si="64"/>
        <v>in</v>
      </c>
      <c r="E256" s="19" t="str">
        <f t="shared" si="61"/>
        <v>ho</v>
      </c>
      <c r="G256" s="211">
        <f>BD15</f>
        <v>5.73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28.721482960833342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1.6685447284918389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9.5898106713967746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9.3425796666666672E-2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2.5628232598673386</v>
      </c>
      <c r="D259" t="str">
        <f t="shared" si="64"/>
        <v>in</v>
      </c>
      <c r="E259" s="19" t="str">
        <f t="shared" si="61"/>
        <v>h/tw</v>
      </c>
      <c r="G259" s="211">
        <f>BD18</f>
        <v>23.782608695652176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10.644353750000002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5.4700000000000006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107.30387484520594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300.02872401294024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131.4789404825091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24.749101796407189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55.954491017964081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318.69322604790426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5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C63:E63"/>
    <mergeCell ref="C2:D2"/>
    <mergeCell ref="C6:D6"/>
    <mergeCell ref="C7:D7"/>
    <mergeCell ref="B9:I9"/>
    <mergeCell ref="B10:I10"/>
    <mergeCell ref="B35:I35"/>
    <mergeCell ref="B36:I36"/>
    <mergeCell ref="C61:E61"/>
    <mergeCell ref="C62:E62"/>
    <mergeCell ref="F6:G7"/>
    <mergeCell ref="C3:D4"/>
  </mergeCells>
  <conditionalFormatting sqref="I34:I35">
    <cfRule type="expression" dxfId="136" priority="94">
      <formula>ABS(I34)=MAX(ABS($I$12:$I$33),ABS($I$38:$I$59))</formula>
    </cfRule>
  </conditionalFormatting>
  <conditionalFormatting sqref="E34:I35">
    <cfRule type="expression" priority="93" stopIfTrue="1">
      <formula>E34=""</formula>
    </cfRule>
  </conditionalFormatting>
  <conditionalFormatting sqref="C132 C186 C235 C284">
    <cfRule type="cellIs" dxfId="135" priority="47" operator="greaterThan">
      <formula>1</formula>
    </cfRule>
  </conditionalFormatting>
  <conditionalFormatting sqref="E12:I33">
    <cfRule type="expression" dxfId="134" priority="46">
      <formula>ABS(E12)=MAX(ABS($E$12:$E$33),ABS($E$38:$E$59))</formula>
    </cfRule>
  </conditionalFormatting>
  <conditionalFormatting sqref="F12:F33">
    <cfRule type="expression" dxfId="133" priority="45">
      <formula>ABS(F12)=MAX(ABS($F$12:$F$33),ABS($F$38:$F$59))</formula>
    </cfRule>
  </conditionalFormatting>
  <conditionalFormatting sqref="G12:G33">
    <cfRule type="expression" dxfId="132" priority="44">
      <formula>ABS(G12)=MAX(ABS($G$12:$G$33),ABS($G$38:$G$59))</formula>
    </cfRule>
  </conditionalFormatting>
  <conditionalFormatting sqref="H12:H33">
    <cfRule type="expression" dxfId="131" priority="43">
      <formula>ABS(H12)=MAX(ABS($H$12:$H$33),ABS($H$38:$H$59))</formula>
    </cfRule>
  </conditionalFormatting>
  <conditionalFormatting sqref="I12:I33">
    <cfRule type="expression" dxfId="130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129" priority="40">
      <formula>ABS(E38)=MAX(ABS($E$12:$E$33),ABS($E$38:$E$59))</formula>
    </cfRule>
  </conditionalFormatting>
  <conditionalFormatting sqref="F38:F59">
    <cfRule type="expression" dxfId="128" priority="39">
      <formula>ABS(F38)=MAX(ABS($F$12:$F$33),ABS($F$38:$F$59))</formula>
    </cfRule>
  </conditionalFormatting>
  <conditionalFormatting sqref="G38:G59">
    <cfRule type="expression" dxfId="127" priority="38">
      <formula>ABS(G38)=MAX(ABS($G$12:$G$33),ABS($G$38:$G$59))</formula>
    </cfRule>
  </conditionalFormatting>
  <conditionalFormatting sqref="H38:H59">
    <cfRule type="expression" dxfId="126" priority="37">
      <formula>ABS(H38)=MAX(ABS($H$12:$H$33),ABS($H$38:$H$59))</formula>
    </cfRule>
  </conditionalFormatting>
  <conditionalFormatting sqref="I38:I59">
    <cfRule type="expression" dxfId="125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124" priority="29">
      <formula>$F$9="Zone 5"</formula>
    </cfRule>
    <cfRule type="expression" dxfId="123" priority="30">
      <formula>$F$9="Zone 4"</formula>
    </cfRule>
    <cfRule type="expression" dxfId="122" priority="31">
      <formula>$F$9="Zone 3"</formula>
    </cfRule>
    <cfRule type="expression" dxfId="121" priority="32">
      <formula>$F$9="Zone 2"</formula>
    </cfRule>
    <cfRule type="expression" dxfId="120" priority="33">
      <formula>$F$9="Zone 1"</formula>
    </cfRule>
    <cfRule type="expression" dxfId="119" priority="34">
      <formula>$F$9="Zone 1 - Drive"</formula>
    </cfRule>
  </conditionalFormatting>
  <conditionalFormatting sqref="Y41:Y150 AJ41:AJ150 AT41:AT150 BD41:BD150">
    <cfRule type="expression" dxfId="118" priority="28">
      <formula>Y41="Satisfactory"</formula>
    </cfRule>
  </conditionalFormatting>
  <conditionalFormatting sqref="AG4">
    <cfRule type="expression" dxfId="117" priority="22">
      <formula>$F$9="Zone 5"</formula>
    </cfRule>
    <cfRule type="expression" dxfId="116" priority="23">
      <formula>$F$9="Zone 4"</formula>
    </cfRule>
    <cfRule type="expression" dxfId="115" priority="24">
      <formula>$F$9="Zone 3"</formula>
    </cfRule>
    <cfRule type="expression" dxfId="114" priority="25">
      <formula>$F$9="Zone 2"</formula>
    </cfRule>
    <cfRule type="expression" dxfId="113" priority="26">
      <formula>$F$9="Zone 1"</formula>
    </cfRule>
    <cfRule type="expression" dxfId="112" priority="27">
      <formula>$F$9="Zone 1 - Drive"</formula>
    </cfRule>
  </conditionalFormatting>
  <conditionalFormatting sqref="AQ4">
    <cfRule type="expression" dxfId="111" priority="16">
      <formula>$F$9="Zone 5"</formula>
    </cfRule>
    <cfRule type="expression" dxfId="110" priority="17">
      <formula>$F$9="Zone 4"</formula>
    </cfRule>
    <cfRule type="expression" dxfId="109" priority="18">
      <formula>$F$9="Zone 3"</formula>
    </cfRule>
    <cfRule type="expression" dxfId="108" priority="19">
      <formula>$F$9="Zone 2"</formula>
    </cfRule>
    <cfRule type="expression" dxfId="107" priority="20">
      <formula>$F$9="Zone 1"</formula>
    </cfRule>
    <cfRule type="expression" dxfId="106" priority="21">
      <formula>$F$9="Zone 1 - Drive"</formula>
    </cfRule>
  </conditionalFormatting>
  <conditionalFormatting sqref="BA4">
    <cfRule type="expression" dxfId="105" priority="10">
      <formula>$F$9="Zone 5"</formula>
    </cfRule>
    <cfRule type="expression" dxfId="104" priority="11">
      <formula>$F$9="Zone 4"</formula>
    </cfRule>
    <cfRule type="expression" dxfId="103" priority="12">
      <formula>$F$9="Zone 3"</formula>
    </cfRule>
    <cfRule type="expression" dxfId="102" priority="13">
      <formula>$F$9="Zone 2"</formula>
    </cfRule>
    <cfRule type="expression" dxfId="101" priority="14">
      <formula>$F$9="Zone 1"</formula>
    </cfRule>
    <cfRule type="expression" dxfId="100" priority="15">
      <formula>$F$9="Zone 1 - Drive"</formula>
    </cfRule>
  </conditionalFormatting>
  <conditionalFormatting sqref="Y31:Y40 AJ31:AJ40 AT31:AT40 BD31:BD40">
    <cfRule type="expression" dxfId="99" priority="9">
      <formula>Y31="Satisfactory"</formula>
    </cfRule>
  </conditionalFormatting>
  <conditionalFormatting sqref="Y158:Y179">
    <cfRule type="top10" dxfId="98" priority="8" rank="1"/>
  </conditionalFormatting>
  <conditionalFormatting sqref="Y184:Y205">
    <cfRule type="top10" dxfId="97" priority="7" rank="1"/>
  </conditionalFormatting>
  <conditionalFormatting sqref="AJ158:AJ179">
    <cfRule type="top10" dxfId="96" priority="6" rank="1"/>
  </conditionalFormatting>
  <conditionalFormatting sqref="AJ184:AJ205">
    <cfRule type="top10" dxfId="95" priority="5" rank="1"/>
  </conditionalFormatting>
  <conditionalFormatting sqref="AT158:AT179">
    <cfRule type="top10" dxfId="94" priority="4" rank="1"/>
  </conditionalFormatting>
  <conditionalFormatting sqref="AT184:AT205">
    <cfRule type="top10" dxfId="93" priority="3" rank="1"/>
  </conditionalFormatting>
  <conditionalFormatting sqref="BD158:BD179">
    <cfRule type="top10" dxfId="92" priority="2" rank="1"/>
  </conditionalFormatting>
  <conditionalFormatting sqref="BD184:BD205">
    <cfRule type="top10" dxfId="91" priority="1" rank="1"/>
  </conditionalFormatting>
  <dataValidations disablePrompts="1" count="1">
    <dataValidation type="list" allowBlank="1" showInputMessage="1" showErrorMessage="1" sqref="P17" xr:uid="{0B719454-075C-4734-B063-00C43EB613B4}">
      <formula1>"No,Yes"</formula1>
    </dataValidation>
  </dataValidations>
  <pageMargins left="0.7" right="0.7" top="0.75" bottom="0.75" header="0.3" footer="0.3"/>
  <pageSetup scale="40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DD0FF8C3-F70D-4CD9-87E1-25E10611D61A}">
          <x14:formula1>
            <xm:f>Shapes!$A$2:$A$17</xm:f>
          </x14:formula1>
          <xm:sqref>C200 C151 C97 C249</xm:sqref>
        </x14:dataValidation>
        <x14:dataValidation type="list" allowBlank="1" showInputMessage="1" showErrorMessage="1" xr:uid="{0D05E868-2D8F-474C-8E46-23EBF4038B82}">
          <x14:formula1>
            <xm:f>List!$D$2:$D$5</xm:f>
          </x14:formula1>
          <xm:sqref>P21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CB696-193E-4FCE-932C-3C5E43923C22}">
  <dimension ref="A2:W93"/>
  <sheetViews>
    <sheetView workbookViewId="0">
      <selection activeCell="E45" sqref="E45"/>
    </sheetView>
  </sheetViews>
  <sheetFormatPr defaultRowHeight="15" x14ac:dyDescent="0.25"/>
  <cols>
    <col min="1" max="1" width="23.28515625" bestFit="1" customWidth="1"/>
    <col min="2" max="2" width="32.28515625" bestFit="1" customWidth="1"/>
    <col min="3" max="3" width="13.28515625" bestFit="1" customWidth="1"/>
    <col min="4" max="23" width="15.7109375" customWidth="1"/>
  </cols>
  <sheetData>
    <row r="2" spans="1:12" ht="15.75" thickBot="1" x14ac:dyDescent="0.3">
      <c r="A2" s="332" t="s">
        <v>436</v>
      </c>
      <c r="B2" s="332"/>
      <c r="C2" s="332"/>
      <c r="D2" s="332"/>
      <c r="E2" s="332"/>
      <c r="F2" s="332"/>
      <c r="G2" s="332"/>
      <c r="H2" s="332"/>
      <c r="K2" s="333" t="s">
        <v>451</v>
      </c>
      <c r="L2" s="333"/>
    </row>
    <row r="3" spans="1:12" x14ac:dyDescent="0.25">
      <c r="A3" s="224"/>
      <c r="B3" s="224"/>
      <c r="C3" s="224"/>
      <c r="D3" s="224"/>
      <c r="E3" s="224"/>
      <c r="F3" s="224"/>
      <c r="G3" s="224"/>
      <c r="H3" s="224"/>
      <c r="K3" s="217" t="s">
        <v>443</v>
      </c>
      <c r="L3" s="227">
        <v>1.4</v>
      </c>
    </row>
    <row r="4" spans="1:12" x14ac:dyDescent="0.25">
      <c r="A4" s="224" t="s">
        <v>437</v>
      </c>
      <c r="B4" s="224"/>
      <c r="C4" s="224"/>
      <c r="D4" s="224" t="s">
        <v>438</v>
      </c>
      <c r="E4" s="224"/>
      <c r="F4" s="224"/>
      <c r="G4" s="224" t="s">
        <v>434</v>
      </c>
      <c r="H4" s="224"/>
      <c r="K4" s="221" t="s">
        <v>2</v>
      </c>
      <c r="L4" s="98">
        <v>0.5</v>
      </c>
    </row>
    <row r="5" spans="1:12" x14ac:dyDescent="0.25">
      <c r="A5" s="8" t="s">
        <v>423</v>
      </c>
      <c r="B5" s="8">
        <v>-708.42248536666739</v>
      </c>
      <c r="C5" s="8"/>
      <c r="D5" s="8" t="s">
        <v>423</v>
      </c>
      <c r="E5" s="8">
        <v>-16436.064287038047</v>
      </c>
      <c r="F5" s="224"/>
      <c r="G5" s="8" t="s">
        <v>439</v>
      </c>
      <c r="H5" s="8">
        <v>-135.46309026910149</v>
      </c>
      <c r="K5" s="221" t="s">
        <v>444</v>
      </c>
      <c r="L5" s="98">
        <v>1.5</v>
      </c>
    </row>
    <row r="6" spans="1:12" x14ac:dyDescent="0.25">
      <c r="A6" s="8" t="s">
        <v>424</v>
      </c>
      <c r="B6" s="8">
        <v>-610.58557944499205</v>
      </c>
      <c r="C6" s="8"/>
      <c r="D6" s="8" t="s">
        <v>424</v>
      </c>
      <c r="E6" s="8">
        <v>-13413.578820092825</v>
      </c>
      <c r="F6" s="224"/>
      <c r="G6" s="8" t="s">
        <v>440</v>
      </c>
      <c r="H6" s="8">
        <v>-2907.6475010811291</v>
      </c>
      <c r="K6" s="221" t="s">
        <v>6</v>
      </c>
      <c r="L6" s="98">
        <v>1.4</v>
      </c>
    </row>
    <row r="7" spans="1:12" x14ac:dyDescent="0.25">
      <c r="A7" s="8" t="s">
        <v>425</v>
      </c>
      <c r="B7" s="8">
        <v>-679.68705680735297</v>
      </c>
      <c r="C7" s="8"/>
      <c r="D7" s="8" t="s">
        <v>425</v>
      </c>
      <c r="E7" s="8">
        <v>-15065.469658633037</v>
      </c>
      <c r="F7" s="224"/>
      <c r="G7" s="224"/>
      <c r="H7" s="224"/>
      <c r="K7" s="221" t="s">
        <v>447</v>
      </c>
      <c r="L7" s="98">
        <v>0.4</v>
      </c>
    </row>
    <row r="8" spans="1:12" x14ac:dyDescent="0.25">
      <c r="A8" s="8" t="s">
        <v>426</v>
      </c>
      <c r="B8" s="8">
        <v>-517.99286878310068</v>
      </c>
      <c r="C8" s="8"/>
      <c r="D8" s="8" t="s">
        <v>426</v>
      </c>
      <c r="E8" s="8">
        <v>-7514.4582797354378</v>
      </c>
      <c r="F8" s="224"/>
      <c r="G8" s="224" t="s">
        <v>435</v>
      </c>
      <c r="H8" s="224"/>
      <c r="K8" s="221" t="s">
        <v>448</v>
      </c>
      <c r="L8" s="98">
        <v>1.25</v>
      </c>
    </row>
    <row r="9" spans="1:12" ht="15.75" thickBot="1" x14ac:dyDescent="0.3">
      <c r="A9" s="8" t="s">
        <v>427</v>
      </c>
      <c r="B9" s="8">
        <v>-537.77972360934734</v>
      </c>
      <c r="C9" s="8"/>
      <c r="D9" s="8" t="s">
        <v>427</v>
      </c>
      <c r="E9" s="8">
        <v>-11499.928057121782</v>
      </c>
      <c r="F9" s="224"/>
      <c r="G9" s="8" t="s">
        <v>439</v>
      </c>
      <c r="H9" s="8">
        <v>-27.213936265324012</v>
      </c>
      <c r="K9" s="223" t="s">
        <v>477</v>
      </c>
      <c r="L9" s="228">
        <v>0.9</v>
      </c>
    </row>
    <row r="10" spans="1:12" x14ac:dyDescent="0.25">
      <c r="A10" s="224"/>
      <c r="B10" s="224"/>
      <c r="C10" s="224"/>
      <c r="D10" s="224"/>
      <c r="E10" s="224"/>
      <c r="F10" s="224"/>
      <c r="G10" s="8" t="s">
        <v>440</v>
      </c>
      <c r="H10" s="8">
        <v>-584.13353496704724</v>
      </c>
    </row>
    <row r="11" spans="1:12" x14ac:dyDescent="0.25">
      <c r="A11" s="224" t="s">
        <v>441</v>
      </c>
      <c r="B11" s="224"/>
      <c r="C11" s="224"/>
      <c r="D11" s="224" t="s">
        <v>442</v>
      </c>
      <c r="E11" s="224"/>
      <c r="F11" s="224"/>
      <c r="G11" s="224"/>
      <c r="H11" s="224"/>
    </row>
    <row r="12" spans="1:12" x14ac:dyDescent="0.25">
      <c r="A12" s="8" t="s">
        <v>423</v>
      </c>
      <c r="B12" s="8">
        <v>937.81369890202291</v>
      </c>
      <c r="C12" s="8"/>
      <c r="D12" s="8" t="s">
        <v>423</v>
      </c>
      <c r="E12" s="8">
        <v>23456.697714425962</v>
      </c>
      <c r="F12" s="224"/>
      <c r="G12" s="224"/>
      <c r="H12" s="224"/>
    </row>
    <row r="13" spans="1:12" x14ac:dyDescent="0.25">
      <c r="A13" s="8" t="s">
        <v>424</v>
      </c>
      <c r="B13" s="8">
        <v>763.35314571017057</v>
      </c>
      <c r="C13" s="8"/>
      <c r="D13" s="8" t="s">
        <v>424</v>
      </c>
      <c r="E13" s="8">
        <v>16418.83479363381</v>
      </c>
      <c r="F13" s="224"/>
      <c r="G13" s="224"/>
      <c r="H13" s="224"/>
    </row>
    <row r="14" spans="1:12" x14ac:dyDescent="0.25">
      <c r="A14" s="8" t="s">
        <v>425</v>
      </c>
      <c r="B14" s="8">
        <v>863.19660591841614</v>
      </c>
      <c r="C14" s="8"/>
      <c r="D14" s="8" t="s">
        <v>425</v>
      </c>
      <c r="E14" s="8">
        <v>21569.821296951064</v>
      </c>
      <c r="F14" s="224"/>
      <c r="G14" s="224"/>
      <c r="H14" s="224"/>
    </row>
    <row r="15" spans="1:12" x14ac:dyDescent="0.25">
      <c r="A15" s="8" t="s">
        <v>426</v>
      </c>
      <c r="B15" s="8">
        <v>543.23550616095974</v>
      </c>
      <c r="C15" s="8"/>
      <c r="D15" s="8" t="s">
        <v>426</v>
      </c>
      <c r="E15" s="8">
        <v>9502.3617140538208</v>
      </c>
      <c r="F15" s="224"/>
      <c r="G15" s="224"/>
      <c r="H15" s="224"/>
    </row>
    <row r="16" spans="1:12" x14ac:dyDescent="0.25">
      <c r="A16" s="8" t="s">
        <v>427</v>
      </c>
      <c r="B16" s="8">
        <v>669.21288136841258</v>
      </c>
      <c r="C16" s="8"/>
      <c r="D16" s="8" t="s">
        <v>427</v>
      </c>
      <c r="E16" s="8">
        <v>14376.851178150675</v>
      </c>
      <c r="F16" s="224"/>
      <c r="G16" s="224"/>
      <c r="H16" s="224"/>
    </row>
    <row r="17" spans="1:23" x14ac:dyDescent="0.25">
      <c r="A17" s="224"/>
      <c r="B17" s="224"/>
      <c r="C17" s="224"/>
      <c r="D17" s="224"/>
      <c r="E17" s="224"/>
      <c r="F17" s="224"/>
      <c r="G17" s="224"/>
      <c r="H17" s="224"/>
    </row>
    <row r="18" spans="1:23" x14ac:dyDescent="0.25">
      <c r="A18" s="224"/>
      <c r="B18" s="224"/>
      <c r="C18" s="224"/>
      <c r="D18" s="224"/>
      <c r="E18" s="224"/>
      <c r="F18" s="224"/>
      <c r="G18" s="224"/>
      <c r="H18" s="224"/>
    </row>
    <row r="19" spans="1:23" x14ac:dyDescent="0.25">
      <c r="A19" s="224"/>
      <c r="B19" s="224"/>
      <c r="C19" s="224"/>
      <c r="D19" s="224"/>
      <c r="E19" s="224"/>
      <c r="F19" s="224"/>
      <c r="G19" s="224"/>
      <c r="H19" s="224"/>
    </row>
    <row r="21" spans="1:23" ht="15.75" thickBot="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23" x14ac:dyDescent="0.25">
      <c r="A22" s="381" t="s">
        <v>433</v>
      </c>
      <c r="B22" s="382"/>
      <c r="C22" s="382"/>
      <c r="D22" s="382"/>
      <c r="E22" s="382"/>
      <c r="F22" s="382"/>
      <c r="G22" s="382"/>
      <c r="H22" s="382"/>
      <c r="I22" s="382"/>
      <c r="J22" s="382"/>
      <c r="K22" s="382"/>
      <c r="L22" s="382"/>
      <c r="M22" s="383"/>
      <c r="P22" s="333"/>
      <c r="Q22" s="333"/>
      <c r="R22" s="333"/>
      <c r="S22" s="333"/>
      <c r="T22" s="333"/>
      <c r="U22" s="333"/>
      <c r="V22" s="333"/>
      <c r="W22" s="333"/>
    </row>
    <row r="23" spans="1:23" x14ac:dyDescent="0.25">
      <c r="A23" s="97"/>
      <c r="B23" s="233"/>
      <c r="C23" s="233"/>
      <c r="D23" s="379" t="s">
        <v>423</v>
      </c>
      <c r="E23" s="379"/>
      <c r="F23" s="379" t="s">
        <v>424</v>
      </c>
      <c r="G23" s="379"/>
      <c r="H23" s="379" t="s">
        <v>61</v>
      </c>
      <c r="I23" s="379"/>
      <c r="J23" s="379" t="s">
        <v>426</v>
      </c>
      <c r="K23" s="379"/>
      <c r="L23" s="379" t="s">
        <v>427</v>
      </c>
      <c r="M23" s="380"/>
    </row>
    <row r="24" spans="1:23" x14ac:dyDescent="0.25">
      <c r="A24" s="97" t="s">
        <v>3</v>
      </c>
      <c r="B24" s="233" t="s">
        <v>454</v>
      </c>
      <c r="C24" s="233" t="s">
        <v>475</v>
      </c>
      <c r="D24" s="233" t="s">
        <v>439</v>
      </c>
      <c r="E24" s="233" t="s">
        <v>440</v>
      </c>
      <c r="F24" s="233" t="s">
        <v>439</v>
      </c>
      <c r="G24" s="233" t="s">
        <v>440</v>
      </c>
      <c r="H24" s="233" t="s">
        <v>439</v>
      </c>
      <c r="I24" s="233" t="s">
        <v>440</v>
      </c>
      <c r="J24" s="233" t="s">
        <v>439</v>
      </c>
      <c r="K24" s="233" t="s">
        <v>440</v>
      </c>
      <c r="L24" s="233" t="s">
        <v>439</v>
      </c>
      <c r="M24" s="234" t="s">
        <v>440</v>
      </c>
      <c r="P24" s="8"/>
      <c r="Q24" s="8"/>
      <c r="R24" s="8"/>
      <c r="S24" s="8"/>
      <c r="T24" s="8"/>
      <c r="U24" s="8"/>
      <c r="V24" s="8"/>
      <c r="W24" s="8"/>
    </row>
    <row r="25" spans="1:23" x14ac:dyDescent="0.25">
      <c r="A25" s="97">
        <v>1</v>
      </c>
      <c r="B25" s="237" t="s">
        <v>455</v>
      </c>
      <c r="C25" s="233" t="s">
        <v>476</v>
      </c>
      <c r="D25" s="233">
        <f>$L$3*DLShear_55</f>
        <v>-38.099510771453616</v>
      </c>
      <c r="E25" s="233">
        <f>$L$3*DLMoment_55</f>
        <v>-817.78694895386604</v>
      </c>
      <c r="F25" s="233">
        <f>$L$3*DLShear_55</f>
        <v>-38.099510771453616</v>
      </c>
      <c r="G25" s="233">
        <f>$L$3*DLMoment_55</f>
        <v>-817.78694895386604</v>
      </c>
      <c r="H25" s="233">
        <f>$L$3*DLShear_55</f>
        <v>-38.099510771453616</v>
      </c>
      <c r="I25" s="233">
        <f>$L$3*DLMoment_55</f>
        <v>-817.78694895386604</v>
      </c>
      <c r="J25" s="233">
        <f>$L$3*DLShear_55</f>
        <v>-38.099510771453616</v>
      </c>
      <c r="K25" s="233">
        <f>$L$3*DLMoment_55</f>
        <v>-817.78694895386604</v>
      </c>
      <c r="L25" s="233">
        <f>$L$3*DLShear_55</f>
        <v>-38.099510771453616</v>
      </c>
      <c r="M25" s="234">
        <f>$L$3*DLMoment_55</f>
        <v>-817.78694895386604</v>
      </c>
    </row>
    <row r="26" spans="1:23" x14ac:dyDescent="0.25">
      <c r="A26" s="97">
        <v>2</v>
      </c>
      <c r="B26" s="237" t="s">
        <v>457</v>
      </c>
      <c r="C26" s="233" t="s">
        <v>476</v>
      </c>
      <c r="D26" s="233">
        <f>$L$8*DLShear_55+$L$4*SLShear_55</f>
        <v>-101.74896546620576</v>
      </c>
      <c r="E26" s="233">
        <f>$L$8*DLMoment_55+$L$4*SLMoment_55</f>
        <v>-2183.9906692493737</v>
      </c>
      <c r="F26" s="233">
        <f>$L$8*DLShear_55+$L$4*SLShear_55</f>
        <v>-101.74896546620576</v>
      </c>
      <c r="G26" s="233">
        <f>$L$8*DLMoment_55+$L$4*SLMoment_55</f>
        <v>-2183.9906692493737</v>
      </c>
      <c r="H26" s="233">
        <f>$L$8*DLShear_55+$L$4*SLShear_55</f>
        <v>-101.74896546620576</v>
      </c>
      <c r="I26" s="233">
        <f>$L$8*DLMoment_55+$L$4*SLMoment_55</f>
        <v>-2183.9906692493737</v>
      </c>
      <c r="J26" s="233">
        <f>$L$8*DLShear_55+$L$4*SLShear_55</f>
        <v>-101.74896546620576</v>
      </c>
      <c r="K26" s="233">
        <f>$L$8*DLMoment_55+$L$4*SLMoment_55</f>
        <v>-2183.9906692493737</v>
      </c>
      <c r="L26" s="233">
        <f>$L$8*DLShear_55+$L$4*SLShear_55</f>
        <v>-101.74896546620576</v>
      </c>
      <c r="M26" s="234">
        <f>$L$8*DLMoment_55+$L$4*SLMoment_55</f>
        <v>-2183.9906692493737</v>
      </c>
    </row>
    <row r="27" spans="1:23" x14ac:dyDescent="0.25">
      <c r="A27" s="97">
        <v>3</v>
      </c>
      <c r="B27" s="237" t="s">
        <v>456</v>
      </c>
      <c r="C27" s="233" t="s">
        <v>476</v>
      </c>
      <c r="D27" s="233">
        <f>$L$9*DLShear_55+$L$4*SLShear_55</f>
        <v>-92.224087773342347</v>
      </c>
      <c r="E27" s="233">
        <f>$L$9*DLMoment_55+$L$4*SLMoment_55</f>
        <v>-1979.5439320109072</v>
      </c>
      <c r="F27" s="233">
        <f>$L$9*DLShear_55+$L$4*SLShear_55</f>
        <v>-92.224087773342347</v>
      </c>
      <c r="G27" s="233">
        <f>$L$9*DLMoment_55+$L$4*SLMoment_55</f>
        <v>-1979.5439320109072</v>
      </c>
      <c r="H27" s="233">
        <f>$L$9*DLShear_55+$L$4*SLShear_55</f>
        <v>-92.224087773342347</v>
      </c>
      <c r="I27" s="233">
        <f>$L$9*DLMoment_55+$L$4*SLMoment_55</f>
        <v>-1979.5439320109072</v>
      </c>
      <c r="J27" s="233">
        <f>$L$9*DLShear_55+$L$4*SLShear_55</f>
        <v>-92.224087773342347</v>
      </c>
      <c r="K27" s="233">
        <f>$L$9*DLMoment_55+$L$4*SLMoment_55</f>
        <v>-1979.5439320109072</v>
      </c>
      <c r="L27" s="233">
        <f>$L$9*DLShear_55+$L$4*SLShear_55</f>
        <v>-92.224087773342347</v>
      </c>
      <c r="M27" s="234">
        <f>$L$9*DLMoment_55+$L$4*SLMoment_55</f>
        <v>-1979.5439320109072</v>
      </c>
    </row>
    <row r="28" spans="1:23" x14ac:dyDescent="0.25">
      <c r="A28" s="97">
        <v>4</v>
      </c>
      <c r="B28" s="237" t="s">
        <v>458</v>
      </c>
      <c r="C28" s="233" t="s">
        <v>476</v>
      </c>
      <c r="D28" s="233">
        <f>$L$8*DLShear_55+$L$5*SLShear_55</f>
        <v>-237.21205573530725</v>
      </c>
      <c r="E28" s="233">
        <f>$L$8*DLMoment_55+$L$5*SLMoment_55</f>
        <v>-5091.6381703305024</v>
      </c>
      <c r="F28" s="233">
        <f>$L$8*DLShear_55+$L$5*SLShear_55</f>
        <v>-237.21205573530725</v>
      </c>
      <c r="G28" s="233">
        <f>$L$8*DLMoment_55+$L$5*SLMoment_55</f>
        <v>-5091.6381703305024</v>
      </c>
      <c r="H28" s="233">
        <f>$L$8*DLShear_55+$L$5*SLShear_55</f>
        <v>-237.21205573530725</v>
      </c>
      <c r="I28" s="233">
        <f>$L$8*DLMoment_55+$L$5*SLMoment_55</f>
        <v>-5091.6381703305024</v>
      </c>
      <c r="J28" s="233">
        <f>$L$8*DLShear_55+$L$5*SLShear_55</f>
        <v>-237.21205573530725</v>
      </c>
      <c r="K28" s="233">
        <f>$L$8*DLMoment_55+$L$5*SLMoment_55</f>
        <v>-5091.6381703305024</v>
      </c>
      <c r="L28" s="233">
        <f>$L$8*DLShear_55+$L$5*SLShear_55</f>
        <v>-237.21205573530725</v>
      </c>
      <c r="M28" s="234">
        <f>$L$8*DLMoment_55+$L$5*SLMoment_55</f>
        <v>-5091.6381703305024</v>
      </c>
    </row>
    <row r="29" spans="1:23" x14ac:dyDescent="0.25">
      <c r="A29" s="97">
        <v>5</v>
      </c>
      <c r="B29" s="237" t="s">
        <v>459</v>
      </c>
      <c r="C29" s="233" t="s">
        <v>476</v>
      </c>
      <c r="D29" s="233">
        <f>$L$9*DLShear_55+$L$5*SLShear_55</f>
        <v>-227.68717804244383</v>
      </c>
      <c r="E29" s="233">
        <f>$L$9*DLMoment_55+$L$5*SLMoment_55</f>
        <v>-4887.1914330920354</v>
      </c>
      <c r="F29" s="233">
        <f>$L$9*DLShear_55+$L$5*SLShear_55</f>
        <v>-227.68717804244383</v>
      </c>
      <c r="G29" s="233">
        <f>$L$9*DLMoment_55+$L$5*SLMoment_55</f>
        <v>-4887.1914330920354</v>
      </c>
      <c r="H29" s="233">
        <f>$L$9*DLShear_55+$L$5*SLShear_55</f>
        <v>-227.68717804244383</v>
      </c>
      <c r="I29" s="233">
        <f>$L$9*DLMoment_55+$L$5*SLMoment_55</f>
        <v>-4887.1914330920354</v>
      </c>
      <c r="J29" s="233">
        <f>$L$9*DLShear_55+$L$5*SLShear_55</f>
        <v>-227.68717804244383</v>
      </c>
      <c r="K29" s="233">
        <f>$L$9*DLMoment_55+$L$5*SLMoment_55</f>
        <v>-4887.1914330920354</v>
      </c>
      <c r="L29" s="233">
        <f>$L$9*DLShear_55+$L$5*SLShear_55</f>
        <v>-227.68717804244383</v>
      </c>
      <c r="M29" s="234">
        <f>$L$9*DLMoment_55+$L$5*SLMoment_55</f>
        <v>-4887.1914330920354</v>
      </c>
    </row>
    <row r="30" spans="1:23" x14ac:dyDescent="0.25">
      <c r="A30" s="97">
        <v>6</v>
      </c>
      <c r="B30" s="237" t="s">
        <v>460</v>
      </c>
      <c r="C30" s="233" t="s">
        <v>476</v>
      </c>
      <c r="D30" s="233">
        <f>$L$8*DLShear_55+$L$7*U_Z1_S_55</f>
        <v>341.10805922915415</v>
      </c>
      <c r="E30" s="233">
        <f>$L$8*DLMoment_55+$L$7*U_Z1_M_55</f>
        <v>8652.5121670615772</v>
      </c>
      <c r="F30" s="233">
        <f>$L$8*DLShear_55+$L$7*U_Z2_S_55</f>
        <v>271.32383795241321</v>
      </c>
      <c r="G30" s="233">
        <f>$L$8*DLMoment_55+$L$7*U_Z2_M_55</f>
        <v>5837.3669987447156</v>
      </c>
      <c r="H30" s="233">
        <f>$L$8*DLShear_55+$L$7*U_Z3_S_55</f>
        <v>311.26122203571151</v>
      </c>
      <c r="I30" s="233">
        <f>$L$8*DLMoment_55+$L$7*U_Z3_M_55</f>
        <v>7897.7616000716162</v>
      </c>
      <c r="J30" s="233">
        <f>$L$8*DLShear_55+$L$7*U_Z4_S_55</f>
        <v>183.2767821327289</v>
      </c>
      <c r="K30" s="233">
        <f>$L$8*DLMoment_55+$L$7*U_Z4_M_55</f>
        <v>3070.7777669127195</v>
      </c>
      <c r="L30" s="233">
        <f>$L$8*DLShear_55+$L$7*U_Z5_S_55</f>
        <v>233.66773221571</v>
      </c>
      <c r="M30" s="234">
        <f>$L$8*DLMoment_55+$L$7*U_Z5_M_55</f>
        <v>5020.573552551461</v>
      </c>
    </row>
    <row r="31" spans="1:23" x14ac:dyDescent="0.25">
      <c r="A31" s="97">
        <v>7</v>
      </c>
      <c r="B31" s="237" t="s">
        <v>461</v>
      </c>
      <c r="C31" s="233" t="s">
        <v>476</v>
      </c>
      <c r="D31" s="233">
        <f>$L$8*DLShear_55+$L$7*D_Z1_S_55</f>
        <v>-317.38641447832197</v>
      </c>
      <c r="E31" s="233">
        <f>$L$8*DLMoment_55+$L$7*D_Z1_M_55</f>
        <v>-7304.5926335240283</v>
      </c>
      <c r="F31" s="233">
        <f>$L$8*DLShear_55+$L$7*D_Z2_S_55</f>
        <v>-278.25165210965184</v>
      </c>
      <c r="G31" s="233">
        <f>$L$8*DLMoment_55+$L$7*D_Z2_M_55</f>
        <v>-6095.5984467459393</v>
      </c>
      <c r="H31" s="233">
        <f>$L$8*DLShear_55+$L$7*D_Z3_S_55</f>
        <v>-305.89224305459618</v>
      </c>
      <c r="I31" s="233">
        <f>$L$8*DLMoment_55+$L$7*D_Z3_M_55</f>
        <v>-6756.3547821620241</v>
      </c>
      <c r="J31" s="233">
        <f>$L$8*DLShear_55+$L$7*D_Z4_S_55</f>
        <v>-241.2145678448953</v>
      </c>
      <c r="K31" s="233">
        <f>$L$8*DLMoment_55+$L$7*D_Z4_M_55</f>
        <v>-3735.9502306029844</v>
      </c>
      <c r="L31" s="233">
        <f>$L$8*DLShear_55+$L$7*D_Z5_S_55</f>
        <v>-249.12930977539398</v>
      </c>
      <c r="M31" s="234">
        <f>$L$8*DLMoment_55+$L$7*D_Z5_M_55</f>
        <v>-5330.1381415575224</v>
      </c>
    </row>
    <row r="32" spans="1:23" x14ac:dyDescent="0.25">
      <c r="A32" s="97">
        <v>8</v>
      </c>
      <c r="B32" s="237" t="s">
        <v>479</v>
      </c>
      <c r="C32" s="233" t="s">
        <v>476</v>
      </c>
      <c r="D32" s="233">
        <f>$L$9*DLShear_55+$L$7*U_Z1_S_55</f>
        <v>350.63293692201756</v>
      </c>
      <c r="E32" s="233">
        <f>$L$9*DLMoment_55+$L$7*U_Z1_M_55</f>
        <v>8856.9589043000433</v>
      </c>
      <c r="F32" s="233">
        <f>$L$9*DLShear_55+$L$7*U_Z2_S_55</f>
        <v>280.84871564527663</v>
      </c>
      <c r="G32" s="233">
        <f>$L$9*DLMoment_55+$L$7*U_Z2_M_55</f>
        <v>6041.8137359831826</v>
      </c>
      <c r="H32" s="233">
        <f>$L$9*DLShear_55+$L$7*U_Z3_S_55</f>
        <v>320.78609972857487</v>
      </c>
      <c r="I32" s="233">
        <f>$L$9*DLMoment_55+$L$7*U_Z3_M_55</f>
        <v>8102.2083373100832</v>
      </c>
      <c r="J32" s="233">
        <f>$L$9*DLShear_55+$L$7*U_Z4_S_55</f>
        <v>192.80165982559231</v>
      </c>
      <c r="K32" s="233">
        <f>$L$9*DLMoment_55+$L$7*U_Z4_M_55</f>
        <v>3275.224504151186</v>
      </c>
      <c r="L32" s="233">
        <f>$L$9*DLShear_55+$L$7*U_Z5_S_55</f>
        <v>243.19260990857342</v>
      </c>
      <c r="M32" s="234">
        <f>$L$9*DLMoment_55+$L$7*U_Z5_M_55</f>
        <v>5225.020289789928</v>
      </c>
    </row>
    <row r="33" spans="1:13" x14ac:dyDescent="0.25">
      <c r="A33" s="97">
        <v>9</v>
      </c>
      <c r="B33" s="237" t="s">
        <v>462</v>
      </c>
      <c r="C33" s="233" t="s">
        <v>476</v>
      </c>
      <c r="D33" s="233">
        <f>$L$9*DLShear_55+$L$7*D_Z1_S_55</f>
        <v>-307.86153678545861</v>
      </c>
      <c r="E33" s="233">
        <f>$L$9*DLMoment_55+$L$7*D_Z1_M_55</f>
        <v>-7100.1458962855613</v>
      </c>
      <c r="F33" s="233">
        <f>$L$9*DLShear_55+$L$7*D_Z2_S_55</f>
        <v>-268.72677441678843</v>
      </c>
      <c r="G33" s="233">
        <f>$L$9*DLMoment_55+$L$7*D_Z2_M_55</f>
        <v>-5891.1517095074723</v>
      </c>
      <c r="H33" s="233">
        <f>$L$9*DLShear_55+$L$7*D_Z3_S_55</f>
        <v>-296.36736536173282</v>
      </c>
      <c r="I33" s="233">
        <f>$L$9*DLMoment_55+$L$7*D_Z3_M_55</f>
        <v>-6551.9080449235571</v>
      </c>
      <c r="J33" s="233">
        <f>$L$9*DLShear_55+$L$7*D_Z4_S_55</f>
        <v>-231.68969015203189</v>
      </c>
      <c r="K33" s="233">
        <f>$L$9*DLMoment_55+$L$7*D_Z4_M_55</f>
        <v>-3531.5034933645179</v>
      </c>
      <c r="L33" s="233">
        <f>$L$9*DLShear_55+$L$7*D_Z5_S_55</f>
        <v>-239.60443208253056</v>
      </c>
      <c r="M33" s="234">
        <f>$L$9*DLMoment_55+$L$7*D_Z5_M_55</f>
        <v>-5125.6914043190554</v>
      </c>
    </row>
    <row r="34" spans="1:13" x14ac:dyDescent="0.25">
      <c r="A34" s="97">
        <v>10</v>
      </c>
      <c r="B34" s="237" t="s">
        <v>463</v>
      </c>
      <c r="C34" s="233" t="s">
        <v>476</v>
      </c>
      <c r="D34" s="233">
        <f>$L$8*DLShear_55+$L$5*SLShear_55+$L$7*U_Z1_S_55</f>
        <v>137.91342382550195</v>
      </c>
      <c r="E34" s="233">
        <f>$L$8*DLMoment_55+$L$5*SLMoment_55+$L$7*U_Z1_M_55</f>
        <v>4291.0409154398831</v>
      </c>
      <c r="F34" s="233">
        <f>$L$8*DLShear_55+$L$5*SLShear_55+$L$7*U_Z2_S_55</f>
        <v>68.129202548761015</v>
      </c>
      <c r="G34" s="233">
        <f>$L$8*DLMoment_55+$L$5*SLMoment_55+$L$7*U_Z2_M_55</f>
        <v>1475.8957471230224</v>
      </c>
      <c r="H34" s="233">
        <f>$L$8*DLShear_55+$L$5*SLShear_55+$L$7*U_Z3_S_55</f>
        <v>108.06658663205926</v>
      </c>
      <c r="I34" s="233">
        <f>$L$8*DLMoment_55+$L$5*SLMoment_55+$L$7*U_Z3_M_55</f>
        <v>3536.2903484499229</v>
      </c>
      <c r="J34" s="233">
        <f>$L$8*DLShear_55+$L$5*SLShear_55+$L$7*U_Z4_S_55</f>
        <v>-19.917853270923331</v>
      </c>
      <c r="K34" s="233">
        <f>$L$8*DLMoment_55+$L$5*SLMoment_55+$L$7*U_Z4_M_55</f>
        <v>-1290.6934847089738</v>
      </c>
      <c r="L34" s="233">
        <f>$L$8*DLShear_55+$L$5*SLShear_55+$L$7*U_Z5_S_55</f>
        <v>30.473096812057776</v>
      </c>
      <c r="M34" s="234">
        <f>$L$8*DLMoment_55+$L$5*SLMoment_55+$L$7*U_Z5_M_55</f>
        <v>659.10230092976781</v>
      </c>
    </row>
    <row r="35" spans="1:13" x14ac:dyDescent="0.25">
      <c r="A35" s="97">
        <v>11</v>
      </c>
      <c r="B35" s="237" t="s">
        <v>464</v>
      </c>
      <c r="C35" s="233" t="s">
        <v>476</v>
      </c>
      <c r="D35" s="233">
        <f>$L$8*DLShear_55+$L$5*SLShear_55+$L$7*D_Z1_S_55</f>
        <v>-520.5810498819742</v>
      </c>
      <c r="E35" s="233">
        <f>$L$8*DLMoment_55+$L$5*SLMoment_55+$L$7*D_Z1_M_55</f>
        <v>-11666.063885145722</v>
      </c>
      <c r="F35" s="233">
        <f>$L$8*DLShear_55+$L$5*SLShear_55+$L$7*D_Z2_S_55</f>
        <v>-481.44628751330407</v>
      </c>
      <c r="G35" s="233">
        <f>$L$8*DLMoment_55+$L$5*SLMoment_55+$L$7*D_Z2_M_55</f>
        <v>-10457.069698367632</v>
      </c>
      <c r="H35" s="233">
        <f>$L$8*DLShear_55+$L$5*SLShear_55+$L$7*D_Z3_S_55</f>
        <v>-509.08687845824841</v>
      </c>
      <c r="I35" s="233">
        <f>$L$8*DLMoment_55+$L$5*SLMoment_55+$L$7*D_Z3_M_55</f>
        <v>-11117.826033783716</v>
      </c>
      <c r="J35" s="233">
        <f>$L$8*DLShear_55+$L$5*SLShear_55+$L$7*D_Z4_S_55</f>
        <v>-444.40920324854756</v>
      </c>
      <c r="K35" s="233">
        <f>$L$8*DLMoment_55+$L$5*SLMoment_55+$L$7*D_Z4_M_55</f>
        <v>-8097.4214822246777</v>
      </c>
      <c r="L35" s="233">
        <f>$L$8*DLShear_55+$L$5*SLShear_55+$L$7*D_Z5_S_55</f>
        <v>-452.32394517904618</v>
      </c>
      <c r="M35" s="234">
        <f>$L$8*DLMoment_55+$L$5*SLMoment_55+$L$7*D_Z5_M_55</f>
        <v>-9691.6093931792166</v>
      </c>
    </row>
    <row r="36" spans="1:13" x14ac:dyDescent="0.25">
      <c r="A36" s="97">
        <v>12</v>
      </c>
      <c r="B36" s="237" t="s">
        <v>471</v>
      </c>
      <c r="C36" s="233" t="s">
        <v>476</v>
      </c>
      <c r="D36" s="233">
        <f>$L$9*DLShear_55+$L$5*SLShear_55+$L$7*U_Z1_S_55</f>
        <v>147.43830151836536</v>
      </c>
      <c r="E36" s="233">
        <f>$L$9*DLMoment_55+$L$5*SLMoment_55+$L$7*U_Z1_M_55</f>
        <v>4495.4876526783501</v>
      </c>
      <c r="F36" s="233">
        <f>$L$9*DLShear_55+$L$5*SLShear_55+$L$7*U_Z2_S_55</f>
        <v>77.654080241624428</v>
      </c>
      <c r="G36" s="233">
        <f>$L$9*DLMoment_55+$L$5*SLMoment_55+$L$7*U_Z2_M_55</f>
        <v>1680.3424843614894</v>
      </c>
      <c r="H36" s="233">
        <f>$L$9*DLShear_55+$L$5*SLShear_55+$L$7*U_Z3_S_55</f>
        <v>117.59146432492267</v>
      </c>
      <c r="I36" s="233">
        <f>$L$9*DLMoment_55+$L$5*SLMoment_55+$L$7*U_Z3_M_55</f>
        <v>3740.7370856883899</v>
      </c>
      <c r="J36" s="233">
        <f>$L$9*DLShear_55+$L$5*SLShear_55+$L$7*U_Z4_S_55</f>
        <v>-10.392975578059918</v>
      </c>
      <c r="K36" s="233">
        <f>$L$9*DLMoment_55+$L$5*SLMoment_55+$L$7*U_Z4_M_55</f>
        <v>-1086.2467474705068</v>
      </c>
      <c r="L36" s="233">
        <f>$L$9*DLShear_55+$L$5*SLShear_55+$L$7*U_Z5_S_55</f>
        <v>39.997974504921189</v>
      </c>
      <c r="M36" s="234">
        <f>$L$9*DLMoment_55+$L$5*SLMoment_55+$L$7*U_Z5_M_55</f>
        <v>863.5490381682348</v>
      </c>
    </row>
    <row r="37" spans="1:13" x14ac:dyDescent="0.25">
      <c r="A37" s="97">
        <v>13</v>
      </c>
      <c r="B37" s="237" t="s">
        <v>472</v>
      </c>
      <c r="C37" s="233" t="s">
        <v>476</v>
      </c>
      <c r="D37" s="233">
        <f>$L$9*DLShear_55+$L$5*SLShear_55+$L$7*D_Z1_S_55</f>
        <v>-511.05617218911084</v>
      </c>
      <c r="E37" s="233">
        <f>$L$9*DLMoment_55+$L$5*SLMoment_55+$L$7*D_Z1_M_55</f>
        <v>-11461.617147907255</v>
      </c>
      <c r="F37" s="233">
        <f>$L$9*DLShear_55+$L$5*SLShear_55+$L$7*D_Z2_S_55</f>
        <v>-471.92140982044066</v>
      </c>
      <c r="G37" s="233">
        <f>$L$9*DLMoment_55+$L$5*SLMoment_55+$L$7*D_Z2_M_55</f>
        <v>-10252.622961129166</v>
      </c>
      <c r="H37" s="233">
        <f>$L$9*DLShear_55+$L$5*SLShear_55+$L$7*D_Z3_S_55</f>
        <v>-499.56200076538505</v>
      </c>
      <c r="I37" s="233">
        <f>$L$9*DLMoment_55+$L$5*SLMoment_55+$L$7*D_Z3_M_55</f>
        <v>-10913.37929654525</v>
      </c>
      <c r="J37" s="233">
        <f>$L$9*DLShear_55+$L$5*SLShear_55+$L$7*D_Z4_S_55</f>
        <v>-434.88432555568409</v>
      </c>
      <c r="K37" s="233">
        <f>$L$9*DLMoment_55+$L$5*SLMoment_55+$L$7*D_Z4_M_55</f>
        <v>-7892.9747449862107</v>
      </c>
      <c r="L37" s="233">
        <f>$L$9*DLShear_55+$L$5*SLShear_55+$L$7*D_Z5_S_55</f>
        <v>-442.79906748618282</v>
      </c>
      <c r="M37" s="234">
        <f>$L$9*DLMoment_55+$L$5*SLMoment_55+$L$7*D_Z5_M_55</f>
        <v>-9487.1626559407487</v>
      </c>
    </row>
    <row r="38" spans="1:13" x14ac:dyDescent="0.25">
      <c r="A38" s="97">
        <v>14</v>
      </c>
      <c r="B38" s="237" t="s">
        <v>465</v>
      </c>
      <c r="C38" s="233" t="s">
        <v>476</v>
      </c>
      <c r="D38" s="233">
        <f>$L$8*DLShear_55+$L$6*U_Z1_S_55</f>
        <v>1278.9217581311768</v>
      </c>
      <c r="E38" s="233">
        <f>$L$9*DLMoment_55+$L$7*U_Z1_M_55</f>
        <v>8856.9589043000433</v>
      </c>
      <c r="F38" s="233">
        <f>$L$8*DLShear_55+$L$6*U_Z2_S_55</f>
        <v>1034.6769836625836</v>
      </c>
      <c r="G38" s="233">
        <f>$L$9*DLMoment_55+$L$7*U_Z2_M_55</f>
        <v>6041.8137359831826</v>
      </c>
      <c r="H38" s="233">
        <f>$L$8*DLShear_55+$L$6*U_Z3_S_55</f>
        <v>1174.4578279541274</v>
      </c>
      <c r="I38" s="233">
        <f>$L$9*DLMoment_55+$L$7*U_Z3_M_55</f>
        <v>8102.2083373100832</v>
      </c>
      <c r="J38" s="233">
        <f>$L$8*DLShear_55+$L$6*U_Z4_S_55</f>
        <v>726.51228829368858</v>
      </c>
      <c r="K38" s="233">
        <f>$L$9*DLMoment_55+$L$7*U_Z4_M_55</f>
        <v>3275.224504151186</v>
      </c>
      <c r="L38" s="233">
        <f>$L$8*DLShear_55+$L$6*U_Z5_S_55</f>
        <v>902.88061358412256</v>
      </c>
      <c r="M38" s="234">
        <f>$L$9*DLMoment_55+$L$7*U_Z5_M_55</f>
        <v>5225.020289789928</v>
      </c>
    </row>
    <row r="39" spans="1:13" x14ac:dyDescent="0.25">
      <c r="A39" s="97">
        <v>15</v>
      </c>
      <c r="B39" s="237" t="s">
        <v>468</v>
      </c>
      <c r="C39" s="233" t="s">
        <v>476</v>
      </c>
      <c r="D39" s="233">
        <f>$L$8*DLShear_55+$L$6*D_Z1_S_55</f>
        <v>-1025.8088998449894</v>
      </c>
      <c r="E39" s="233">
        <f>$L$9*DLMoment_55+$L$7*D_Z1_M_55</f>
        <v>-7100.1458962855613</v>
      </c>
      <c r="F39" s="233">
        <f>$L$8*DLShear_55+$L$6*D_Z2_S_55</f>
        <v>-888.83723155464384</v>
      </c>
      <c r="G39" s="233">
        <f>$L$9*DLMoment_55+$L$7*D_Z2_M_55</f>
        <v>-5891.1517095074723</v>
      </c>
      <c r="H39" s="233">
        <f>$L$8*DLShear_55+$L$6*D_Z3_S_55</f>
        <v>-985.57929986194904</v>
      </c>
      <c r="I39" s="233">
        <f>$L$9*DLMoment_55+$L$7*D_Z3_M_55</f>
        <v>-6551.9080449235571</v>
      </c>
      <c r="J39" s="233">
        <f>$L$8*DLShear_55+$L$6*D_Z4_S_55</f>
        <v>-759.20743662799589</v>
      </c>
      <c r="K39" s="233">
        <f>$L$9*DLMoment_55+$L$7*D_Z4_M_55</f>
        <v>-3531.5034933645179</v>
      </c>
      <c r="L39" s="233">
        <f>$L$8*DLShear_55+$L$6*D_Z5_S_55</f>
        <v>-786.90903338474118</v>
      </c>
      <c r="M39" s="234">
        <f>$L$9*DLMoment_55+$L$7*D_Z5_M_55</f>
        <v>-5125.6914043190554</v>
      </c>
    </row>
    <row r="40" spans="1:13" x14ac:dyDescent="0.25">
      <c r="A40" s="97">
        <v>16</v>
      </c>
      <c r="B40" s="237" t="s">
        <v>466</v>
      </c>
      <c r="C40" s="233" t="s">
        <v>476</v>
      </c>
      <c r="D40" s="233">
        <f>$L$8*DLShear_55+$L$6*U_Z1_S_55+$L$4*SLShear_55</f>
        <v>1211.1902129966261</v>
      </c>
      <c r="E40" s="233">
        <f>$L$8*DLMoment_55+$L$6*U_Z1_M_55+$L$4*SLMoment_55</f>
        <v>30655.386130946976</v>
      </c>
      <c r="F40" s="233">
        <f>$L$8*DLShear_55+$L$6*U_Z2_S_55+$L$4*SLShear_55</f>
        <v>966.94543852803281</v>
      </c>
      <c r="G40" s="233">
        <f>$L$8*DLMoment_55+$L$6*U_Z2_M_55+$L$4*SLMoment_55</f>
        <v>20802.378041837961</v>
      </c>
      <c r="H40" s="233">
        <f>$L$8*DLShear_55+$L$6*U_Z3_S_55+$L$4*SLShear_55</f>
        <v>1106.7262828195767</v>
      </c>
      <c r="I40" s="233">
        <f>$L$8*DLMoment_55+$L$6*U_Z3_M_55+$L$4*SLMoment_55</f>
        <v>28013.759146482116</v>
      </c>
      <c r="J40" s="233">
        <f>$L$8*DLShear_55+$L$6*U_Z4_S_55+$L$4*SLShear_55</f>
        <v>658.78074315913784</v>
      </c>
      <c r="K40" s="233">
        <f>$L$8*DLMoment_55+$L$6*U_Z4_M_55+$L$4*SLMoment_55</f>
        <v>11119.315730425975</v>
      </c>
      <c r="L40" s="233">
        <f>$L$8*DLShear_55+$L$6*U_Z5_S_55+$L$4*SLShear_55</f>
        <v>835.14906844957181</v>
      </c>
      <c r="M40" s="234">
        <f>$L$8*DLMoment_55+$L$6*U_Z5_M_55+$L$4*SLMoment_55</f>
        <v>17943.600980161573</v>
      </c>
    </row>
    <row r="41" spans="1:13" x14ac:dyDescent="0.25">
      <c r="A41" s="97">
        <v>17</v>
      </c>
      <c r="B41" s="237" t="s">
        <v>467</v>
      </c>
      <c r="C41" s="233" t="s">
        <v>476</v>
      </c>
      <c r="D41" s="233">
        <f>$L$8*DLShear_55+$L$6*D_Z1_S_55+$L$4*SLShear_55</f>
        <v>-1093.5404449795401</v>
      </c>
      <c r="E41" s="233">
        <f>$L$8*DLMoment_55+$L$6*D_Z1_M_55+$L$4*SLMoment_55</f>
        <v>-25194.480671102636</v>
      </c>
      <c r="F41" s="233">
        <f>$L$8*DLShear_55+$L$6*D_Z2_S_55+$L$4*SLShear_55</f>
        <v>-956.56877668919458</v>
      </c>
      <c r="G41" s="233">
        <f>$L$8*DLMoment_55+$L$6*D_Z2_M_55+$L$4*SLMoment_55</f>
        <v>-20963.001017379327</v>
      </c>
      <c r="H41" s="233">
        <f>$L$8*DLShear_55+$L$6*D_Z3_S_55+$L$4*SLShear_55</f>
        <v>-1053.3108449964998</v>
      </c>
      <c r="I41" s="233">
        <f>$L$8*DLMoment_55+$L$6*D_Z3_M_55+$L$4*SLMoment_55</f>
        <v>-23275.648191335622</v>
      </c>
      <c r="J41" s="233">
        <f>$L$8*DLShear_55+$L$6*D_Z4_S_55+$L$4*SLShear_55</f>
        <v>-826.93898176254663</v>
      </c>
      <c r="K41" s="233">
        <f>$L$8*DLMoment_55+$L$6*D_Z4_M_55+$L$4*SLMoment_55</f>
        <v>-12704.232260878985</v>
      </c>
      <c r="L41" s="233">
        <f>$L$8*DLShear_55+$L$6*D_Z5_S_55+$L$4*SLShear_55</f>
        <v>-854.64057851929192</v>
      </c>
      <c r="M41" s="234">
        <f>$L$8*DLMoment_55+$L$6*D_Z5_M_55+$L$4*SLMoment_55</f>
        <v>-18283.889949219865</v>
      </c>
    </row>
    <row r="42" spans="1:13" x14ac:dyDescent="0.25">
      <c r="A42" s="97">
        <v>18</v>
      </c>
      <c r="B42" s="237" t="s">
        <v>469</v>
      </c>
      <c r="C42" s="233" t="s">
        <v>476</v>
      </c>
      <c r="D42" s="233">
        <f>$L$9*DLShear_55+$L$6*U_Z1_S_55</f>
        <v>1288.4466358240404</v>
      </c>
      <c r="E42" s="233">
        <f>$L$9*DLMoment_55+$L$6*U_Z1_M_55</f>
        <v>32313.656618726003</v>
      </c>
      <c r="F42" s="233">
        <f>$L$9*DLShear_55+$L$6*U_Z2_S_55</f>
        <v>1044.2018613554471</v>
      </c>
      <c r="G42" s="233">
        <f>$L$9*DLMoment_55+$L$6*U_Z2_M_55</f>
        <v>22460.648529616989</v>
      </c>
      <c r="H42" s="233">
        <f>$L$9*DLShear_55+$L$6*U_Z3_S_55</f>
        <v>1183.982705646991</v>
      </c>
      <c r="I42" s="233">
        <f>$L$9*DLMoment_55+$L$6*U_Z3_M_55</f>
        <v>29672.029634261144</v>
      </c>
      <c r="J42" s="233">
        <f>$L$9*DLShear_55+$L$6*U_Z4_S_55</f>
        <v>736.03716598655194</v>
      </c>
      <c r="K42" s="233">
        <f>$L$9*DLMoment_55+$L$6*U_Z4_M_55</f>
        <v>12777.586218205006</v>
      </c>
      <c r="L42" s="233">
        <f>$L$9*DLShear_55+$L$6*U_Z5_S_55</f>
        <v>912.40549127698591</v>
      </c>
      <c r="M42" s="234">
        <f>$L$9*DLMoment_55+$L$6*U_Z5_M_55</f>
        <v>19601.8714679406</v>
      </c>
    </row>
    <row r="43" spans="1:13" x14ac:dyDescent="0.25">
      <c r="A43" s="97">
        <v>19</v>
      </c>
      <c r="B43" s="237" t="s">
        <v>470</v>
      </c>
      <c r="C43" s="233" t="s">
        <v>476</v>
      </c>
      <c r="D43" s="233">
        <f>$L$9*DLShear_55+$L$6*D_Z1_S_55</f>
        <v>-1016.2840221521259</v>
      </c>
      <c r="E43" s="233">
        <f>$L$9*DLMoment_55+$L$6*D_Z1_M_55</f>
        <v>-23536.210183323608</v>
      </c>
      <c r="F43" s="233">
        <f>$L$9*DLShear_55+$L$6*D_Z2_S_55</f>
        <v>-879.31235386178048</v>
      </c>
      <c r="G43" s="233">
        <f>$L$9*DLMoment_55+$L$6*D_Z2_M_55</f>
        <v>-19304.7305296003</v>
      </c>
      <c r="H43" s="233">
        <f>$L$9*DLShear_55+$L$6*D_Z3_S_55</f>
        <v>-976.05442216908568</v>
      </c>
      <c r="I43" s="233">
        <f>$L$9*DLMoment_55+$L$6*D_Z3_M_55</f>
        <v>-21617.377703556594</v>
      </c>
      <c r="J43" s="233">
        <f>$L$9*DLShear_55+$L$6*D_Z4_S_55</f>
        <v>-749.68255893513253</v>
      </c>
      <c r="K43" s="233">
        <f>$L$9*DLMoment_55+$L$6*D_Z4_M_55</f>
        <v>-11045.961773099954</v>
      </c>
      <c r="L43" s="233">
        <f>$L$9*DLShear_55+$L$6*D_Z5_S_55</f>
        <v>-777.38415569187782</v>
      </c>
      <c r="M43" s="234">
        <f>$L$9*DLMoment_55+$L$6*D_Z5_M_55</f>
        <v>-16625.619461440838</v>
      </c>
    </row>
    <row r="44" spans="1:13" x14ac:dyDescent="0.25">
      <c r="A44" s="97">
        <v>20</v>
      </c>
      <c r="B44" s="237" t="s">
        <v>473</v>
      </c>
      <c r="C44" s="233" t="s">
        <v>476</v>
      </c>
      <c r="D44" s="233">
        <f>$L$9*DLShear_55+$L$6*U_Z1_S_55+$L$4*SLShear_55</f>
        <v>1220.7150906894897</v>
      </c>
      <c r="E44" s="233">
        <f>$L$9*DLMoment_55+$L$6*U_Z1_M_55+$L$4*SLMoment_55</f>
        <v>30859.83286818544</v>
      </c>
      <c r="F44" s="233">
        <f>$L$9*DLShear_55+$L$6*U_Z2_S_55+$L$4*SLShear_55</f>
        <v>976.47031622089639</v>
      </c>
      <c r="G44" s="233">
        <f>$L$9*DLMoment_55+$L$6*U_Z2_M_55+$L$4*SLMoment_55</f>
        <v>21006.824779076425</v>
      </c>
      <c r="H44" s="233">
        <f>$L$9*DLShear_55+$L$6*U_Z3_S_55+$L$4*SLShear_55</f>
        <v>1116.2511605124403</v>
      </c>
      <c r="I44" s="233">
        <f>$L$9*DLMoment_55+$L$6*U_Z3_M_55+$L$4*SLMoment_55</f>
        <v>28218.20588372058</v>
      </c>
      <c r="J44" s="233">
        <f>$L$9*DLShear_55+$L$6*U_Z4_S_55+$L$4*SLShear_55</f>
        <v>668.3056208520012</v>
      </c>
      <c r="K44" s="233">
        <f>$L$9*DLMoment_55+$L$6*U_Z4_M_55+$L$4*SLMoment_55</f>
        <v>11323.762467664441</v>
      </c>
      <c r="L44" s="233">
        <f>$L$9*DLShear_55+$L$6*U_Z5_S_55+$L$4*SLShear_55</f>
        <v>844.67394614243517</v>
      </c>
      <c r="M44" s="234">
        <f>$L$9*DLMoment_55+$L$6*U_Z5_M_55+$L$4*SLMoment_55</f>
        <v>18148.047717400037</v>
      </c>
    </row>
    <row r="45" spans="1:13" ht="15.75" thickBot="1" x14ac:dyDescent="0.3">
      <c r="A45" s="220">
        <v>21</v>
      </c>
      <c r="B45" s="238" t="s">
        <v>474</v>
      </c>
      <c r="C45" s="235" t="s">
        <v>476</v>
      </c>
      <c r="D45" s="235">
        <f>$L$9*DLShear_55+$L$6*D_Z1_S_55+$L$4*SLShear_55</f>
        <v>-1084.0155672866767</v>
      </c>
      <c r="E45" s="235">
        <f>$L$9*DLMoment_55+$L$6*D_Z1_M_55+$L$4*SLMoment_55</f>
        <v>-24990.033933864172</v>
      </c>
      <c r="F45" s="235">
        <f>$L$9*DLShear_55+$L$6*D_Z2_S_55+$L$4*SLShear_55</f>
        <v>-947.04389899633122</v>
      </c>
      <c r="G45" s="235">
        <f>$L$9*DLMoment_55+$L$6*D_Z2_M_55+$L$4*SLMoment_55</f>
        <v>-20758.554280140863</v>
      </c>
      <c r="H45" s="235">
        <f>$L$9*DLShear_55+$L$6*D_Z3_S_55+$L$4*SLShear_55</f>
        <v>-1043.7859673036364</v>
      </c>
      <c r="I45" s="235">
        <f>$L$9*DLMoment_55+$L$6*D_Z3_M_55+$L$4*SLMoment_55</f>
        <v>-23071.201454097158</v>
      </c>
      <c r="J45" s="235">
        <f>$L$9*DLShear_55+$L$6*D_Z4_S_55+$L$4*SLShear_55</f>
        <v>-817.41410406968328</v>
      </c>
      <c r="K45" s="235">
        <f>$L$9*DLMoment_55+$L$6*D_Z4_M_55+$L$4*SLMoment_55</f>
        <v>-12499.785523640519</v>
      </c>
      <c r="L45" s="235">
        <f>$L$9*DLShear_55+$L$6*D_Z5_S_55+$L$4*SLShear_55</f>
        <v>-845.11570082642857</v>
      </c>
      <c r="M45" s="236">
        <f>$L$9*DLMoment_55+$L$6*D_Z5_M_55+$L$4*SLMoment_55</f>
        <v>-18079.443211981401</v>
      </c>
    </row>
    <row r="50" spans="1:8" x14ac:dyDescent="0.25">
      <c r="A50" s="332" t="s">
        <v>449</v>
      </c>
      <c r="B50" s="332"/>
      <c r="C50" s="332"/>
      <c r="D50" s="332"/>
      <c r="E50" s="332"/>
      <c r="F50" s="332"/>
      <c r="G50" s="332"/>
      <c r="H50" s="332"/>
    </row>
    <row r="51" spans="1:8" x14ac:dyDescent="0.25">
      <c r="A51" s="224"/>
      <c r="B51" s="224"/>
      <c r="C51" s="224"/>
      <c r="D51" s="224"/>
      <c r="E51" s="224"/>
      <c r="F51" s="224"/>
      <c r="G51" s="224"/>
      <c r="H51" s="224"/>
    </row>
    <row r="52" spans="1:8" x14ac:dyDescent="0.25">
      <c r="A52" s="224" t="s">
        <v>437</v>
      </c>
      <c r="B52" s="224"/>
      <c r="C52" s="224"/>
      <c r="D52" s="224" t="s">
        <v>438</v>
      </c>
      <c r="E52" s="224"/>
      <c r="F52" s="224"/>
      <c r="G52" s="224" t="s">
        <v>434</v>
      </c>
      <c r="H52" s="224"/>
    </row>
    <row r="53" spans="1:8" x14ac:dyDescent="0.25">
      <c r="A53" s="8" t="s">
        <v>423</v>
      </c>
      <c r="B53" s="8">
        <v>-33.148120944928422</v>
      </c>
      <c r="C53" s="8"/>
      <c r="D53" s="8" t="s">
        <v>423</v>
      </c>
      <c r="E53" s="8">
        <v>-2743.4234437050204</v>
      </c>
      <c r="F53" s="224"/>
      <c r="G53" s="8" t="s">
        <v>439</v>
      </c>
      <c r="H53" s="8">
        <v>-843.12528718888882</v>
      </c>
    </row>
    <row r="54" spans="1:8" x14ac:dyDescent="0.25">
      <c r="A54" s="8" t="s">
        <v>424</v>
      </c>
      <c r="B54" s="8">
        <v>-34.526641372178759</v>
      </c>
      <c r="C54" s="8"/>
      <c r="D54" s="8" t="s">
        <v>424</v>
      </c>
      <c r="E54" s="8">
        <v>-3052.0498120033153</v>
      </c>
      <c r="F54" s="224"/>
      <c r="G54" s="8" t="s">
        <v>440</v>
      </c>
      <c r="H54" s="8">
        <v>-18097.262726865905</v>
      </c>
    </row>
    <row r="55" spans="1:8" x14ac:dyDescent="0.25">
      <c r="A55" s="8" t="s">
        <v>425</v>
      </c>
      <c r="B55" s="8">
        <v>-10.244068017999332</v>
      </c>
      <c r="C55" s="8"/>
      <c r="D55" s="8" t="s">
        <v>425</v>
      </c>
      <c r="E55" s="8">
        <v>-2412.5715642820605</v>
      </c>
      <c r="F55" s="224"/>
      <c r="G55" s="224"/>
      <c r="H55" s="224"/>
    </row>
    <row r="56" spans="1:8" x14ac:dyDescent="0.25">
      <c r="A56" s="8" t="s">
        <v>426</v>
      </c>
      <c r="B56" s="8">
        <v>-15.991291396329983</v>
      </c>
      <c r="C56" s="8"/>
      <c r="D56" s="8" t="s">
        <v>426</v>
      </c>
      <c r="E56" s="8">
        <v>-1273.4738474744418</v>
      </c>
      <c r="F56" s="224"/>
      <c r="G56" s="224" t="s">
        <v>435</v>
      </c>
      <c r="H56" s="224"/>
    </row>
    <row r="57" spans="1:8" x14ac:dyDescent="0.25">
      <c r="A57" s="8" t="s">
        <v>427</v>
      </c>
      <c r="B57" s="8">
        <v>-16.658150920780773</v>
      </c>
      <c r="C57" s="8"/>
      <c r="D57" s="8" t="s">
        <v>427</v>
      </c>
      <c r="E57" s="8">
        <v>-1389.422010032476</v>
      </c>
      <c r="F57" s="224"/>
      <c r="G57" s="8" t="s">
        <v>439</v>
      </c>
      <c r="H57" s="8">
        <v>-47.413103492499992</v>
      </c>
    </row>
    <row r="58" spans="1:8" x14ac:dyDescent="0.25">
      <c r="A58" s="224"/>
      <c r="B58" s="224"/>
      <c r="C58" s="224"/>
      <c r="D58" s="224"/>
      <c r="E58" s="224"/>
      <c r="F58" s="224"/>
      <c r="G58" s="8" t="s">
        <v>440</v>
      </c>
      <c r="H58" s="8">
        <v>-1017.6985599147662</v>
      </c>
    </row>
    <row r="59" spans="1:8" x14ac:dyDescent="0.25">
      <c r="A59" s="224" t="s">
        <v>441</v>
      </c>
      <c r="B59" s="224"/>
      <c r="C59" s="224"/>
      <c r="D59" s="224" t="s">
        <v>442</v>
      </c>
      <c r="E59" s="224"/>
      <c r="F59" s="224"/>
      <c r="G59" s="224"/>
      <c r="H59" s="224"/>
    </row>
    <row r="60" spans="1:8" x14ac:dyDescent="0.25">
      <c r="A60" s="8" t="s">
        <v>423</v>
      </c>
      <c r="B60" s="8">
        <v>102.53499525381341</v>
      </c>
      <c r="C60" s="8"/>
      <c r="D60" s="8" t="s">
        <v>423</v>
      </c>
      <c r="E60" s="8">
        <v>665.70428324336706</v>
      </c>
      <c r="F60" s="224"/>
      <c r="G60" s="224"/>
      <c r="H60" s="224"/>
    </row>
    <row r="61" spans="1:8" x14ac:dyDescent="0.25">
      <c r="A61" s="8" t="s">
        <v>424</v>
      </c>
      <c r="B61" s="8">
        <v>105.75058338740652</v>
      </c>
      <c r="C61" s="8"/>
      <c r="D61" s="8" t="s">
        <v>424</v>
      </c>
      <c r="E61" s="8">
        <v>927.03763707837186</v>
      </c>
      <c r="F61" s="224"/>
      <c r="G61" s="224"/>
      <c r="H61" s="224"/>
    </row>
    <row r="62" spans="1:8" x14ac:dyDescent="0.25">
      <c r="A62" s="8" t="s">
        <v>425</v>
      </c>
      <c r="B62" s="8">
        <v>105.17581732077642</v>
      </c>
      <c r="C62" s="8"/>
      <c r="D62" s="8" t="s">
        <v>425</v>
      </c>
      <c r="E62" s="8">
        <v>132.78336297911429</v>
      </c>
      <c r="F62" s="224"/>
      <c r="G62" s="224"/>
      <c r="H62" s="224"/>
    </row>
    <row r="63" spans="1:8" x14ac:dyDescent="0.25">
      <c r="A63" s="8" t="s">
        <v>426</v>
      </c>
      <c r="B63" s="8">
        <v>46.126673306261253</v>
      </c>
      <c r="C63" s="8"/>
      <c r="D63" s="8" t="s">
        <v>426</v>
      </c>
      <c r="E63" s="8">
        <v>346.04502226328287</v>
      </c>
      <c r="F63" s="224"/>
      <c r="G63" s="224"/>
      <c r="H63" s="224"/>
    </row>
    <row r="64" spans="1:8" x14ac:dyDescent="0.25">
      <c r="A64" s="8" t="s">
        <v>427</v>
      </c>
      <c r="B64" s="8">
        <v>54.329045457005989</v>
      </c>
      <c r="C64" s="8"/>
      <c r="D64" s="8" t="s">
        <v>427</v>
      </c>
      <c r="E64" s="8">
        <v>617.7642992970566</v>
      </c>
      <c r="F64" s="224"/>
      <c r="G64" s="224"/>
      <c r="H64" s="224"/>
    </row>
    <row r="65" spans="1:13" x14ac:dyDescent="0.25">
      <c r="A65" s="224"/>
      <c r="B65" s="224"/>
      <c r="C65" s="224"/>
      <c r="D65" s="224"/>
      <c r="E65" s="224"/>
      <c r="F65" s="224"/>
      <c r="G65" s="224"/>
      <c r="H65" s="224"/>
    </row>
    <row r="66" spans="1:13" x14ac:dyDescent="0.25">
      <c r="A66" s="224"/>
      <c r="B66" s="224"/>
      <c r="C66" s="224"/>
      <c r="D66" s="224"/>
      <c r="E66" s="224"/>
      <c r="F66" s="224"/>
      <c r="G66" s="224"/>
      <c r="H66" s="224"/>
    </row>
    <row r="67" spans="1:13" x14ac:dyDescent="0.25">
      <c r="A67" s="224"/>
      <c r="B67" s="224"/>
      <c r="C67" s="224"/>
      <c r="D67" s="224"/>
      <c r="E67" s="224"/>
      <c r="F67" s="224"/>
      <c r="G67" s="224"/>
      <c r="H67" s="224"/>
    </row>
    <row r="69" spans="1:13" ht="15.75" thickBot="1" x14ac:dyDescent="0.3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</row>
    <row r="70" spans="1:13" x14ac:dyDescent="0.25">
      <c r="A70" s="381" t="s">
        <v>433</v>
      </c>
      <c r="B70" s="382"/>
      <c r="C70" s="382"/>
      <c r="D70" s="382"/>
      <c r="E70" s="382"/>
      <c r="F70" s="382"/>
      <c r="G70" s="382"/>
      <c r="H70" s="382"/>
      <c r="I70" s="382"/>
      <c r="J70" s="382"/>
      <c r="K70" s="382"/>
      <c r="L70" s="382"/>
      <c r="M70" s="383"/>
    </row>
    <row r="71" spans="1:13" x14ac:dyDescent="0.25">
      <c r="A71" s="97"/>
      <c r="B71" s="233"/>
      <c r="C71" s="233"/>
      <c r="D71" s="379" t="s">
        <v>423</v>
      </c>
      <c r="E71" s="379"/>
      <c r="F71" s="379" t="s">
        <v>424</v>
      </c>
      <c r="G71" s="379"/>
      <c r="H71" s="379" t="s">
        <v>61</v>
      </c>
      <c r="I71" s="379"/>
      <c r="J71" s="379" t="s">
        <v>426</v>
      </c>
      <c r="K71" s="379"/>
      <c r="L71" s="379" t="s">
        <v>427</v>
      </c>
      <c r="M71" s="380"/>
    </row>
    <row r="72" spans="1:13" x14ac:dyDescent="0.25">
      <c r="A72" s="97" t="s">
        <v>3</v>
      </c>
      <c r="B72" s="233" t="s">
        <v>454</v>
      </c>
      <c r="C72" s="233" t="s">
        <v>475</v>
      </c>
      <c r="D72" s="233" t="s">
        <v>439</v>
      </c>
      <c r="E72" s="233" t="s">
        <v>440</v>
      </c>
      <c r="F72" s="233" t="s">
        <v>439</v>
      </c>
      <c r="G72" s="233" t="s">
        <v>440</v>
      </c>
      <c r="H72" s="233" t="s">
        <v>439</v>
      </c>
      <c r="I72" s="233" t="s">
        <v>440</v>
      </c>
      <c r="J72" s="233" t="s">
        <v>439</v>
      </c>
      <c r="K72" s="233" t="s">
        <v>440</v>
      </c>
      <c r="L72" s="233" t="s">
        <v>439</v>
      </c>
      <c r="M72" s="234" t="s">
        <v>440</v>
      </c>
    </row>
    <row r="73" spans="1:13" x14ac:dyDescent="0.25">
      <c r="A73" s="97">
        <v>1</v>
      </c>
      <c r="B73" s="237" t="s">
        <v>455</v>
      </c>
      <c r="C73" s="233" t="s">
        <v>476</v>
      </c>
      <c r="D73" s="233">
        <f>$L$3*DLShear_0</f>
        <v>-66.378344889499985</v>
      </c>
      <c r="E73" s="233">
        <f>$L$3*DLMoment_0</f>
        <v>-1424.7779838806725</v>
      </c>
      <c r="F73" s="233">
        <f>$L$3*DLShear_0</f>
        <v>-66.378344889499985</v>
      </c>
      <c r="G73" s="233">
        <f>$L$3*DLMoment_0</f>
        <v>-1424.7779838806725</v>
      </c>
      <c r="H73" s="233">
        <f>$L$3*DLShear_0</f>
        <v>-66.378344889499985</v>
      </c>
      <c r="I73" s="233">
        <f>$L$3*DLMoment_0</f>
        <v>-1424.7779838806725</v>
      </c>
      <c r="J73" s="233">
        <f>$L$3*DLShear_0</f>
        <v>-66.378344889499985</v>
      </c>
      <c r="K73" s="233">
        <f>$L$3*DLMoment_0</f>
        <v>-1424.7779838806725</v>
      </c>
      <c r="L73" s="233">
        <f>$L$3*DLShear_0</f>
        <v>-66.378344889499985</v>
      </c>
      <c r="M73" s="234">
        <f>$L$3*DLMoment_0</f>
        <v>-1424.7779838806725</v>
      </c>
    </row>
    <row r="74" spans="1:13" x14ac:dyDescent="0.25">
      <c r="A74" s="97">
        <v>2</v>
      </c>
      <c r="B74" s="237" t="s">
        <v>457</v>
      </c>
      <c r="C74" s="233" t="s">
        <v>476</v>
      </c>
      <c r="D74" s="233">
        <f>$L$8*DLShear_0+$L$4*SLShear_0</f>
        <v>-480.82902296006938</v>
      </c>
      <c r="E74" s="233">
        <f>$L$8*DLMoment_0+$L$4*SLMoment_0</f>
        <v>-10320.754563326411</v>
      </c>
      <c r="F74" s="233">
        <f>$L$8*DLShear_0+$L$4*SLShear_0</f>
        <v>-480.82902296006938</v>
      </c>
      <c r="G74" s="233">
        <f>$L$8*DLMoment_0+$L$4*SLMoment_0</f>
        <v>-10320.754563326411</v>
      </c>
      <c r="H74" s="233">
        <f>$L$8*DLShear_0+$L$4*SLShear_0</f>
        <v>-480.82902296006938</v>
      </c>
      <c r="I74" s="233">
        <f>$L$8*DLMoment_0+$L$4*SLMoment_0</f>
        <v>-10320.754563326411</v>
      </c>
      <c r="J74" s="233">
        <f>$L$8*DLShear_0+$L$4*SLShear_0</f>
        <v>-480.82902296006938</v>
      </c>
      <c r="K74" s="233">
        <f>$L$8*DLMoment_0+$L$4*SLMoment_0</f>
        <v>-10320.754563326411</v>
      </c>
      <c r="L74" s="233">
        <f>$L$8*DLShear_0+$L$4*SLShear_0</f>
        <v>-480.82902296006938</v>
      </c>
      <c r="M74" s="234">
        <f>$L$8*DLMoment_0+$L$4*SLMoment_0</f>
        <v>-10320.754563326411</v>
      </c>
    </row>
    <row r="75" spans="1:13" x14ac:dyDescent="0.25">
      <c r="A75" s="97">
        <v>3</v>
      </c>
      <c r="B75" s="237" t="s">
        <v>456</v>
      </c>
      <c r="C75" s="233" t="s">
        <v>476</v>
      </c>
      <c r="D75" s="233">
        <f>$L$9*DLShear_0+$L$4*SLShear_0</f>
        <v>-464.23443673769441</v>
      </c>
      <c r="E75" s="233">
        <f>$L$9*DLMoment_0+$L$4*SLMoment_0</f>
        <v>-9964.5600673562421</v>
      </c>
      <c r="F75" s="233">
        <f>$L$9*DLShear_0+$L$4*SLShear_0</f>
        <v>-464.23443673769441</v>
      </c>
      <c r="G75" s="233">
        <f>$L$9*DLMoment_0+$L$4*SLMoment_0</f>
        <v>-9964.5600673562421</v>
      </c>
      <c r="H75" s="233">
        <f>$L$9*DLShear_0+$L$4*SLShear_0</f>
        <v>-464.23443673769441</v>
      </c>
      <c r="I75" s="233">
        <f>$L$9*DLMoment_0+$L$4*SLMoment_0</f>
        <v>-9964.5600673562421</v>
      </c>
      <c r="J75" s="233">
        <f>$L$9*DLShear_0+$L$4*SLShear_0</f>
        <v>-464.23443673769441</v>
      </c>
      <c r="K75" s="233">
        <f>$L$9*DLMoment_0+$L$4*SLMoment_0</f>
        <v>-9964.5600673562421</v>
      </c>
      <c r="L75" s="233">
        <f>$L$9*DLShear_0+$L$4*SLShear_0</f>
        <v>-464.23443673769441</v>
      </c>
      <c r="M75" s="234">
        <f>$L$9*DLMoment_0+$L$4*SLMoment_0</f>
        <v>-9964.5600673562421</v>
      </c>
    </row>
    <row r="76" spans="1:13" x14ac:dyDescent="0.25">
      <c r="A76" s="97">
        <v>4</v>
      </c>
      <c r="B76" s="237" t="s">
        <v>458</v>
      </c>
      <c r="C76" s="233" t="s">
        <v>476</v>
      </c>
      <c r="D76" s="233">
        <f>$L$8*DLShear_0+$L$5*SLShear_0</f>
        <v>-1323.9543101489583</v>
      </c>
      <c r="E76" s="233">
        <f>$L$8*DLMoment_0+$L$5*SLMoment_0</f>
        <v>-28418.017290192314</v>
      </c>
      <c r="F76" s="233">
        <f>$L$8*DLShear_0+$L$5*SLShear_0</f>
        <v>-1323.9543101489583</v>
      </c>
      <c r="G76" s="233">
        <f>$L$8*DLMoment_0+$L$5*SLMoment_0</f>
        <v>-28418.017290192314</v>
      </c>
      <c r="H76" s="233">
        <f>$L$8*DLShear_0+$L$5*SLShear_0</f>
        <v>-1323.9543101489583</v>
      </c>
      <c r="I76" s="233">
        <f>$L$8*DLMoment_0+$L$5*SLMoment_0</f>
        <v>-28418.017290192314</v>
      </c>
      <c r="J76" s="233">
        <f>$L$8*DLShear_0+$L$5*SLShear_0</f>
        <v>-1323.9543101489583</v>
      </c>
      <c r="K76" s="233">
        <f>$L$8*DLMoment_0+$L$5*SLMoment_0</f>
        <v>-28418.017290192314</v>
      </c>
      <c r="L76" s="233">
        <f>$L$8*DLShear_0+$L$5*SLShear_0</f>
        <v>-1323.9543101489583</v>
      </c>
      <c r="M76" s="234">
        <f>$L$8*DLMoment_0+$L$5*SLMoment_0</f>
        <v>-28418.017290192314</v>
      </c>
    </row>
    <row r="77" spans="1:13" x14ac:dyDescent="0.25">
      <c r="A77" s="97">
        <v>5</v>
      </c>
      <c r="B77" s="237" t="s">
        <v>459</v>
      </c>
      <c r="C77" s="233" t="s">
        <v>476</v>
      </c>
      <c r="D77" s="233">
        <f>$L$9*DLShear_0+$L$5*SLShear_0</f>
        <v>-1307.3597239265832</v>
      </c>
      <c r="E77" s="233">
        <f>$L$9*DLMoment_0+$L$5*SLMoment_0</f>
        <v>-28061.822794222149</v>
      </c>
      <c r="F77" s="233">
        <f>$L$9*DLShear_0+$L$5*SLShear_0</f>
        <v>-1307.3597239265832</v>
      </c>
      <c r="G77" s="233">
        <f>$L$9*DLMoment_0+$L$5*SLMoment_0</f>
        <v>-28061.822794222149</v>
      </c>
      <c r="H77" s="233">
        <f>$L$9*DLShear_0+$L$5*SLShear_0</f>
        <v>-1307.3597239265832</v>
      </c>
      <c r="I77" s="233">
        <f>$L$9*DLMoment_0+$L$5*SLMoment_0</f>
        <v>-28061.822794222149</v>
      </c>
      <c r="J77" s="233">
        <f>$L$9*DLShear_0+$L$5*SLShear_0</f>
        <v>-1307.3597239265832</v>
      </c>
      <c r="K77" s="233">
        <f>$L$9*DLMoment_0+$L$5*SLMoment_0</f>
        <v>-28061.822794222149</v>
      </c>
      <c r="L77" s="233">
        <f>$L$9*DLShear_0+$L$5*SLShear_0</f>
        <v>-1307.3597239265832</v>
      </c>
      <c r="M77" s="234">
        <f>$L$9*DLMoment_0+$L$5*SLMoment_0</f>
        <v>-28061.822794222149</v>
      </c>
    </row>
    <row r="78" spans="1:13" x14ac:dyDescent="0.25">
      <c r="A78" s="97">
        <v>6</v>
      </c>
      <c r="B78" s="237" t="s">
        <v>460</v>
      </c>
      <c r="C78" s="233" t="s">
        <v>476</v>
      </c>
      <c r="D78" s="233">
        <f>$L$8*DLShear_0+$L$7*U_Z1_S_0</f>
        <v>-18.252381264099625</v>
      </c>
      <c r="E78" s="233">
        <f>$L$8*DLMoment_0+$L$7*U_Z1_M_0</f>
        <v>-1005.8414865961108</v>
      </c>
      <c r="F78" s="233">
        <f>$L$8*DLShear_0+$L$7*U_Z2_S_0</f>
        <v>-16.966146010662378</v>
      </c>
      <c r="G78" s="233">
        <f>$L$8*DLMoment_0+$L$7*U_Z2_M_0</f>
        <v>-901.30814506210891</v>
      </c>
      <c r="H78" s="233">
        <f>$L$8*DLShear_0+$L$7*U_Z3_S_0</f>
        <v>-17.196052437314421</v>
      </c>
      <c r="I78" s="233">
        <f>$L$8*DLMoment_0+$L$7*U_Z3_M_0</f>
        <v>-1219.0098547018119</v>
      </c>
      <c r="J78" s="233">
        <f>$L$8*DLShear_0+$L$7*U_Z4_S_0</f>
        <v>-40.81571004312049</v>
      </c>
      <c r="K78" s="233">
        <f>$L$8*DLMoment_0+$L$7*U_Z4_M_0</f>
        <v>-1133.7051909881445</v>
      </c>
      <c r="L78" s="233">
        <f>$L$8*DLShear_0+$L$7*U_Z5_S_0</f>
        <v>-37.534761182822592</v>
      </c>
      <c r="M78" s="234">
        <f>$L$8*DLMoment_0+$L$7*U_Z5_M_0</f>
        <v>-1025.017480174635</v>
      </c>
    </row>
    <row r="79" spans="1:13" x14ac:dyDescent="0.25">
      <c r="A79" s="97">
        <v>7</v>
      </c>
      <c r="B79" s="237" t="s">
        <v>461</v>
      </c>
      <c r="C79" s="233" t="s">
        <v>476</v>
      </c>
      <c r="D79" s="233">
        <f>$L$8*DLShear_0+$L$7*D_Z1_S_0</f>
        <v>-72.52562774359636</v>
      </c>
      <c r="E79" s="233">
        <f>$L$8*DLMoment_0+$L$7*D_Z1_M_0</f>
        <v>-2369.4925773754658</v>
      </c>
      <c r="F79" s="233">
        <f>$L$8*DLShear_0+$L$7*D_Z2_S_0</f>
        <v>-73.077035914496491</v>
      </c>
      <c r="G79" s="233">
        <f>$L$8*DLMoment_0+$L$7*D_Z2_M_0</f>
        <v>-2492.9431246947838</v>
      </c>
      <c r="H79" s="233">
        <f>$L$8*DLShear_0+$L$7*D_Z3_S_0</f>
        <v>-63.364006572824728</v>
      </c>
      <c r="I79" s="233">
        <f>$L$8*DLMoment_0+$L$7*D_Z3_M_0</f>
        <v>-2237.1518256062818</v>
      </c>
      <c r="J79" s="233">
        <f>$L$8*DLShear_0+$L$7*D_Z4_S_0</f>
        <v>-65.662895924156985</v>
      </c>
      <c r="K79" s="233">
        <f>$L$8*DLMoment_0+$L$7*D_Z4_M_0</f>
        <v>-1781.5127388832343</v>
      </c>
      <c r="L79" s="233">
        <f>$L$8*DLShear_0+$L$7*D_Z5_S_0</f>
        <v>-65.929639733937307</v>
      </c>
      <c r="M79" s="234">
        <f>$L$8*DLMoment_0+$L$7*D_Z5_M_0</f>
        <v>-1827.8920039064483</v>
      </c>
    </row>
    <row r="80" spans="1:13" x14ac:dyDescent="0.25">
      <c r="A80" s="97">
        <v>8</v>
      </c>
      <c r="B80" s="237" t="s">
        <v>462</v>
      </c>
      <c r="C80" s="233" t="s">
        <v>476</v>
      </c>
      <c r="D80" s="233">
        <f>$L$9*DLShear_0+$L$7*U_Z1_S_0</f>
        <v>-1.6577950417246257</v>
      </c>
      <c r="E80" s="233">
        <f>$L$9*DLMoment_0+$L$7*U_Z1_M_0</f>
        <v>-649.64699062594286</v>
      </c>
      <c r="F80" s="233">
        <f>$L$9*DLShear_0+$L$7*U_Z2_S_0</f>
        <v>-0.37155978828737801</v>
      </c>
      <c r="G80" s="233">
        <f>$L$9*DLMoment_0+$L$7*U_Z2_M_0</f>
        <v>-545.11364909194083</v>
      </c>
      <c r="H80" s="233">
        <f>$L$9*DLShear_0+$L$7*U_Z3_S_0</f>
        <v>-0.60146621493942121</v>
      </c>
      <c r="I80" s="233">
        <f>$L$9*DLMoment_0+$L$7*U_Z3_M_0</f>
        <v>-862.81535873164387</v>
      </c>
      <c r="J80" s="233">
        <f>$L$9*DLShear_0+$L$7*U_Z4_S_0</f>
        <v>-24.22112382074549</v>
      </c>
      <c r="K80" s="233">
        <f>$L$9*DLMoment_0+$L$7*U_Z4_M_0</f>
        <v>-777.51069501797645</v>
      </c>
      <c r="L80" s="233">
        <f>$L$9*DLShear_0+$L$7*U_Z5_S_0</f>
        <v>-20.940174960447596</v>
      </c>
      <c r="M80" s="234">
        <f>$L$9*DLMoment_0+$L$7*U_Z5_M_0</f>
        <v>-668.82298420446693</v>
      </c>
    </row>
    <row r="81" spans="1:13" x14ac:dyDescent="0.25">
      <c r="A81" s="97">
        <v>9</v>
      </c>
      <c r="B81" s="237" t="s">
        <v>462</v>
      </c>
      <c r="C81" s="233" t="s">
        <v>476</v>
      </c>
      <c r="D81" s="233">
        <f>$L$9*DLShear_0+$L$7*D_Z1_S_0</f>
        <v>-55.93104152122136</v>
      </c>
      <c r="E81" s="233">
        <f>$L$9*DLMoment_0+$L$7*D_Z1_M_0</f>
        <v>-2013.298081405298</v>
      </c>
      <c r="F81" s="233">
        <f>$L$9*DLShear_0+$L$7*D_Z2_S_0</f>
        <v>-56.482449692121499</v>
      </c>
      <c r="G81" s="233">
        <f>$L$9*DLMoment_0+$L$7*D_Z2_M_0</f>
        <v>-2136.7486287246156</v>
      </c>
      <c r="H81" s="233">
        <f>$L$9*DLShear_0+$L$7*D_Z3_S_0</f>
        <v>-46.769420350449728</v>
      </c>
      <c r="I81" s="233">
        <f>$L$9*DLMoment_0+$L$7*D_Z3_M_0</f>
        <v>-1880.9573296361139</v>
      </c>
      <c r="J81" s="233">
        <f>$L$9*DLShear_0+$L$7*D_Z4_S_0</f>
        <v>-49.068309701781985</v>
      </c>
      <c r="K81" s="233">
        <f>$L$9*DLMoment_0+$L$7*D_Z4_M_0</f>
        <v>-1425.3182429130663</v>
      </c>
      <c r="L81" s="233">
        <f>$L$9*DLShear_0+$L$7*D_Z5_S_0</f>
        <v>-49.3350535115623</v>
      </c>
      <c r="M81" s="234">
        <f>$L$9*DLMoment_0+$L$7*D_Z5_M_0</f>
        <v>-1471.6975079362801</v>
      </c>
    </row>
    <row r="82" spans="1:13" x14ac:dyDescent="0.25">
      <c r="A82" s="97">
        <v>10</v>
      </c>
      <c r="B82" s="237" t="s">
        <v>463</v>
      </c>
      <c r="C82" s="233" t="s">
        <v>476</v>
      </c>
      <c r="D82" s="233">
        <f>$L$8*DLShear_0+$L$5*SLShear_0+$L$7*U_Z1_S_0</f>
        <v>-1282.9403120474328</v>
      </c>
      <c r="E82" s="233">
        <f>$L$8*DLMoment_0+$L$5*SLMoment_0+$L$7*U_Z1_M_0</f>
        <v>-28151.735576894967</v>
      </c>
      <c r="F82" s="233">
        <f>$L$8*DLShear_0+$L$5*SLShear_0+$L$7*U_Z2_S_0</f>
        <v>-1281.6540767939957</v>
      </c>
      <c r="G82" s="233">
        <f>$L$8*DLMoment_0+$L$5*SLMoment_0+$L$7*U_Z2_M_0</f>
        <v>-28047.202235360965</v>
      </c>
      <c r="H82" s="233">
        <f>$L$8*DLShear_0+$L$5*SLShear_0+$L$7*U_Z3_S_0</f>
        <v>-1281.8839832206477</v>
      </c>
      <c r="I82" s="233">
        <f>$L$8*DLMoment_0+$L$5*SLMoment_0+$L$7*U_Z3_M_0</f>
        <v>-28364.903945000668</v>
      </c>
      <c r="J82" s="233">
        <f>$L$8*DLShear_0+$L$5*SLShear_0+$L$7*U_Z4_S_0</f>
        <v>-1305.5036408264536</v>
      </c>
      <c r="K82" s="233">
        <f>$L$8*DLMoment_0+$L$5*SLMoment_0+$L$7*U_Z4_M_0</f>
        <v>-28279.599281287003</v>
      </c>
      <c r="L82" s="233">
        <f>$L$8*DLShear_0+$L$5*SLShear_0+$L$7*U_Z5_S_0</f>
        <v>-1302.2226919661559</v>
      </c>
      <c r="M82" s="234">
        <f>$L$8*DLMoment_0+$L$5*SLMoment_0+$L$7*U_Z5_M_0</f>
        <v>-28170.91157047349</v>
      </c>
    </row>
    <row r="83" spans="1:13" x14ac:dyDescent="0.25">
      <c r="A83" s="97">
        <v>11</v>
      </c>
      <c r="B83" s="237" t="s">
        <v>464</v>
      </c>
      <c r="C83" s="233" t="s">
        <v>476</v>
      </c>
      <c r="D83" s="233">
        <f>$L$8*DLShear_0+$L$5*SLShear_0+$L$7*D_Z1_S_0</f>
        <v>-1337.2135585269295</v>
      </c>
      <c r="E83" s="233">
        <f>$L$8*DLMoment_0+$L$5*SLMoment_0+$L$7*D_Z1_M_0</f>
        <v>-29515.386667674324</v>
      </c>
      <c r="F83" s="233">
        <f>$L$8*DLShear_0+$L$5*SLShear_0+$L$7*D_Z2_S_0</f>
        <v>-1337.7649666978298</v>
      </c>
      <c r="G83" s="233">
        <f>$L$8*DLMoment_0+$L$5*SLMoment_0+$L$7*D_Z2_M_0</f>
        <v>-29638.83721499364</v>
      </c>
      <c r="H83" s="233">
        <f>$L$8*DLShear_0+$L$5*SLShear_0+$L$7*D_Z3_S_0</f>
        <v>-1328.0519373561581</v>
      </c>
      <c r="I83" s="233">
        <f>$L$8*DLMoment_0+$L$5*SLMoment_0+$L$7*D_Z3_M_0</f>
        <v>-29383.045915905139</v>
      </c>
      <c r="J83" s="233">
        <f>$L$8*DLShear_0+$L$5*SLShear_0+$L$7*D_Z4_S_0</f>
        <v>-1330.3508267074903</v>
      </c>
      <c r="K83" s="233">
        <f>$L$8*DLMoment_0+$L$5*SLMoment_0+$L$7*D_Z4_M_0</f>
        <v>-28927.406829182091</v>
      </c>
      <c r="L83" s="233">
        <f>$L$8*DLShear_0+$L$5*SLShear_0+$L$7*D_Z5_S_0</f>
        <v>-1330.6175705172707</v>
      </c>
      <c r="M83" s="234">
        <f>$L$8*DLMoment_0+$L$5*SLMoment_0+$L$7*D_Z5_M_0</f>
        <v>-28973.786094205305</v>
      </c>
    </row>
    <row r="84" spans="1:13" x14ac:dyDescent="0.25">
      <c r="A84" s="97">
        <v>12</v>
      </c>
      <c r="B84" s="237" t="s">
        <v>471</v>
      </c>
      <c r="C84" s="233" t="s">
        <v>476</v>
      </c>
      <c r="D84" s="233">
        <f>$L$9*DLShear_0+$L$5*SLShear_0+$L$7*U_Z1_S_0</f>
        <v>-1266.3457258250578</v>
      </c>
      <c r="E84" s="233">
        <f>$L$9*DLMoment_0+$L$5*SLMoment_0+$L$7*U_Z1_M_0</f>
        <v>-27795.541080924802</v>
      </c>
      <c r="F84" s="233">
        <f>$L$9*DLShear_0+$L$5*SLShear_0+$L$7*U_Z2_S_0</f>
        <v>-1265.0594905716207</v>
      </c>
      <c r="G84" s="233">
        <f>$L$9*DLMoment_0+$L$5*SLMoment_0+$L$7*U_Z2_M_0</f>
        <v>-27691.0077393908</v>
      </c>
      <c r="H84" s="233">
        <f>$L$9*DLShear_0+$L$5*SLShear_0+$L$7*U_Z3_S_0</f>
        <v>-1265.2893969982727</v>
      </c>
      <c r="I84" s="233">
        <f>$L$9*DLMoment_0+$L$5*SLMoment_0+$L$7*U_Z3_M_0</f>
        <v>-28008.709449030503</v>
      </c>
      <c r="J84" s="233">
        <f>$L$9*DLShear_0+$L$5*SLShear_0+$L$7*U_Z4_S_0</f>
        <v>-1288.9090546040786</v>
      </c>
      <c r="K84" s="233">
        <f>$L$9*DLMoment_0+$L$5*SLMoment_0+$L$7*U_Z4_M_0</f>
        <v>-27923.404785316838</v>
      </c>
      <c r="L84" s="233">
        <f>$L$9*DLShear_0+$L$5*SLShear_0+$L$7*U_Z5_S_0</f>
        <v>-1285.6281057437809</v>
      </c>
      <c r="M84" s="234">
        <f>$L$9*DLMoment_0+$L$5*SLMoment_0+$L$7*U_Z5_M_0</f>
        <v>-27814.717074503325</v>
      </c>
    </row>
    <row r="85" spans="1:13" x14ac:dyDescent="0.25">
      <c r="A85" s="97">
        <v>13</v>
      </c>
      <c r="B85" s="237" t="s">
        <v>472</v>
      </c>
      <c r="C85" s="233" t="s">
        <v>476</v>
      </c>
      <c r="D85" s="233">
        <f>$L$9*DLShear_0+$L$5*SLShear_0+$L$7*D_Z1_S_0</f>
        <v>-1320.6189723045545</v>
      </c>
      <c r="E85" s="233">
        <f>$L$9*DLMoment_0+$L$5*SLMoment_0+$L$7*D_Z1_M_0</f>
        <v>-29159.192171704159</v>
      </c>
      <c r="F85" s="233">
        <f>$L$9*DLShear_0+$L$5*SLShear_0+$L$7*D_Z2_S_0</f>
        <v>-1321.1703804754547</v>
      </c>
      <c r="G85" s="233">
        <f>$L$9*DLMoment_0+$L$5*SLMoment_0+$L$7*D_Z2_M_0</f>
        <v>-29282.642719023475</v>
      </c>
      <c r="H85" s="233">
        <f>$L$9*DLShear_0+$L$5*SLShear_0+$L$7*D_Z3_S_0</f>
        <v>-1311.457351133783</v>
      </c>
      <c r="I85" s="233">
        <f>$L$9*DLMoment_0+$L$5*SLMoment_0+$L$7*D_Z3_M_0</f>
        <v>-29026.851419934974</v>
      </c>
      <c r="J85" s="233">
        <f>$L$9*DLShear_0+$L$5*SLShear_0+$L$7*D_Z4_S_0</f>
        <v>-1313.7562404851153</v>
      </c>
      <c r="K85" s="233">
        <f>$L$9*DLMoment_0+$L$5*SLMoment_0+$L$7*D_Z4_M_0</f>
        <v>-28571.212333211926</v>
      </c>
      <c r="L85" s="233">
        <f>$L$9*DLShear_0+$L$5*SLShear_0+$L$7*D_Z5_S_0</f>
        <v>-1314.0229842948957</v>
      </c>
      <c r="M85" s="234">
        <f>$L$9*DLMoment_0+$L$5*SLMoment_0+$L$7*D_Z5_M_0</f>
        <v>-28617.59159823514</v>
      </c>
    </row>
    <row r="86" spans="1:13" x14ac:dyDescent="0.25">
      <c r="A86" s="97">
        <v>14</v>
      </c>
      <c r="B86" s="237" t="s">
        <v>465</v>
      </c>
      <c r="C86" s="233" t="s">
        <v>476</v>
      </c>
      <c r="D86" s="233">
        <f>$L$8*DLShear_0+$L$6*U_Z1_S_0</f>
        <v>84.282613989713752</v>
      </c>
      <c r="E86" s="233">
        <f>$L$9*DLMoment_0+$L$7*U_Z1_M_0</f>
        <v>-649.64699062594286</v>
      </c>
      <c r="F86" s="233">
        <f>$L$8*DLShear_0+$L$6*U_Z2_S_0</f>
        <v>88.784437376744108</v>
      </c>
      <c r="G86" s="233">
        <f>$L$9*DLMoment_0+$L$7*U_Z2_M_0</f>
        <v>-545.11364909194083</v>
      </c>
      <c r="H86" s="233">
        <f>$L$8*DLShear_0+$L$6*U_Z3_S_0</f>
        <v>87.979764883461968</v>
      </c>
      <c r="I86" s="233">
        <f>$L$9*DLMoment_0+$L$7*U_Z3_M_0</f>
        <v>-862.81535873164387</v>
      </c>
      <c r="J86" s="233">
        <f>$L$8*DLShear_0+$L$6*U_Z4_S_0</f>
        <v>5.3109632631407564</v>
      </c>
      <c r="K86" s="233">
        <f>$L$9*DLMoment_0+$L$7*U_Z4_M_0</f>
        <v>-777.51069501797645</v>
      </c>
      <c r="L86" s="233">
        <f>$L$8*DLShear_0+$L$6*U_Z5_S_0</f>
        <v>16.79428427418339</v>
      </c>
      <c r="M86" s="234">
        <f>$L$9*DLMoment_0+$L$7*U_Z5_M_0</f>
        <v>-668.82298420446693</v>
      </c>
    </row>
    <row r="87" spans="1:13" x14ac:dyDescent="0.25">
      <c r="A87" s="97">
        <v>15</v>
      </c>
      <c r="B87" s="237" t="s">
        <v>468</v>
      </c>
      <c r="C87" s="233" t="s">
        <v>476</v>
      </c>
      <c r="D87" s="233">
        <f>$L$8*DLShear_0+$L$6*D_Z1_S_0</f>
        <v>-105.67374868852478</v>
      </c>
      <c r="E87" s="233">
        <f>$L$9*DLMoment_0+$L$7*D_Z1_M_0</f>
        <v>-2013.298081405298</v>
      </c>
      <c r="F87" s="233">
        <f>$L$8*DLShear_0+$L$6*D_Z2_S_0</f>
        <v>-107.60367728667525</v>
      </c>
      <c r="G87" s="233">
        <f>$L$9*DLMoment_0+$L$7*D_Z2_M_0</f>
        <v>-2136.7486287246156</v>
      </c>
      <c r="H87" s="233">
        <f>$L$8*DLShear_0+$L$6*D_Z3_S_0</f>
        <v>-73.60807459082406</v>
      </c>
      <c r="I87" s="233">
        <f>$L$9*DLMoment_0+$L$7*D_Z3_M_0</f>
        <v>-1880.9573296361139</v>
      </c>
      <c r="J87" s="233">
        <f>$L$8*DLShear_0+$L$6*D_Z4_S_0</f>
        <v>-81.654187320486969</v>
      </c>
      <c r="K87" s="233">
        <f>$L$9*DLMoment_0+$L$7*D_Z4_M_0</f>
        <v>-1425.3182429130663</v>
      </c>
      <c r="L87" s="233">
        <f>$L$8*DLShear_0+$L$6*D_Z5_S_0</f>
        <v>-82.587790654718077</v>
      </c>
      <c r="M87" s="234">
        <f>$L$9*DLMoment_0+$L$7*D_Z5_M_0</f>
        <v>-1471.6975079362801</v>
      </c>
    </row>
    <row r="88" spans="1:13" x14ac:dyDescent="0.25">
      <c r="A88" s="97">
        <v>16</v>
      </c>
      <c r="B88" s="237" t="s">
        <v>466</v>
      </c>
      <c r="C88" s="233" t="s">
        <v>476</v>
      </c>
      <c r="D88" s="233">
        <f>$L$8*DLShear_0+$L$6*U_Z1_S_0+$L$4*SLShear_0</f>
        <v>-337.28002960473066</v>
      </c>
      <c r="E88" s="233">
        <f>$L$8*DLMoment_0+$L$6*U_Z1_M_0+$L$4*SLMoment_0</f>
        <v>-9388.7685667856967</v>
      </c>
      <c r="F88" s="233">
        <f>$L$8*DLShear_0+$L$6*U_Z2_S_0+$L$4*SLShear_0</f>
        <v>-332.7782062177003</v>
      </c>
      <c r="G88" s="233">
        <f>$L$8*DLMoment_0+$L$6*U_Z2_M_0+$L$4*SLMoment_0</f>
        <v>-9022.9018714166905</v>
      </c>
      <c r="H88" s="233">
        <f>$L$8*DLShear_0+$L$6*U_Z3_S_0+$L$4*SLShear_0</f>
        <v>-333.58287871098241</v>
      </c>
      <c r="I88" s="233">
        <f>$L$8*DLMoment_0+$L$6*U_Z3_M_0+$L$4*SLMoment_0</f>
        <v>-10134.857855155651</v>
      </c>
      <c r="J88" s="233">
        <f>$L$8*DLShear_0+$L$6*U_Z4_S_0+$L$4*SLShear_0</f>
        <v>-416.25168033130365</v>
      </c>
      <c r="K88" s="233">
        <f>$L$8*DLMoment_0+$L$6*U_Z4_M_0+$L$4*SLMoment_0</f>
        <v>-9836.2915321578148</v>
      </c>
      <c r="L88" s="233">
        <f>$L$8*DLShear_0+$L$6*U_Z5_S_0+$L$4*SLShear_0</f>
        <v>-404.76835932026103</v>
      </c>
      <c r="M88" s="234">
        <f>$L$8*DLMoment_0+$L$6*U_Z5_M_0+$L$4*SLMoment_0</f>
        <v>-9455.8845443105311</v>
      </c>
    </row>
    <row r="89" spans="1:13" x14ac:dyDescent="0.25">
      <c r="A89" s="97">
        <v>17</v>
      </c>
      <c r="B89" s="237" t="s">
        <v>467</v>
      </c>
      <c r="C89" s="233" t="s">
        <v>476</v>
      </c>
      <c r="D89" s="233">
        <f>$L$8*DLShear_0+$L$6*D_Z1_S_0+$L$4*SLShear_0</f>
        <v>-527.23639228296918</v>
      </c>
      <c r="E89" s="233">
        <f>$L$8*DLMoment_0+$L$6*D_Z1_M_0+$L$4*SLMoment_0</f>
        <v>-14161.547384513438</v>
      </c>
      <c r="F89" s="233">
        <f>$L$8*DLShear_0+$L$6*D_Z2_S_0+$L$4*SLShear_0</f>
        <v>-529.16632088111965</v>
      </c>
      <c r="G89" s="233">
        <f>$L$8*DLMoment_0+$L$6*D_Z2_M_0+$L$4*SLMoment_0</f>
        <v>-14593.624300131052</v>
      </c>
      <c r="H89" s="233">
        <f>$L$8*DLShear_0+$L$6*D_Z3_S_0+$L$4*SLShear_0</f>
        <v>-495.17071818526847</v>
      </c>
      <c r="I89" s="233">
        <f>$L$8*DLMoment_0+$L$6*D_Z3_M_0+$L$4*SLMoment_0</f>
        <v>-13698.354753321295</v>
      </c>
      <c r="J89" s="233">
        <f>$L$8*DLShear_0+$L$6*D_Z4_S_0+$L$4*SLShear_0</f>
        <v>-503.21683091493139</v>
      </c>
      <c r="K89" s="233">
        <f>$L$8*DLMoment_0+$L$6*D_Z4_M_0+$L$4*SLMoment_0</f>
        <v>-12103.617949790629</v>
      </c>
      <c r="L89" s="233">
        <f>$L$8*DLShear_0+$L$6*D_Z5_S_0+$L$4*SLShear_0</f>
        <v>-504.15043424916246</v>
      </c>
      <c r="M89" s="234">
        <f>$L$8*DLMoment_0+$L$6*D_Z5_M_0+$L$4*SLMoment_0</f>
        <v>-12265.945377371878</v>
      </c>
    </row>
    <row r="90" spans="1:13" x14ac:dyDescent="0.25">
      <c r="A90" s="97">
        <v>18</v>
      </c>
      <c r="B90" s="237" t="s">
        <v>469</v>
      </c>
      <c r="C90" s="233" t="s">
        <v>476</v>
      </c>
      <c r="D90" s="233">
        <f>$L$9*DLShear_0+$L$6*U_Z1_S_0</f>
        <v>100.87720021208875</v>
      </c>
      <c r="E90" s="233">
        <f>$L$9*DLMoment_0+$L$6*U_Z1_M_0</f>
        <v>16.057292617424196</v>
      </c>
      <c r="F90" s="233">
        <f>$L$9*DLShear_0+$L$6*U_Z2_S_0</f>
        <v>105.37902359911911</v>
      </c>
      <c r="G90" s="233">
        <f>$L$9*DLMoment_0+$L$6*U_Z2_M_0</f>
        <v>381.92398798643092</v>
      </c>
      <c r="H90" s="233">
        <f>$L$9*DLShear_0+$L$6*U_Z3_S_0</f>
        <v>104.57435110583697</v>
      </c>
      <c r="I90" s="233">
        <f>$L$9*DLMoment_0+$L$6*U_Z3_M_0</f>
        <v>-730.03199575252961</v>
      </c>
      <c r="J90" s="233">
        <f>$L$9*DLShear_0+$L$6*U_Z4_S_0</f>
        <v>21.905549485515756</v>
      </c>
      <c r="K90" s="233">
        <f>$L$9*DLMoment_0+$L$6*U_Z4_M_0</f>
        <v>-431.46567275469363</v>
      </c>
      <c r="L90" s="233">
        <f>$L$9*DLShear_0+$L$6*U_Z5_S_0</f>
        <v>33.38887049655839</v>
      </c>
      <c r="M90" s="234">
        <f>$L$9*DLMoment_0+$L$6*U_Z5_M_0</f>
        <v>-51.058684907410452</v>
      </c>
    </row>
    <row r="91" spans="1:13" x14ac:dyDescent="0.25">
      <c r="A91" s="97">
        <v>19</v>
      </c>
      <c r="B91" s="237" t="s">
        <v>470</v>
      </c>
      <c r="C91" s="233" t="s">
        <v>476</v>
      </c>
      <c r="D91" s="233">
        <f>$L$9*DLShear_0+$L$6*D_Z1_S_0</f>
        <v>-89.079162466149782</v>
      </c>
      <c r="E91" s="233">
        <f>$L$9*DLMoment_0+$L$6*D_Z1_M_0</f>
        <v>-4756.721525110318</v>
      </c>
      <c r="F91" s="233">
        <f>$L$9*DLShear_0+$L$6*D_Z2_S_0</f>
        <v>-91.00909106430025</v>
      </c>
      <c r="G91" s="233">
        <f>$L$9*DLMoment_0+$L$6*D_Z2_M_0</f>
        <v>-5188.7984407279309</v>
      </c>
      <c r="H91" s="233">
        <f>$L$9*DLShear_0+$L$6*D_Z3_S_0</f>
        <v>-57.01348836844906</v>
      </c>
      <c r="I91" s="233">
        <f>$L$9*DLMoment_0+$L$6*D_Z3_M_0</f>
        <v>-4293.5288939181746</v>
      </c>
      <c r="J91" s="233">
        <f>$L$9*DLShear_0+$L$6*D_Z4_S_0</f>
        <v>-65.059601098111969</v>
      </c>
      <c r="K91" s="233">
        <f>$L$9*DLMoment_0+$L$6*D_Z4_M_0</f>
        <v>-2698.7920903875079</v>
      </c>
      <c r="L91" s="233">
        <f>$L$9*DLShear_0+$L$6*D_Z5_S_0</f>
        <v>-65.993204432343077</v>
      </c>
      <c r="M91" s="234">
        <f>$L$9*DLMoment_0+$L$6*D_Z5_M_0</f>
        <v>-2861.1195179687561</v>
      </c>
    </row>
    <row r="92" spans="1:13" x14ac:dyDescent="0.25">
      <c r="A92" s="97">
        <v>20</v>
      </c>
      <c r="B92" s="237" t="s">
        <v>473</v>
      </c>
      <c r="C92" s="233" t="s">
        <v>476</v>
      </c>
      <c r="D92" s="233">
        <f>$L$9*DLShear_0+$L$6*U_Z1_S_0+$L$4*SLShear_0</f>
        <v>-320.68544338235563</v>
      </c>
      <c r="E92" s="233">
        <f>$L$9*DLMoment_0+$L$6*U_Z1_M_0+$L$4*SLMoment_0</f>
        <v>-9032.5740708155281</v>
      </c>
      <c r="F92" s="233">
        <f>$L$9*DLShear_0+$L$6*U_Z2_S_0+$L$4*SLShear_0</f>
        <v>-316.18361999532533</v>
      </c>
      <c r="G92" s="233">
        <f>$L$9*DLMoment_0+$L$6*U_Z2_M_0+$L$4*SLMoment_0</f>
        <v>-8666.7073754465218</v>
      </c>
      <c r="H92" s="233">
        <f>$L$9*DLShear_0+$L$6*U_Z3_S_0+$L$4*SLShear_0</f>
        <v>-316.98829248860744</v>
      </c>
      <c r="I92" s="233">
        <f>$L$9*DLMoment_0+$L$6*U_Z3_M_0+$L$4*SLMoment_0</f>
        <v>-9778.6633591854825</v>
      </c>
      <c r="J92" s="233">
        <f>$L$9*DLShear_0+$L$6*U_Z4_S_0+$L$4*SLShear_0</f>
        <v>-399.65709410892867</v>
      </c>
      <c r="K92" s="233">
        <f>$L$9*DLMoment_0+$L$6*U_Z4_M_0+$L$4*SLMoment_0</f>
        <v>-9480.0970361876462</v>
      </c>
      <c r="L92" s="233">
        <f>$L$9*DLShear_0+$L$6*U_Z5_S_0+$L$4*SLShear_0</f>
        <v>-388.173773097886</v>
      </c>
      <c r="M92" s="234">
        <f>$L$9*DLMoment_0+$L$6*U_Z5_M_0+$L$4*SLMoment_0</f>
        <v>-9099.6900483403624</v>
      </c>
    </row>
    <row r="93" spans="1:13" ht="15.75" thickBot="1" x14ac:dyDescent="0.3">
      <c r="A93" s="220">
        <v>21</v>
      </c>
      <c r="B93" s="238" t="s">
        <v>474</v>
      </c>
      <c r="C93" s="235" t="s">
        <v>476</v>
      </c>
      <c r="D93" s="235">
        <f>$L$9*DLShear_0+$L$6*D_Z1_S_0+$L$4*SLShear_0</f>
        <v>-510.64180606059421</v>
      </c>
      <c r="E93" s="235">
        <f>$L$9*DLMoment_0+$L$6*D_Z1_M_0+$L$4*SLMoment_0</f>
        <v>-13805.352888543272</v>
      </c>
      <c r="F93" s="235">
        <f>$L$9*DLShear_0+$L$6*D_Z2_S_0+$L$4*SLShear_0</f>
        <v>-512.57173465874462</v>
      </c>
      <c r="G93" s="235">
        <f>$L$9*DLMoment_0+$L$6*D_Z2_M_0+$L$4*SLMoment_0</f>
        <v>-14237.429804160884</v>
      </c>
      <c r="H93" s="235">
        <f>$L$9*DLShear_0+$L$6*D_Z3_S_0+$L$4*SLShear_0</f>
        <v>-478.57613196289344</v>
      </c>
      <c r="I93" s="235">
        <f>$L$9*DLMoment_0+$L$6*D_Z3_M_0+$L$4*SLMoment_0</f>
        <v>-13342.160257351126</v>
      </c>
      <c r="J93" s="235">
        <f>$L$9*DLShear_0+$L$6*D_Z4_S_0+$L$4*SLShear_0</f>
        <v>-486.62224469255636</v>
      </c>
      <c r="K93" s="235">
        <f>$L$9*DLMoment_0+$L$6*D_Z4_M_0+$L$4*SLMoment_0</f>
        <v>-11747.42345382046</v>
      </c>
      <c r="L93" s="235">
        <f>$L$9*DLShear_0+$L$6*D_Z5_S_0+$L$4*SLShear_0</f>
        <v>-487.55584802678749</v>
      </c>
      <c r="M93" s="236">
        <f>$L$9*DLMoment_0+$L$6*D_Z5_M_0+$L$4*SLMoment_0</f>
        <v>-11909.750881401709</v>
      </c>
    </row>
  </sheetData>
  <mergeCells count="17">
    <mergeCell ref="A50:H50"/>
    <mergeCell ref="A70:M70"/>
    <mergeCell ref="D71:E71"/>
    <mergeCell ref="F71:G71"/>
    <mergeCell ref="H71:I71"/>
    <mergeCell ref="J71:K71"/>
    <mergeCell ref="L71:M71"/>
    <mergeCell ref="A2:H2"/>
    <mergeCell ref="K2:L2"/>
    <mergeCell ref="A22:M22"/>
    <mergeCell ref="P22:S22"/>
    <mergeCell ref="T22:W22"/>
    <mergeCell ref="D23:E23"/>
    <mergeCell ref="F23:G23"/>
    <mergeCell ref="H23:I23"/>
    <mergeCell ref="J23:K23"/>
    <mergeCell ref="L23:M23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F648E-63D4-45AC-8C28-ED3E89706947}">
  <dimension ref="A2:W71"/>
  <sheetViews>
    <sheetView workbookViewId="0">
      <selection activeCell="F16" sqref="F16"/>
    </sheetView>
  </sheetViews>
  <sheetFormatPr defaultRowHeight="15" x14ac:dyDescent="0.25"/>
  <cols>
    <col min="1" max="1" width="23.28515625" bestFit="1" customWidth="1"/>
    <col min="2" max="2" width="32.28515625" bestFit="1" customWidth="1"/>
    <col min="3" max="3" width="13.28515625" bestFit="1" customWidth="1"/>
    <col min="4" max="23" width="15.7109375" customWidth="1"/>
  </cols>
  <sheetData>
    <row r="2" spans="1:12" ht="15.75" thickBot="1" x14ac:dyDescent="0.3">
      <c r="A2" s="332" t="s">
        <v>436</v>
      </c>
      <c r="B2" s="332"/>
      <c r="C2" s="332"/>
      <c r="D2" s="332"/>
      <c r="E2" s="332"/>
      <c r="F2" s="332"/>
      <c r="G2" s="332"/>
      <c r="H2" s="332"/>
      <c r="K2" s="386" t="s">
        <v>451</v>
      </c>
      <c r="L2" s="386"/>
    </row>
    <row r="3" spans="1:12" x14ac:dyDescent="0.25">
      <c r="A3" s="224"/>
      <c r="B3" s="224"/>
      <c r="C3" s="224"/>
      <c r="D3" s="224"/>
      <c r="E3" s="224"/>
      <c r="F3" s="224"/>
      <c r="G3" s="224"/>
      <c r="H3" s="224"/>
      <c r="K3" s="217" t="s">
        <v>443</v>
      </c>
      <c r="L3" s="227">
        <v>1</v>
      </c>
    </row>
    <row r="4" spans="1:12" x14ac:dyDescent="0.25">
      <c r="A4" s="224" t="s">
        <v>437</v>
      </c>
      <c r="B4" s="224"/>
      <c r="C4" s="224"/>
      <c r="D4" s="224" t="s">
        <v>438</v>
      </c>
      <c r="E4" s="224"/>
      <c r="F4" s="224"/>
      <c r="G4" s="224" t="s">
        <v>434</v>
      </c>
      <c r="H4" s="224"/>
      <c r="K4" s="221" t="s">
        <v>2</v>
      </c>
      <c r="L4" s="98">
        <v>0.7</v>
      </c>
    </row>
    <row r="5" spans="1:12" x14ac:dyDescent="0.25">
      <c r="A5" s="8" t="s">
        <v>423</v>
      </c>
      <c r="B5" s="8">
        <v>-708.42248536666739</v>
      </c>
      <c r="C5" s="8"/>
      <c r="D5" s="8" t="s">
        <v>423</v>
      </c>
      <c r="E5" s="8">
        <v>-16436.064287038047</v>
      </c>
      <c r="F5" s="224"/>
      <c r="G5" s="8" t="s">
        <v>439</v>
      </c>
      <c r="H5" s="8">
        <v>-135.46309026910149</v>
      </c>
      <c r="K5" s="221" t="s">
        <v>444</v>
      </c>
      <c r="L5" s="98">
        <v>0.52500000000000002</v>
      </c>
    </row>
    <row r="6" spans="1:12" x14ac:dyDescent="0.25">
      <c r="A6" s="8" t="s">
        <v>424</v>
      </c>
      <c r="B6" s="8">
        <v>-610.58557944499205</v>
      </c>
      <c r="C6" s="8"/>
      <c r="D6" s="8" t="s">
        <v>424</v>
      </c>
      <c r="E6" s="8">
        <v>-13413.578820092825</v>
      </c>
      <c r="F6" s="224"/>
      <c r="G6" s="8" t="s">
        <v>440</v>
      </c>
      <c r="H6" s="8">
        <v>-2907.6475010811291</v>
      </c>
      <c r="K6" s="221" t="s">
        <v>446</v>
      </c>
      <c r="L6" s="98">
        <v>0.35</v>
      </c>
    </row>
    <row r="7" spans="1:12" x14ac:dyDescent="0.25">
      <c r="A7" s="8" t="s">
        <v>425</v>
      </c>
      <c r="B7" s="8">
        <v>-679.68705680735297</v>
      </c>
      <c r="C7" s="8"/>
      <c r="D7" s="8" t="s">
        <v>425</v>
      </c>
      <c r="E7" s="8">
        <v>-15065.469658633037</v>
      </c>
      <c r="F7" s="224"/>
      <c r="G7" s="224"/>
      <c r="H7" s="224"/>
      <c r="K7" s="221" t="s">
        <v>6</v>
      </c>
      <c r="L7" s="98">
        <v>0.6</v>
      </c>
    </row>
    <row r="8" spans="1:12" x14ac:dyDescent="0.25">
      <c r="A8" s="8" t="s">
        <v>426</v>
      </c>
      <c r="B8" s="8">
        <v>-517.99286878310068</v>
      </c>
      <c r="C8" s="8"/>
      <c r="D8" s="8" t="s">
        <v>426</v>
      </c>
      <c r="E8" s="8">
        <v>-7514.4582797354378</v>
      </c>
      <c r="F8" s="224"/>
      <c r="G8" s="224" t="s">
        <v>435</v>
      </c>
      <c r="H8" s="224"/>
      <c r="K8" s="221" t="s">
        <v>447</v>
      </c>
      <c r="L8" s="98">
        <v>0.45</v>
      </c>
    </row>
    <row r="9" spans="1:12" x14ac:dyDescent="0.25">
      <c r="A9" s="8" t="s">
        <v>427</v>
      </c>
      <c r="B9" s="8">
        <v>-537.77972360934734</v>
      </c>
      <c r="C9" s="8"/>
      <c r="D9" s="8" t="s">
        <v>427</v>
      </c>
      <c r="E9" s="8">
        <v>-11499.928057121782</v>
      </c>
      <c r="F9" s="224"/>
      <c r="G9" s="8" t="s">
        <v>439</v>
      </c>
      <c r="H9" s="8">
        <v>-27.213936265324012</v>
      </c>
      <c r="K9" s="221" t="s">
        <v>5</v>
      </c>
      <c r="L9" s="98">
        <v>0.7</v>
      </c>
    </row>
    <row r="10" spans="1:12" x14ac:dyDescent="0.25">
      <c r="A10" s="224"/>
      <c r="B10" s="224"/>
      <c r="C10" s="224"/>
      <c r="D10" s="224"/>
      <c r="E10" s="224"/>
      <c r="F10" s="224"/>
      <c r="G10" s="8" t="s">
        <v>440</v>
      </c>
      <c r="H10" s="8">
        <v>-584.13353496704724</v>
      </c>
      <c r="K10" s="221" t="s">
        <v>445</v>
      </c>
      <c r="L10" s="98">
        <v>0.52500000000000002</v>
      </c>
    </row>
    <row r="11" spans="1:12" ht="15.75" thickBot="1" x14ac:dyDescent="0.3">
      <c r="A11" s="224" t="s">
        <v>441</v>
      </c>
      <c r="B11" s="224"/>
      <c r="C11" s="224"/>
      <c r="D11" s="224" t="s">
        <v>442</v>
      </c>
      <c r="E11" s="224"/>
      <c r="F11" s="224"/>
      <c r="G11" s="224"/>
      <c r="H11" s="224"/>
      <c r="K11" s="223" t="s">
        <v>448</v>
      </c>
      <c r="L11" s="228">
        <v>0.6</v>
      </c>
    </row>
    <row r="12" spans="1:12" x14ac:dyDescent="0.25">
      <c r="A12" s="8" t="s">
        <v>423</v>
      </c>
      <c r="B12" s="8">
        <v>937.81369890202291</v>
      </c>
      <c r="C12" s="8"/>
      <c r="D12" s="8" t="s">
        <v>423</v>
      </c>
      <c r="E12" s="8">
        <v>23456.697714425962</v>
      </c>
      <c r="F12" s="224"/>
      <c r="G12" s="224"/>
      <c r="H12" s="224"/>
    </row>
    <row r="13" spans="1:12" x14ac:dyDescent="0.25">
      <c r="A13" s="8" t="s">
        <v>424</v>
      </c>
      <c r="B13" s="8">
        <v>763.35314571017057</v>
      </c>
      <c r="C13" s="8"/>
      <c r="D13" s="8" t="s">
        <v>424</v>
      </c>
      <c r="E13" s="8">
        <v>16418.83479363381</v>
      </c>
      <c r="F13" s="224"/>
      <c r="G13" s="224"/>
      <c r="H13" s="224"/>
    </row>
    <row r="14" spans="1:12" x14ac:dyDescent="0.25">
      <c r="A14" s="8" t="s">
        <v>425</v>
      </c>
      <c r="B14" s="8">
        <v>863.19660591841614</v>
      </c>
      <c r="C14" s="8"/>
      <c r="D14" s="8" t="s">
        <v>425</v>
      </c>
      <c r="E14" s="8">
        <v>21569.821296951064</v>
      </c>
      <c r="F14" s="224"/>
      <c r="G14" s="224"/>
      <c r="H14" s="224"/>
    </row>
    <row r="15" spans="1:12" x14ac:dyDescent="0.25">
      <c r="A15" s="8" t="s">
        <v>426</v>
      </c>
      <c r="B15" s="8">
        <v>543.23550616095974</v>
      </c>
      <c r="C15" s="8"/>
      <c r="D15" s="8" t="s">
        <v>426</v>
      </c>
      <c r="E15" s="8">
        <v>9502.3617140538208</v>
      </c>
      <c r="F15" s="224"/>
      <c r="G15" s="224"/>
      <c r="H15" s="224"/>
    </row>
    <row r="16" spans="1:12" x14ac:dyDescent="0.25">
      <c r="A16" s="8" t="s">
        <v>427</v>
      </c>
      <c r="B16" s="8">
        <v>669.21288136841258</v>
      </c>
      <c r="C16" s="8"/>
      <c r="D16" s="8" t="s">
        <v>427</v>
      </c>
      <c r="E16" s="8">
        <v>14376.851178150675</v>
      </c>
      <c r="F16" s="224"/>
      <c r="G16" s="224"/>
      <c r="H16" s="224"/>
    </row>
    <row r="17" spans="1:23" x14ac:dyDescent="0.25">
      <c r="A17" s="224"/>
      <c r="B17" s="224"/>
      <c r="C17" s="224"/>
      <c r="D17" s="224"/>
      <c r="E17" s="224"/>
      <c r="F17" s="224"/>
      <c r="G17" s="224"/>
      <c r="H17" s="224"/>
    </row>
    <row r="18" spans="1:23" x14ac:dyDescent="0.25">
      <c r="A18" s="224"/>
      <c r="B18" s="224"/>
      <c r="C18" s="224"/>
      <c r="D18" s="224"/>
      <c r="E18" s="224"/>
      <c r="F18" s="224"/>
      <c r="G18" s="224"/>
      <c r="H18" s="224"/>
    </row>
    <row r="19" spans="1:23" x14ac:dyDescent="0.25">
      <c r="A19" s="224"/>
      <c r="B19" s="224"/>
      <c r="C19" s="224"/>
      <c r="D19" s="224"/>
      <c r="E19" s="224"/>
      <c r="F19" s="224"/>
      <c r="G19" s="224"/>
      <c r="H19" s="224"/>
    </row>
    <row r="21" spans="1:23" ht="15.75" thickBot="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23" x14ac:dyDescent="0.25">
      <c r="A22" s="357" t="s">
        <v>433</v>
      </c>
      <c r="B22" s="358"/>
      <c r="C22" s="358"/>
      <c r="D22" s="358"/>
      <c r="E22" s="358"/>
      <c r="F22" s="358"/>
      <c r="G22" s="358"/>
      <c r="H22" s="358"/>
      <c r="I22" s="358"/>
      <c r="J22" s="358"/>
      <c r="K22" s="358"/>
      <c r="L22" s="358"/>
      <c r="M22" s="359"/>
      <c r="P22" s="333"/>
      <c r="Q22" s="333"/>
      <c r="R22" s="333"/>
      <c r="S22" s="333"/>
      <c r="T22" s="333"/>
      <c r="U22" s="333"/>
      <c r="V22" s="333"/>
      <c r="W22" s="333"/>
    </row>
    <row r="23" spans="1:23" x14ac:dyDescent="0.25">
      <c r="A23" s="221"/>
      <c r="B23" s="225"/>
      <c r="C23" s="225"/>
      <c r="D23" s="384" t="s">
        <v>423</v>
      </c>
      <c r="E23" s="384"/>
      <c r="F23" s="384" t="s">
        <v>424</v>
      </c>
      <c r="G23" s="384"/>
      <c r="H23" s="384" t="s">
        <v>61</v>
      </c>
      <c r="I23" s="384"/>
      <c r="J23" s="384" t="s">
        <v>426</v>
      </c>
      <c r="K23" s="384"/>
      <c r="L23" s="384" t="s">
        <v>427</v>
      </c>
      <c r="M23" s="385"/>
    </row>
    <row r="24" spans="1:23" x14ac:dyDescent="0.25">
      <c r="A24" s="10" t="s">
        <v>3</v>
      </c>
      <c r="B24" s="225" t="s">
        <v>60</v>
      </c>
      <c r="C24" s="225" t="s">
        <v>13</v>
      </c>
      <c r="D24" s="34" t="s">
        <v>439</v>
      </c>
      <c r="E24" s="34" t="s">
        <v>440</v>
      </c>
      <c r="F24" s="34" t="s">
        <v>439</v>
      </c>
      <c r="G24" s="34" t="s">
        <v>440</v>
      </c>
      <c r="H24" s="34" t="s">
        <v>439</v>
      </c>
      <c r="I24" s="34" t="s">
        <v>440</v>
      </c>
      <c r="J24" s="34" t="s">
        <v>439</v>
      </c>
      <c r="K24" s="34" t="s">
        <v>440</v>
      </c>
      <c r="L24" s="34" t="s">
        <v>439</v>
      </c>
      <c r="M24" s="144" t="s">
        <v>440</v>
      </c>
      <c r="P24" s="8"/>
      <c r="Q24" s="8"/>
      <c r="R24" s="8"/>
      <c r="S24" s="8"/>
      <c r="T24" s="8"/>
      <c r="U24" s="8"/>
      <c r="V24" s="8"/>
      <c r="W24" s="8"/>
    </row>
    <row r="25" spans="1:23" x14ac:dyDescent="0.25">
      <c r="A25" s="10">
        <v>1</v>
      </c>
      <c r="B25" s="225" t="s">
        <v>0</v>
      </c>
      <c r="C25" s="225" t="s">
        <v>16</v>
      </c>
      <c r="D25" s="225">
        <f>$L$3*DLShear_55</f>
        <v>-27.213936265324012</v>
      </c>
      <c r="E25" s="225">
        <f>$L$3*DLMoment_55</f>
        <v>-584.13353496704724</v>
      </c>
      <c r="F25" s="225">
        <f>$L$3*DLShear_55</f>
        <v>-27.213936265324012</v>
      </c>
      <c r="G25" s="225">
        <f>$L$3*DLMoment_55</f>
        <v>-584.13353496704724</v>
      </c>
      <c r="H25" s="225">
        <f>$L$3*DLShear_55</f>
        <v>-27.213936265324012</v>
      </c>
      <c r="I25" s="225">
        <f>$L$3*DLMoment_55</f>
        <v>-584.13353496704724</v>
      </c>
      <c r="J25" s="225">
        <f>$L$3*DLShear_55</f>
        <v>-27.213936265324012</v>
      </c>
      <c r="K25" s="225">
        <f>$L$3*DLMoment_55</f>
        <v>-584.13353496704724</v>
      </c>
      <c r="L25" s="225">
        <f>$L$3*DLShear_55</f>
        <v>-27.213936265324012</v>
      </c>
      <c r="M25" s="98">
        <f>$L$3*DLMoment_55</f>
        <v>-584.13353496704724</v>
      </c>
    </row>
    <row r="26" spans="1:23" x14ac:dyDescent="0.25">
      <c r="A26" s="10">
        <v>2</v>
      </c>
      <c r="B26" s="225" t="s">
        <v>480</v>
      </c>
      <c r="C26" s="225" t="s">
        <v>16</v>
      </c>
      <c r="D26" s="225">
        <f>$L$3*DLShear_55+$L$4*SLShear_55</f>
        <v>-122.03809945369504</v>
      </c>
      <c r="E26" s="225">
        <f>$L$3*DLMoment_55+$L$4*SLMoment_55</f>
        <v>-2619.4867857238373</v>
      </c>
      <c r="F26" s="225">
        <f>$L$3*DLShear_55+$L$4*SLShear_55</f>
        <v>-122.03809945369504</v>
      </c>
      <c r="G26" s="225">
        <f>$L$3*DLMoment_55+$L$4*SLMoment_55</f>
        <v>-2619.4867857238373</v>
      </c>
      <c r="H26" s="225">
        <f>$L$3*DLShear_55+$L$4*SLShear_55</f>
        <v>-122.03809945369504</v>
      </c>
      <c r="I26" s="225">
        <f>$L$3*DLMoment_55+$L$4*SLMoment_55</f>
        <v>-2619.4867857238373</v>
      </c>
      <c r="J26" s="225">
        <f>$L$3*DLShear_55+$L$4*SLShear_55</f>
        <v>-122.03809945369504</v>
      </c>
      <c r="K26" s="225">
        <f>$L$3*DLMoment_55+$L$4*SLMoment_55</f>
        <v>-2619.4867857238373</v>
      </c>
      <c r="L26" s="225">
        <f>$L$3*DLShear_55+$L$4*SLShear_55</f>
        <v>-122.03809945369504</v>
      </c>
      <c r="M26" s="98">
        <f>$L$3*DLMoment_55+$L$4*SLMoment_55</f>
        <v>-2619.4867857238373</v>
      </c>
    </row>
    <row r="27" spans="1:23" x14ac:dyDescent="0.25">
      <c r="A27" s="10">
        <v>3</v>
      </c>
      <c r="B27" s="225" t="s">
        <v>21</v>
      </c>
      <c r="C27" s="225" t="s">
        <v>16</v>
      </c>
      <c r="D27" s="225">
        <f>$L$3*DLShear_55+$L$7*U_Z1_S_55</f>
        <v>535.47428307588973</v>
      </c>
      <c r="E27" s="225">
        <f>$L$3*DLMoment_55+$L$7*U_Z1_M_55</f>
        <v>13489.885093688528</v>
      </c>
      <c r="F27" s="225">
        <f>$L$3*DLShear_55+$L$7*U_Z2_S_55</f>
        <v>430.79795116077827</v>
      </c>
      <c r="G27" s="225">
        <f>$L$3*DLMoment_55+$L$7*U_Z2_M_55</f>
        <v>9267.1673412132386</v>
      </c>
      <c r="H27" s="225">
        <f>$L$3*DLShear_55+$L$7*U_Z3_S_55</f>
        <v>490.7040272857256</v>
      </c>
      <c r="I27" s="225">
        <f>$L$3*DLMoment_55+$L$7*U_Z3_M_55</f>
        <v>12357.759243203591</v>
      </c>
      <c r="J27" s="225">
        <f>$L$3*DLShear_55+$L$7*U_Z4_S_55</f>
        <v>298.72736743125182</v>
      </c>
      <c r="K27" s="225">
        <f>$L$3*DLMoment_55+$L$7*U_Z4_M_55</f>
        <v>5117.2834934652456</v>
      </c>
      <c r="L27" s="225">
        <f>$L$3*DLShear_55+$L$7*U_Z5_S_55</f>
        <v>374.31379255572352</v>
      </c>
      <c r="M27" s="98">
        <f>$L$3*DLMoment_55+$L$7*U_Z5_M_55</f>
        <v>8041.9771719233568</v>
      </c>
    </row>
    <row r="28" spans="1:23" x14ac:dyDescent="0.25">
      <c r="A28" s="10">
        <v>4</v>
      </c>
      <c r="B28" s="225" t="s">
        <v>22</v>
      </c>
      <c r="C28" s="225" t="s">
        <v>16</v>
      </c>
      <c r="D28" s="225">
        <f>$L$3*DLShear_55+$L$7*D_Z1_S_55</f>
        <v>-452.26742748532445</v>
      </c>
      <c r="E28" s="225">
        <f>$L$3*DLMoment_55+$L$7*D_Z1_M_55</f>
        <v>-10445.772107189876</v>
      </c>
      <c r="F28" s="225">
        <f>$L$3*DLShear_55+$L$7*D_Z2_S_55</f>
        <v>-393.56528393231923</v>
      </c>
      <c r="G28" s="225">
        <f>$L$3*DLMoment_55+$L$7*D_Z2_M_55</f>
        <v>-8632.2808270227433</v>
      </c>
      <c r="H28" s="225">
        <f>$L$3*DLShear_55+$L$7*D_Z3_S_55</f>
        <v>-435.02617034973582</v>
      </c>
      <c r="I28" s="225">
        <f>$L$3*DLMoment_55+$L$7*D_Z3_M_55</f>
        <v>-9623.4153301468705</v>
      </c>
      <c r="J28" s="225">
        <f>$L$3*DLShear_55+$L$7*D_Z4_S_55</f>
        <v>-338.00965753518443</v>
      </c>
      <c r="K28" s="225">
        <f>$L$3*DLMoment_55+$L$7*D_Z4_M_55</f>
        <v>-5092.8085028083096</v>
      </c>
      <c r="L28" s="225">
        <f>$L$3*DLShear_55+$L$7*D_Z5_S_55</f>
        <v>-349.88177043093242</v>
      </c>
      <c r="M28" s="98">
        <f>$L$3*DLMoment_55+$L$7*D_Z5_M_55</f>
        <v>-7484.0903692401162</v>
      </c>
    </row>
    <row r="29" spans="1:23" x14ac:dyDescent="0.25">
      <c r="A29" s="10">
        <v>5</v>
      </c>
      <c r="B29" s="225" t="s">
        <v>481</v>
      </c>
      <c r="C29" s="225" t="s">
        <v>16</v>
      </c>
      <c r="D29" s="225">
        <f>$L$3*DLShear_55+$L$5*SLShear_55</f>
        <v>-98.332058656602285</v>
      </c>
      <c r="E29" s="225">
        <f>$L$3*DLMoment_55+$L$5*SLMoment_55</f>
        <v>-2110.6484730346401</v>
      </c>
      <c r="F29" s="225">
        <f>$L$3*DLShear_55+$L$5*SLShear_55</f>
        <v>-98.332058656602285</v>
      </c>
      <c r="G29" s="225">
        <f>$L$3*DLMoment_55+$L$5*SLMoment_55</f>
        <v>-2110.6484730346401</v>
      </c>
      <c r="H29" s="225">
        <f>$L$3*DLShear_55+$L$5*SLShear_55</f>
        <v>-98.332058656602285</v>
      </c>
      <c r="I29" s="225">
        <f>$L$3*DLMoment_55+$L$5*SLMoment_55</f>
        <v>-2110.6484730346401</v>
      </c>
      <c r="J29" s="225">
        <f>$L$3*DLShear_55+$L$5*SLShear_55</f>
        <v>-98.332058656602285</v>
      </c>
      <c r="K29" s="225">
        <f>$L$3*DLMoment_55+$L$5*SLMoment_55</f>
        <v>-2110.6484730346401</v>
      </c>
      <c r="L29" s="225">
        <f>$L$3*DLShear_55+$L$5*SLShear_55</f>
        <v>-98.332058656602285</v>
      </c>
      <c r="M29" s="98">
        <f>$L$3*DLMoment_55+$L$5*SLMoment_55</f>
        <v>-2110.6484730346401</v>
      </c>
    </row>
    <row r="30" spans="1:23" x14ac:dyDescent="0.25">
      <c r="A30" s="10">
        <v>6</v>
      </c>
      <c r="B30" s="225" t="s">
        <v>482</v>
      </c>
      <c r="C30" s="225" t="s">
        <v>16</v>
      </c>
      <c r="D30" s="225">
        <f>$L$3*DLShear_55+$L$5*SLShear_55</f>
        <v>-98.332058656602285</v>
      </c>
      <c r="E30" s="225">
        <f>$L$3*DLMoment_55+$L$5*SLMoment_55</f>
        <v>-2110.6484730346401</v>
      </c>
      <c r="F30" s="225">
        <f>$L$3*DLShear_55+$L$5*SLShear_55</f>
        <v>-98.332058656602285</v>
      </c>
      <c r="G30" s="225">
        <f>$L$3*DLMoment_55+$L$5*SLMoment_55</f>
        <v>-2110.6484730346401</v>
      </c>
      <c r="H30" s="225">
        <f>$L$3*DLShear_55+$L$5*SLShear_55</f>
        <v>-98.332058656602285</v>
      </c>
      <c r="I30" s="225">
        <f>$L$3*DLMoment_55+$L$5*SLMoment_55</f>
        <v>-2110.6484730346401</v>
      </c>
      <c r="J30" s="225">
        <f>$L$3*DLShear_55+$L$5*SLShear_55</f>
        <v>-98.332058656602285</v>
      </c>
      <c r="K30" s="225">
        <f>$L$3*DLMoment_55+$L$5*SLMoment_55</f>
        <v>-2110.6484730346401</v>
      </c>
      <c r="L30" s="225">
        <f>$L$3*DLShear_55+$L$5*SLShear_55</f>
        <v>-98.332058656602285</v>
      </c>
      <c r="M30" s="98">
        <f>$L$3*DLMoment_55+$L$5*SLMoment_55</f>
        <v>-2110.6484730346401</v>
      </c>
    </row>
    <row r="31" spans="1:23" x14ac:dyDescent="0.25">
      <c r="A31" s="10">
        <v>7</v>
      </c>
      <c r="B31" s="225" t="s">
        <v>493</v>
      </c>
      <c r="C31" s="225" t="s">
        <v>16</v>
      </c>
      <c r="D31" s="225">
        <f>$L$3*DLShear_55+$L$8*U_Z1_S_55+$L$6*SLShear_55</f>
        <v>347.39014664640075</v>
      </c>
      <c r="E31" s="225">
        <f>$L$3*DLMoment_55+$L$8*U_Z1_M_55+$L$6*SLMoment_55</f>
        <v>8953.7038111462389</v>
      </c>
      <c r="F31" s="225">
        <f>$L$3*DLShear_55+$L$8*U_Z2_S_55+$L$6*SLShear_55</f>
        <v>268.8828977100672</v>
      </c>
      <c r="G31" s="225">
        <f>$L$3*DLMoment_55+$L$8*U_Z2_M_55+$L$6*SLMoment_55</f>
        <v>5786.6654967897721</v>
      </c>
      <c r="H31" s="225">
        <f>$L$3*DLShear_55+$L$8*U_Z3_S_55+$L$6*SLShear_55</f>
        <v>313.81245480377771</v>
      </c>
      <c r="I31" s="225">
        <f>$L$3*DLMoment_55+$L$8*U_Z3_M_55+$L$6*SLMoment_55</f>
        <v>8104.6094232825362</v>
      </c>
      <c r="J31" s="225">
        <f>$L$3*DLShear_55+$L$8*U_Z4_S_55+$L$6*SLShear_55</f>
        <v>169.82995991292236</v>
      </c>
      <c r="K31" s="225">
        <f>$L$3*DLMoment_55+$L$8*U_Z4_M_55+$L$6*SLMoment_55</f>
        <v>2674.2526109787768</v>
      </c>
      <c r="L31" s="225">
        <f>$L$3*DLShear_55+$L$8*U_Z5_S_55+$L$6*SLShear_55</f>
        <v>226.51977875627614</v>
      </c>
      <c r="M31" s="98">
        <f>$L$3*DLMoment_55+$L$8*U_Z5_M_55+$L$6*SLMoment_55</f>
        <v>4867.7728698223618</v>
      </c>
    </row>
    <row r="32" spans="1:23" x14ac:dyDescent="0.25">
      <c r="A32" s="10">
        <v>8</v>
      </c>
      <c r="B32" s="225" t="s">
        <v>494</v>
      </c>
      <c r="C32" s="225" t="s">
        <v>16</v>
      </c>
      <c r="D32" s="225">
        <f>$L$3*DLShear_55+$L$8*D_Z1_S_55+$L$6*SLShear_55</f>
        <v>-393.41613627450988</v>
      </c>
      <c r="E32" s="225">
        <f>$L$3*DLMoment_55+$L$8*D_Z1_M_55+$L$6*SLMoment_55</f>
        <v>-8998.0390895125638</v>
      </c>
      <c r="F32" s="225">
        <f>$L$3*DLShear_55+$L$8*D_Z2_S_55+$L$6*SLShear_55</f>
        <v>-349.38952860975598</v>
      </c>
      <c r="G32" s="225">
        <f>$L$3*DLMoment_55+$L$8*D_Z2_M_55+$L$6*SLMoment_55</f>
        <v>-7637.9206293872139</v>
      </c>
      <c r="H32" s="225">
        <f>$L$3*DLShear_55+$L$8*D_Z3_S_55+$L$6*SLShear_55</f>
        <v>-380.48519342281838</v>
      </c>
      <c r="I32" s="225">
        <f>$L$3*DLMoment_55+$L$8*D_Z3_M_55+$L$6*SLMoment_55</f>
        <v>-8381.2715067303088</v>
      </c>
      <c r="J32" s="225">
        <f>$L$3*DLShear_55+$L$8*D_Z4_S_55+$L$6*SLShear_55</f>
        <v>-307.72280881190483</v>
      </c>
      <c r="K32" s="225">
        <f>$L$3*DLMoment_55+$L$8*D_Z4_M_55+$L$6*SLMoment_55</f>
        <v>-4983.3163862263891</v>
      </c>
      <c r="L32" s="225">
        <f>$L$3*DLShear_55+$L$8*D_Z5_S_55+$L$6*SLShear_55</f>
        <v>-316.62689348371583</v>
      </c>
      <c r="M32" s="98">
        <f>$L$3*DLMoment_55+$L$8*D_Z5_M_55+$L$6*SLMoment_55</f>
        <v>-6776.7777860502447</v>
      </c>
    </row>
    <row r="33" spans="1:13" x14ac:dyDescent="0.25">
      <c r="A33" s="10">
        <v>9</v>
      </c>
      <c r="B33" s="225" t="s">
        <v>23</v>
      </c>
      <c r="C33" s="225" t="s">
        <v>16</v>
      </c>
      <c r="D33" s="225">
        <f>$L$11*DLShear_55+$L$7*U_Z1_S_55</f>
        <v>546.35985758201934</v>
      </c>
      <c r="E33" s="225">
        <f>$L$11*DLMoment_55+$L$7*U_Z1_M_55</f>
        <v>13723.538507675348</v>
      </c>
      <c r="F33" s="225">
        <f>$L$11*DLShear_55+$L$7*U_Z2_S_55</f>
        <v>441.68352566690788</v>
      </c>
      <c r="G33" s="225">
        <f>$L$11*DLMoment_55+$L$7*U_Z2_M_55</f>
        <v>9500.8207552000586</v>
      </c>
      <c r="H33" s="225">
        <f>$L$11*DLShear_55+$L$7*U_Z3_S_55</f>
        <v>501.58960179185522</v>
      </c>
      <c r="I33" s="225">
        <f>$L$11*DLMoment_55+$L$7*U_Z3_M_55</f>
        <v>12591.412657190411</v>
      </c>
      <c r="J33" s="225">
        <f>$L$11*DLShear_55+$L$7*U_Z4_S_55</f>
        <v>309.61294193738144</v>
      </c>
      <c r="K33" s="225">
        <f>$L$11*DLMoment_55+$L$7*U_Z4_M_55</f>
        <v>5350.9369074520646</v>
      </c>
      <c r="L33" s="225">
        <f>$L$11*DLShear_55+$L$7*U_Z5_S_55</f>
        <v>385.19936706185314</v>
      </c>
      <c r="M33" s="98">
        <f>$L$11*DLMoment_55+$L$7*U_Z5_M_55</f>
        <v>8275.6305859101758</v>
      </c>
    </row>
    <row r="34" spans="1:13" ht="15.75" thickBot="1" x14ac:dyDescent="0.3">
      <c r="A34" s="13">
        <v>10</v>
      </c>
      <c r="B34" s="229" t="s">
        <v>24</v>
      </c>
      <c r="C34" s="229" t="s">
        <v>16</v>
      </c>
      <c r="D34" s="229">
        <f>$L$11*DLShear_55+$L$7*D_Z1_S_55</f>
        <v>-441.38185297919483</v>
      </c>
      <c r="E34" s="229">
        <f>$L$11*DLMoment_55+$L$7*D_Z1_M_55</f>
        <v>-10212.118693203056</v>
      </c>
      <c r="F34" s="229">
        <f>$L$11*DLShear_55+$L$7*D_Z2_S_55</f>
        <v>-382.67970942618962</v>
      </c>
      <c r="G34" s="229">
        <f>$L$11*DLMoment_55+$L$7*D_Z2_M_55</f>
        <v>-8398.6274130359234</v>
      </c>
      <c r="H34" s="229">
        <f>$L$11*DLShear_55+$L$7*D_Z3_S_55</f>
        <v>-424.14059584360621</v>
      </c>
      <c r="I34" s="229">
        <f>$L$11*DLMoment_55+$L$7*D_Z3_M_55</f>
        <v>-9389.7619161600505</v>
      </c>
      <c r="J34" s="229">
        <f>$L$11*DLShear_55+$L$7*D_Z4_S_55</f>
        <v>-327.12408302905482</v>
      </c>
      <c r="K34" s="229">
        <f>$L$11*DLMoment_55+$L$7*D_Z4_M_55</f>
        <v>-4859.1550888214906</v>
      </c>
      <c r="L34" s="229">
        <f>$L$11*DLShear_55+$L$7*D_Z5_S_55</f>
        <v>-338.99619592480281</v>
      </c>
      <c r="M34" s="228">
        <f>$L$11*DLMoment_55+$L$7*D_Z5_M_55</f>
        <v>-7250.4369552532971</v>
      </c>
    </row>
    <row r="39" spans="1:13" x14ac:dyDescent="0.25">
      <c r="A39" s="332" t="s">
        <v>449</v>
      </c>
      <c r="B39" s="332"/>
      <c r="C39" s="332"/>
      <c r="D39" s="332"/>
      <c r="E39" s="332"/>
      <c r="F39" s="332"/>
      <c r="G39" s="332"/>
      <c r="H39" s="332"/>
    </row>
    <row r="40" spans="1:13" x14ac:dyDescent="0.25">
      <c r="A40" s="224"/>
      <c r="B40" s="224"/>
      <c r="C40" s="224"/>
      <c r="D40" s="224"/>
      <c r="E40" s="224"/>
      <c r="F40" s="224"/>
      <c r="G40" s="224"/>
      <c r="H40" s="224"/>
    </row>
    <row r="41" spans="1:13" x14ac:dyDescent="0.25">
      <c r="A41" s="224" t="s">
        <v>437</v>
      </c>
      <c r="B41" s="224"/>
      <c r="C41" s="224"/>
      <c r="D41" s="224" t="s">
        <v>438</v>
      </c>
      <c r="E41" s="224"/>
      <c r="F41" s="224"/>
      <c r="G41" s="224" t="s">
        <v>434</v>
      </c>
      <c r="H41" s="224"/>
    </row>
    <row r="42" spans="1:13" x14ac:dyDescent="0.25">
      <c r="A42" s="8" t="s">
        <v>423</v>
      </c>
      <c r="B42" s="8">
        <v>-33.148120944928422</v>
      </c>
      <c r="C42" s="8"/>
      <c r="D42" s="8" t="s">
        <v>423</v>
      </c>
      <c r="E42" s="8">
        <v>-2743.4234437050204</v>
      </c>
      <c r="F42" s="224"/>
      <c r="G42" s="8" t="s">
        <v>439</v>
      </c>
      <c r="H42" s="8">
        <v>-843.12528718888882</v>
      </c>
    </row>
    <row r="43" spans="1:13" x14ac:dyDescent="0.25">
      <c r="A43" s="8" t="s">
        <v>424</v>
      </c>
      <c r="B43" s="8">
        <v>-34.526641372178759</v>
      </c>
      <c r="C43" s="8"/>
      <c r="D43" s="8" t="s">
        <v>424</v>
      </c>
      <c r="E43" s="8">
        <v>-3052.0498120033153</v>
      </c>
      <c r="F43" s="224"/>
      <c r="G43" s="8" t="s">
        <v>440</v>
      </c>
      <c r="H43" s="8">
        <v>-18097.262726865905</v>
      </c>
    </row>
    <row r="44" spans="1:13" x14ac:dyDescent="0.25">
      <c r="A44" s="8" t="s">
        <v>425</v>
      </c>
      <c r="B44" s="8">
        <v>-10.244068017999332</v>
      </c>
      <c r="C44" s="8"/>
      <c r="D44" s="8" t="s">
        <v>425</v>
      </c>
      <c r="E44" s="8">
        <v>-2412.5715642820605</v>
      </c>
      <c r="F44" s="224"/>
      <c r="G44" s="224"/>
      <c r="H44" s="224"/>
    </row>
    <row r="45" spans="1:13" x14ac:dyDescent="0.25">
      <c r="A45" s="8" t="s">
        <v>426</v>
      </c>
      <c r="B45" s="8">
        <v>-15.991291396329983</v>
      </c>
      <c r="C45" s="8"/>
      <c r="D45" s="8" t="s">
        <v>426</v>
      </c>
      <c r="E45" s="8">
        <v>-1273.4738474744418</v>
      </c>
      <c r="F45" s="224"/>
      <c r="G45" s="224" t="s">
        <v>435</v>
      </c>
      <c r="H45" s="224"/>
    </row>
    <row r="46" spans="1:13" x14ac:dyDescent="0.25">
      <c r="A46" s="8" t="s">
        <v>427</v>
      </c>
      <c r="B46" s="8">
        <v>-16.658150920780773</v>
      </c>
      <c r="C46" s="8"/>
      <c r="D46" s="8" t="s">
        <v>427</v>
      </c>
      <c r="E46" s="8">
        <v>-1389.422010032476</v>
      </c>
      <c r="F46" s="224"/>
      <c r="G46" s="8" t="s">
        <v>439</v>
      </c>
      <c r="H46" s="8">
        <v>-47.413103492499992</v>
      </c>
    </row>
    <row r="47" spans="1:13" x14ac:dyDescent="0.25">
      <c r="A47" s="224"/>
      <c r="B47" s="224"/>
      <c r="C47" s="224"/>
      <c r="D47" s="224"/>
      <c r="E47" s="224"/>
      <c r="F47" s="224"/>
      <c r="G47" s="8" t="s">
        <v>440</v>
      </c>
      <c r="H47" s="8">
        <v>-1017.6985599147662</v>
      </c>
    </row>
    <row r="48" spans="1:13" x14ac:dyDescent="0.25">
      <c r="A48" s="224" t="s">
        <v>441</v>
      </c>
      <c r="B48" s="224"/>
      <c r="C48" s="224"/>
      <c r="D48" s="224" t="s">
        <v>442</v>
      </c>
      <c r="E48" s="224"/>
      <c r="F48" s="224"/>
      <c r="G48" s="224"/>
      <c r="H48" s="224"/>
    </row>
    <row r="49" spans="1:13" x14ac:dyDescent="0.25">
      <c r="A49" s="8" t="s">
        <v>423</v>
      </c>
      <c r="B49" s="8">
        <v>102.53499525381341</v>
      </c>
      <c r="C49" s="8"/>
      <c r="D49" s="8" t="s">
        <v>423</v>
      </c>
      <c r="E49" s="8">
        <v>665.70428324336706</v>
      </c>
      <c r="F49" s="224"/>
      <c r="G49" s="224"/>
      <c r="H49" s="224"/>
    </row>
    <row r="50" spans="1:13" x14ac:dyDescent="0.25">
      <c r="A50" s="8" t="s">
        <v>424</v>
      </c>
      <c r="B50" s="8">
        <v>105.75058338740652</v>
      </c>
      <c r="C50" s="8"/>
      <c r="D50" s="8" t="s">
        <v>424</v>
      </c>
      <c r="E50" s="8">
        <v>927.03763707837186</v>
      </c>
      <c r="F50" s="224"/>
      <c r="G50" s="224"/>
      <c r="H50" s="224"/>
    </row>
    <row r="51" spans="1:13" x14ac:dyDescent="0.25">
      <c r="A51" s="8" t="s">
        <v>425</v>
      </c>
      <c r="B51" s="8">
        <v>105.17581732077642</v>
      </c>
      <c r="C51" s="8"/>
      <c r="D51" s="8" t="s">
        <v>425</v>
      </c>
      <c r="E51" s="8">
        <v>132.78336297911429</v>
      </c>
      <c r="F51" s="224"/>
      <c r="G51" s="224"/>
      <c r="H51" s="224"/>
    </row>
    <row r="52" spans="1:13" x14ac:dyDescent="0.25">
      <c r="A52" s="8" t="s">
        <v>426</v>
      </c>
      <c r="B52" s="8">
        <v>46.126673306261253</v>
      </c>
      <c r="C52" s="8"/>
      <c r="D52" s="8" t="s">
        <v>426</v>
      </c>
      <c r="E52" s="8">
        <v>346.04502226328287</v>
      </c>
      <c r="F52" s="224"/>
      <c r="G52" s="224"/>
      <c r="H52" s="224"/>
    </row>
    <row r="53" spans="1:13" x14ac:dyDescent="0.25">
      <c r="A53" s="8" t="s">
        <v>427</v>
      </c>
      <c r="B53" s="8">
        <v>54.329045457005989</v>
      </c>
      <c r="C53" s="8"/>
      <c r="D53" s="8" t="s">
        <v>427</v>
      </c>
      <c r="E53" s="8">
        <v>617.7642992970566</v>
      </c>
      <c r="F53" s="224"/>
      <c r="G53" s="224"/>
      <c r="H53" s="224"/>
    </row>
    <row r="54" spans="1:13" x14ac:dyDescent="0.25">
      <c r="A54" s="224"/>
      <c r="B54" s="224"/>
      <c r="C54" s="224"/>
      <c r="D54" s="224"/>
      <c r="E54" s="224"/>
      <c r="F54" s="224"/>
      <c r="G54" s="224"/>
      <c r="H54" s="224"/>
    </row>
    <row r="55" spans="1:13" x14ac:dyDescent="0.25">
      <c r="A55" s="224"/>
      <c r="B55" s="224"/>
      <c r="C55" s="224"/>
      <c r="D55" s="224"/>
      <c r="E55" s="224"/>
      <c r="F55" s="224"/>
      <c r="G55" s="224"/>
      <c r="H55" s="224"/>
    </row>
    <row r="56" spans="1:13" x14ac:dyDescent="0.25">
      <c r="A56" s="224"/>
      <c r="B56" s="224"/>
      <c r="C56" s="224"/>
      <c r="D56" s="224"/>
      <c r="E56" s="224"/>
      <c r="F56" s="224"/>
      <c r="G56" s="224"/>
      <c r="H56" s="224"/>
    </row>
    <row r="58" spans="1:13" ht="15.75" thickBot="1" x14ac:dyDescent="0.3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</row>
    <row r="59" spans="1:13" x14ac:dyDescent="0.25">
      <c r="A59" s="357" t="s">
        <v>450</v>
      </c>
      <c r="B59" s="358"/>
      <c r="C59" s="358"/>
      <c r="D59" s="358"/>
      <c r="E59" s="358"/>
      <c r="F59" s="358"/>
      <c r="G59" s="358"/>
      <c r="H59" s="358"/>
      <c r="I59" s="358"/>
      <c r="J59" s="358"/>
      <c r="K59" s="358"/>
      <c r="L59" s="358"/>
      <c r="M59" s="359"/>
    </row>
    <row r="60" spans="1:13" x14ac:dyDescent="0.25">
      <c r="A60" s="221"/>
      <c r="B60" s="225"/>
      <c r="C60" s="225"/>
      <c r="D60" s="384" t="s">
        <v>423</v>
      </c>
      <c r="E60" s="384"/>
      <c r="F60" s="384" t="s">
        <v>424</v>
      </c>
      <c r="G60" s="384"/>
      <c r="H60" s="384" t="s">
        <v>61</v>
      </c>
      <c r="I60" s="384"/>
      <c r="J60" s="384" t="s">
        <v>426</v>
      </c>
      <c r="K60" s="384"/>
      <c r="L60" s="384" t="s">
        <v>427</v>
      </c>
      <c r="M60" s="385"/>
    </row>
    <row r="61" spans="1:13" x14ac:dyDescent="0.25">
      <c r="A61" s="10" t="s">
        <v>3</v>
      </c>
      <c r="B61" s="225" t="s">
        <v>60</v>
      </c>
      <c r="C61" s="225" t="s">
        <v>13</v>
      </c>
      <c r="D61" s="34" t="s">
        <v>439</v>
      </c>
      <c r="E61" s="34" t="s">
        <v>440</v>
      </c>
      <c r="F61" s="34" t="s">
        <v>439</v>
      </c>
      <c r="G61" s="34" t="s">
        <v>440</v>
      </c>
      <c r="H61" s="34" t="s">
        <v>439</v>
      </c>
      <c r="I61" s="34" t="s">
        <v>440</v>
      </c>
      <c r="J61" s="34" t="s">
        <v>439</v>
      </c>
      <c r="K61" s="34" t="s">
        <v>440</v>
      </c>
      <c r="L61" s="34" t="s">
        <v>439</v>
      </c>
      <c r="M61" s="144" t="s">
        <v>440</v>
      </c>
    </row>
    <row r="62" spans="1:13" x14ac:dyDescent="0.25">
      <c r="A62" s="10">
        <v>1</v>
      </c>
      <c r="B62" s="225" t="s">
        <v>0</v>
      </c>
      <c r="C62" s="225" t="s">
        <v>16</v>
      </c>
      <c r="D62" s="225">
        <f>$L$3*DLShear_0</f>
        <v>-47.413103492499992</v>
      </c>
      <c r="E62" s="225">
        <f>$L$3*DLMoment_0</f>
        <v>-1017.6985599147662</v>
      </c>
      <c r="F62" s="225">
        <f>$L$3*DLShear_0</f>
        <v>-47.413103492499992</v>
      </c>
      <c r="G62" s="225">
        <f>$L$3*DLMoment_0</f>
        <v>-1017.6985599147662</v>
      </c>
      <c r="H62" s="225">
        <f>$L$3*DLShear_0</f>
        <v>-47.413103492499992</v>
      </c>
      <c r="I62" s="225">
        <f>$L$3*DLMoment_0</f>
        <v>-1017.6985599147662</v>
      </c>
      <c r="J62" s="225">
        <f>$L$3*DLShear_0</f>
        <v>-47.413103492499992</v>
      </c>
      <c r="K62" s="225">
        <f>$L$3*DLMoment_0</f>
        <v>-1017.6985599147662</v>
      </c>
      <c r="L62" s="225">
        <f>$L$3*DLShear_0</f>
        <v>-47.413103492499992</v>
      </c>
      <c r="M62" s="98">
        <f>$L$3*DLMoment_0</f>
        <v>-1017.6985599147662</v>
      </c>
    </row>
    <row r="63" spans="1:13" x14ac:dyDescent="0.25">
      <c r="A63" s="10">
        <v>2</v>
      </c>
      <c r="B63" s="225" t="s">
        <v>20</v>
      </c>
      <c r="C63" s="225" t="s">
        <v>16</v>
      </c>
      <c r="D63" s="225">
        <f>$L$3*DLShear_0+$L$4*SLShear_0</f>
        <v>-637.60080452472209</v>
      </c>
      <c r="E63" s="225">
        <f>$L$3*DLMoment_0+$L$4*SLMoment_0</f>
        <v>-13685.782468720899</v>
      </c>
      <c r="F63" s="225">
        <f>$L$3*DLShear_0+$L$4*SLShear_0</f>
        <v>-637.60080452472209</v>
      </c>
      <c r="G63" s="225">
        <f>$L$3*DLMoment_0+$L$4*SLMoment_0</f>
        <v>-13685.782468720899</v>
      </c>
      <c r="H63" s="225">
        <f>$L$3*DLShear_0+$L$4*SLShear_0</f>
        <v>-637.60080452472209</v>
      </c>
      <c r="I63" s="225">
        <f>$L$3*DLMoment_0+$L$4*SLMoment_0</f>
        <v>-13685.782468720899</v>
      </c>
      <c r="J63" s="225">
        <f>$L$3*DLShear_0+$L$4*SLShear_0</f>
        <v>-637.60080452472209</v>
      </c>
      <c r="K63" s="225">
        <f>$L$3*DLMoment_0+$L$4*SLMoment_0</f>
        <v>-13685.782468720899</v>
      </c>
      <c r="L63" s="225">
        <f>$L$3*DLShear_0+$L$4*SLShear_0</f>
        <v>-637.60080452472209</v>
      </c>
      <c r="M63" s="98">
        <f>$L$3*DLMoment_0+$L$4*SLMoment_0</f>
        <v>-13685.782468720899</v>
      </c>
    </row>
    <row r="64" spans="1:13" x14ac:dyDescent="0.25">
      <c r="A64" s="10">
        <v>3</v>
      </c>
      <c r="B64" s="225" t="s">
        <v>21</v>
      </c>
      <c r="C64" s="225" t="s">
        <v>16</v>
      </c>
      <c r="D64" s="225">
        <f>$L$3*DLShear_0+$L$7*U_Z1_S_0</f>
        <v>14.107893659788047</v>
      </c>
      <c r="E64" s="225">
        <f>$L$3*DLMoment_0+$L$7*U_Z1_M_0</f>
        <v>-618.27598996874599</v>
      </c>
      <c r="F64" s="225">
        <f>$L$3*DLShear_0+$L$7*U_Z2_S_0</f>
        <v>16.037246539943915</v>
      </c>
      <c r="G64" s="225">
        <f>$L$3*DLMoment_0+$L$7*U_Z2_M_0</f>
        <v>-461.47597766774311</v>
      </c>
      <c r="H64" s="225">
        <f>$L$3*DLShear_0+$L$7*U_Z3_S_0</f>
        <v>15.692386899965854</v>
      </c>
      <c r="I64" s="225">
        <f>$L$3*DLMoment_0+$L$7*U_Z3_M_0</f>
        <v>-938.02854212729767</v>
      </c>
      <c r="J64" s="225">
        <f>$L$3*DLShear_0+$L$7*U_Z4_S_0</f>
        <v>-19.737099508743242</v>
      </c>
      <c r="K64" s="225">
        <f>$L$3*DLMoment_0+$L$7*U_Z4_M_0</f>
        <v>-810.07154655679642</v>
      </c>
      <c r="L64" s="225">
        <f>$L$3*DLShear_0+$L$7*U_Z5_S_0</f>
        <v>-14.815676218296403</v>
      </c>
      <c r="M64" s="98">
        <f>$L$3*DLMoment_0+$L$7*U_Z5_M_0</f>
        <v>-647.03998033653215</v>
      </c>
    </row>
    <row r="65" spans="1:13" x14ac:dyDescent="0.25">
      <c r="A65" s="10">
        <v>4</v>
      </c>
      <c r="B65" s="225" t="s">
        <v>22</v>
      </c>
      <c r="C65" s="225" t="s">
        <v>16</v>
      </c>
      <c r="D65" s="225">
        <f>$L$3*DLShear_0+$L$7*D_Z1_S_0</f>
        <v>-67.301976059457047</v>
      </c>
      <c r="E65" s="225">
        <f>$L$3*DLMoment_0+$L$7*D_Z1_M_0</f>
        <v>-2663.7526261377784</v>
      </c>
      <c r="F65" s="225">
        <f>$L$3*DLShear_0+$L$7*D_Z2_S_0</f>
        <v>-68.129088315807252</v>
      </c>
      <c r="G65" s="225">
        <f>$L$3*DLMoment_0+$L$7*D_Z2_M_0</f>
        <v>-2848.9284471167553</v>
      </c>
      <c r="H65" s="225">
        <f>$L$3*DLShear_0+$L$7*D_Z3_S_0</f>
        <v>-53.559544303299589</v>
      </c>
      <c r="I65" s="225">
        <f>$L$3*DLMoment_0+$L$7*D_Z3_M_0</f>
        <v>-2465.2414984840025</v>
      </c>
      <c r="J65" s="225">
        <f>$L$3*DLShear_0+$L$7*D_Z4_S_0</f>
        <v>-57.007878330297984</v>
      </c>
      <c r="K65" s="225">
        <f>$L$3*DLMoment_0+$L$7*D_Z4_M_0</f>
        <v>-1781.7828683994312</v>
      </c>
      <c r="L65" s="225">
        <f>$L$3*DLShear_0+$L$7*D_Z5_S_0</f>
        <v>-57.407994044968454</v>
      </c>
      <c r="M65" s="98">
        <f>$L$3*DLMoment_0+$L$7*D_Z5_M_0</f>
        <v>-1851.3517659342517</v>
      </c>
    </row>
    <row r="66" spans="1:13" x14ac:dyDescent="0.25">
      <c r="A66" s="10">
        <v>5</v>
      </c>
      <c r="B66" s="225" t="s">
        <v>35</v>
      </c>
      <c r="C66" s="225" t="s">
        <v>16</v>
      </c>
      <c r="D66" s="225">
        <f>$L$3*DLShear_0+$L$5*SLShear_0</f>
        <v>-490.05387926666663</v>
      </c>
      <c r="E66" s="225">
        <f>$L$3*DLMoment_0+$L$5*SLMoment_0</f>
        <v>-10518.761491519368</v>
      </c>
      <c r="F66" s="225">
        <f>$L$3*DLShear_0+$L$5*SLShear_0</f>
        <v>-490.05387926666663</v>
      </c>
      <c r="G66" s="225">
        <f>$L$3*DLMoment_0+$L$5*SLMoment_0</f>
        <v>-10518.761491519368</v>
      </c>
      <c r="H66" s="225">
        <f>$L$3*DLShear_0+$L$5*SLShear_0</f>
        <v>-490.05387926666663</v>
      </c>
      <c r="I66" s="225">
        <f>$L$3*DLMoment_0+$L$5*SLMoment_0</f>
        <v>-10518.761491519368</v>
      </c>
      <c r="J66" s="225">
        <f>$L$3*DLShear_0+$L$5*SLShear_0</f>
        <v>-490.05387926666663</v>
      </c>
      <c r="K66" s="225">
        <f>$L$3*DLMoment_0+$L$5*SLMoment_0</f>
        <v>-10518.761491519368</v>
      </c>
      <c r="L66" s="225">
        <f>$L$3*DLShear_0+$L$5*SLShear_0</f>
        <v>-490.05387926666663</v>
      </c>
      <c r="M66" s="98">
        <f>$L$3*DLMoment_0+$L$5*SLMoment_0</f>
        <v>-10518.761491519368</v>
      </c>
    </row>
    <row r="67" spans="1:13" x14ac:dyDescent="0.25">
      <c r="A67" s="10">
        <v>6</v>
      </c>
      <c r="B67" s="225" t="s">
        <v>36</v>
      </c>
      <c r="C67" s="225" t="s">
        <v>16</v>
      </c>
      <c r="D67" s="225">
        <f>$L$3*DLShear_0+$L$5*SLShear_0</f>
        <v>-490.05387926666663</v>
      </c>
      <c r="E67" s="225">
        <f>$L$3*DLMoment_0+$L$5*SLMoment_0</f>
        <v>-10518.761491519368</v>
      </c>
      <c r="F67" s="225">
        <f>$L$3*DLShear_0+$L$5*SLShear_0</f>
        <v>-490.05387926666663</v>
      </c>
      <c r="G67" s="225">
        <f>$L$3*DLMoment_0+$L$5*SLMoment_0</f>
        <v>-10518.761491519368</v>
      </c>
      <c r="H67" s="225">
        <f>$L$3*DLShear_0+$L$5*SLShear_0</f>
        <v>-490.05387926666663</v>
      </c>
      <c r="I67" s="225">
        <f>$L$3*DLMoment_0+$L$5*SLMoment_0</f>
        <v>-10518.761491519368</v>
      </c>
      <c r="J67" s="225">
        <f>$L$3*DLShear_0+$L$5*SLShear_0</f>
        <v>-490.05387926666663</v>
      </c>
      <c r="K67" s="225">
        <f>$L$3*DLMoment_0+$L$5*SLMoment_0</f>
        <v>-10518.761491519368</v>
      </c>
      <c r="L67" s="225">
        <f>$L$3*DLShear_0+$L$5*SLShear_0</f>
        <v>-490.05387926666663</v>
      </c>
      <c r="M67" s="98">
        <f>$L$3*DLMoment_0+$L$5*SLMoment_0</f>
        <v>-10518.761491519368</v>
      </c>
    </row>
    <row r="68" spans="1:13" x14ac:dyDescent="0.25">
      <c r="A68" s="10">
        <v>7</v>
      </c>
      <c r="B68" s="225" t="s">
        <v>33</v>
      </c>
      <c r="C68" s="225" t="s">
        <v>16</v>
      </c>
      <c r="D68" s="225">
        <f>$L$3*DLShear_0+$L$8*U_Z1_S_0+$L$6*SLShear_0</f>
        <v>-296.36620614439499</v>
      </c>
      <c r="E68" s="225">
        <f>$L$3*DLMoment_0+$L$8*U_Z1_M_0+$L$6*SLMoment_0</f>
        <v>-7052.1735868583173</v>
      </c>
      <c r="F68" s="225">
        <f>$L$3*DLShear_0+$L$8*U_Z2_S_0+$L$6*SLShear_0</f>
        <v>-294.91919148427809</v>
      </c>
      <c r="G68" s="225">
        <f>$L$3*DLMoment_0+$L$8*U_Z2_M_0+$L$6*SLMoment_0</f>
        <v>-6934.5735776325655</v>
      </c>
      <c r="H68" s="225">
        <f>$L$3*DLShear_0+$L$8*U_Z3_S_0+$L$6*SLShear_0</f>
        <v>-295.17783621426167</v>
      </c>
      <c r="I68" s="225">
        <f>$L$3*DLMoment_0+$L$8*U_Z3_M_0+$L$6*SLMoment_0</f>
        <v>-7291.9880009772314</v>
      </c>
      <c r="J68" s="225">
        <f>$L$3*DLShear_0+$L$8*U_Z4_S_0+$L$6*SLShear_0</f>
        <v>-321.74995102079345</v>
      </c>
      <c r="K68" s="225">
        <f>$L$3*DLMoment_0+$L$8*U_Z4_M_0+$L$6*SLMoment_0</f>
        <v>-7196.0202542993557</v>
      </c>
      <c r="L68" s="225">
        <f>$L$3*DLShear_0+$L$8*U_Z5_S_0+$L$6*SLShear_0</f>
        <v>-318.05888355295832</v>
      </c>
      <c r="M68" s="98">
        <f>$L$3*DLMoment_0+$L$8*U_Z5_M_0+$L$6*SLMoment_0</f>
        <v>-7073.7465796341567</v>
      </c>
    </row>
    <row r="69" spans="1:13" x14ac:dyDescent="0.25">
      <c r="A69" s="10">
        <v>8</v>
      </c>
      <c r="B69" s="225" t="s">
        <v>34</v>
      </c>
      <c r="C69" s="225" t="s">
        <v>16</v>
      </c>
      <c r="D69" s="225">
        <f>$L$3*DLShear_0+$L$8*D_Z1_S_0+$L$6*SLShear_0</f>
        <v>-357.4236084338288</v>
      </c>
      <c r="E69" s="225">
        <f>$L$3*DLMoment_0+$L$8*D_Z1_M_0+$L$6*SLMoment_0</f>
        <v>-8586.2810639850923</v>
      </c>
      <c r="F69" s="225">
        <f>$L$3*DLShear_0+$L$8*D_Z2_S_0+$L$6*SLShear_0</f>
        <v>-358.04394262609151</v>
      </c>
      <c r="G69" s="225">
        <f>$L$3*DLMoment_0+$L$8*D_Z2_M_0+$L$6*SLMoment_0</f>
        <v>-8725.1629297193249</v>
      </c>
      <c r="H69" s="225">
        <f>$L$3*DLShear_0+$L$8*D_Z3_S_0+$L$6*SLShear_0</f>
        <v>-347.11678461671073</v>
      </c>
      <c r="I69" s="225">
        <f>$L$3*DLMoment_0+$L$8*D_Z3_M_0+$L$6*SLMoment_0</f>
        <v>-8437.3977182447597</v>
      </c>
      <c r="J69" s="225">
        <f>$L$3*DLShear_0+$L$8*D_Z4_S_0+$L$6*SLShear_0</f>
        <v>-349.70303513695956</v>
      </c>
      <c r="K69" s="225">
        <f>$L$3*DLMoment_0+$L$8*D_Z4_M_0+$L$6*SLMoment_0</f>
        <v>-7924.8037456813317</v>
      </c>
      <c r="L69" s="225">
        <f>$L$3*DLShear_0+$L$8*D_Z5_S_0+$L$6*SLShear_0</f>
        <v>-350.00312192296241</v>
      </c>
      <c r="M69" s="98">
        <f>$L$3*DLMoment_0+$L$8*D_Z5_M_0+$L$6*SLMoment_0</f>
        <v>-7976.980418832447</v>
      </c>
    </row>
    <row r="70" spans="1:13" x14ac:dyDescent="0.25">
      <c r="A70" s="10">
        <v>9</v>
      </c>
      <c r="B70" s="225" t="s">
        <v>23</v>
      </c>
      <c r="C70" s="225" t="s">
        <v>16</v>
      </c>
      <c r="D70" s="225">
        <f>$L$11*DLShear_0+$L$7*U_Z1_S_0</f>
        <v>33.073135056788047</v>
      </c>
      <c r="E70" s="225">
        <f>$L$11*DLMoment_0+$L$7*U_Z1_M_0</f>
        <v>-211.19656600283946</v>
      </c>
      <c r="F70" s="225">
        <f>$L$11*DLShear_0+$L$7*U_Z2_S_0</f>
        <v>35.002487936943908</v>
      </c>
      <c r="G70" s="225">
        <f>$L$11*DLMoment_0+$L$7*U_Z2_M_0</f>
        <v>-54.396553701836638</v>
      </c>
      <c r="H70" s="225">
        <f>$L$11*DLShear_0+$L$7*U_Z3_S_0</f>
        <v>34.657628296965854</v>
      </c>
      <c r="I70" s="225">
        <f>$L$11*DLMoment_0+$L$7*U_Z3_M_0</f>
        <v>-530.9491181613912</v>
      </c>
      <c r="J70" s="225">
        <f>$L$11*DLShear_0+$L$7*U_Z4_S_0</f>
        <v>-0.7718581117432457</v>
      </c>
      <c r="K70" s="225">
        <f>$L$11*DLMoment_0+$L$7*U_Z4_M_0</f>
        <v>-402.99212259088995</v>
      </c>
      <c r="L70" s="225">
        <f>$L$11*DLShear_0+$L$7*U_Z5_S_0</f>
        <v>4.1495651787035932</v>
      </c>
      <c r="M70" s="98">
        <f>$L$11*DLMoment_0+$L$7*U_Z5_M_0</f>
        <v>-239.96055637062574</v>
      </c>
    </row>
    <row r="71" spans="1:13" ht="15.75" thickBot="1" x14ac:dyDescent="0.3">
      <c r="A71" s="13">
        <v>10</v>
      </c>
      <c r="B71" s="229" t="s">
        <v>24</v>
      </c>
      <c r="C71" s="229" t="s">
        <v>16</v>
      </c>
      <c r="D71" s="229">
        <f>$L$11*DLShear_0+$L$7*D_Z1_S_0</f>
        <v>-48.336734662457047</v>
      </c>
      <c r="E71" s="229">
        <f>$L$11*DLMoment_0+$L$7*D_Z1_M_0</f>
        <v>-2256.6732021718717</v>
      </c>
      <c r="F71" s="229">
        <f>$L$11*DLShear_0+$L$7*D_Z2_S_0</f>
        <v>-49.163846918807252</v>
      </c>
      <c r="G71" s="229">
        <f>$L$11*DLMoment_0+$L$7*D_Z2_M_0</f>
        <v>-2441.849023150849</v>
      </c>
      <c r="H71" s="229">
        <f>$L$11*DLShear_0+$L$7*D_Z3_S_0</f>
        <v>-34.594302906299596</v>
      </c>
      <c r="I71" s="229">
        <f>$L$11*DLMoment_0+$L$7*D_Z3_M_0</f>
        <v>-2058.1620745180958</v>
      </c>
      <c r="J71" s="229">
        <f>$L$11*DLShear_0+$L$7*D_Z4_S_0</f>
        <v>-38.042636933297985</v>
      </c>
      <c r="K71" s="229">
        <f>$L$11*DLMoment_0+$L$7*D_Z4_M_0</f>
        <v>-1374.7034444335247</v>
      </c>
      <c r="L71" s="229">
        <f>$L$11*DLShear_0+$L$7*D_Z5_S_0</f>
        <v>-38.442752647968462</v>
      </c>
      <c r="M71" s="228">
        <f>$L$11*DLMoment_0+$L$7*D_Z5_M_0</f>
        <v>-1444.2723419683452</v>
      </c>
    </row>
  </sheetData>
  <mergeCells count="17">
    <mergeCell ref="A39:H39"/>
    <mergeCell ref="A59:M59"/>
    <mergeCell ref="D60:E60"/>
    <mergeCell ref="F60:G60"/>
    <mergeCell ref="H60:I60"/>
    <mergeCell ref="J60:K60"/>
    <mergeCell ref="L60:M60"/>
    <mergeCell ref="A2:H2"/>
    <mergeCell ref="K2:L2"/>
    <mergeCell ref="A22:M22"/>
    <mergeCell ref="P22:S22"/>
    <mergeCell ref="T22:W22"/>
    <mergeCell ref="D23:E23"/>
    <mergeCell ref="F23:G23"/>
    <mergeCell ref="H23:I23"/>
    <mergeCell ref="J23:K23"/>
    <mergeCell ref="L23:M23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FB7C3-B86D-41A0-ADDE-1658D612D0D5}">
  <dimension ref="B2:X155"/>
  <sheetViews>
    <sheetView zoomScaleNormal="100" workbookViewId="0">
      <selection activeCell="J16" sqref="J16"/>
    </sheetView>
  </sheetViews>
  <sheetFormatPr defaultRowHeight="15" x14ac:dyDescent="0.25"/>
  <cols>
    <col min="2" max="2" width="23.28515625" bestFit="1" customWidth="1"/>
    <col min="3" max="3" width="32.28515625" bestFit="1" customWidth="1"/>
    <col min="4" max="4" width="13.28515625" bestFit="1" customWidth="1"/>
    <col min="5" max="24" width="15.7109375" customWidth="1"/>
  </cols>
  <sheetData>
    <row r="2" spans="2:24" ht="15.75" thickBot="1" x14ac:dyDescent="0.3">
      <c r="B2" s="394" t="s">
        <v>436</v>
      </c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4"/>
    </row>
    <row r="3" spans="2:24" ht="15.75" thickBot="1" x14ac:dyDescent="0.3">
      <c r="B3" s="224"/>
      <c r="C3" s="224"/>
      <c r="D3" s="224"/>
      <c r="E3" s="224"/>
      <c r="F3" s="224"/>
      <c r="G3" s="224"/>
      <c r="H3" s="224"/>
      <c r="I3" s="224"/>
    </row>
    <row r="4" spans="2:24" ht="15.75" thickBot="1" x14ac:dyDescent="0.3">
      <c r="B4" s="395" t="s">
        <v>437</v>
      </c>
      <c r="C4" s="396"/>
      <c r="E4" s="395" t="s">
        <v>438</v>
      </c>
      <c r="F4" s="396"/>
      <c r="G4" s="224"/>
      <c r="H4" s="354" t="s">
        <v>434</v>
      </c>
      <c r="I4" s="356"/>
    </row>
    <row r="5" spans="2:24" ht="15.75" thickBot="1" x14ac:dyDescent="0.3">
      <c r="B5" s="263" t="s">
        <v>423</v>
      </c>
      <c r="C5" s="143">
        <v>-602.00201439375496</v>
      </c>
      <c r="D5" s="8"/>
      <c r="E5" s="263" t="s">
        <v>423</v>
      </c>
      <c r="F5" s="143">
        <v>-1295.5196911893088</v>
      </c>
      <c r="G5" s="224"/>
      <c r="H5" s="29" t="s">
        <v>439</v>
      </c>
      <c r="I5" s="143">
        <v>-47.693854421382007</v>
      </c>
    </row>
    <row r="6" spans="2:24" ht="15.75" thickBot="1" x14ac:dyDescent="0.3">
      <c r="B6" s="264" t="s">
        <v>424</v>
      </c>
      <c r="C6" s="144">
        <v>-510.64407718567838</v>
      </c>
      <c r="D6" s="8"/>
      <c r="E6" s="264" t="s">
        <v>424</v>
      </c>
      <c r="F6" s="144">
        <v>-1132.3967908377304</v>
      </c>
      <c r="G6" s="224"/>
      <c r="H6" s="13" t="s">
        <v>440</v>
      </c>
      <c r="I6" s="265">
        <v>-1061.2836485845924</v>
      </c>
      <c r="S6" s="390" t="s">
        <v>631</v>
      </c>
      <c r="T6" s="391"/>
      <c r="W6" s="392" t="s">
        <v>451</v>
      </c>
      <c r="X6" s="393"/>
    </row>
    <row r="7" spans="2:24" ht="15.75" thickBot="1" x14ac:dyDescent="0.3">
      <c r="B7" s="266" t="s">
        <v>425</v>
      </c>
      <c r="C7" s="144">
        <v>-477.34653628881546</v>
      </c>
      <c r="D7" s="8"/>
      <c r="E7" s="266" t="s">
        <v>425</v>
      </c>
      <c r="F7" s="144">
        <v>-1159.4554240718126</v>
      </c>
      <c r="G7" s="224"/>
      <c r="H7" s="224"/>
      <c r="I7" s="224"/>
      <c r="S7" s="388" t="s">
        <v>432</v>
      </c>
      <c r="T7" s="389"/>
      <c r="W7" s="217" t="s">
        <v>443</v>
      </c>
      <c r="X7" s="227">
        <v>1</v>
      </c>
    </row>
    <row r="8" spans="2:24" ht="15.75" thickBot="1" x14ac:dyDescent="0.3">
      <c r="B8" s="267" t="s">
        <v>426</v>
      </c>
      <c r="C8" s="144">
        <v>-438.65128876235593</v>
      </c>
      <c r="D8" s="8"/>
      <c r="E8" s="267" t="s">
        <v>426</v>
      </c>
      <c r="F8" s="144">
        <v>-988.09576360364179</v>
      </c>
      <c r="G8" s="224"/>
      <c r="H8" s="357" t="s">
        <v>435</v>
      </c>
      <c r="I8" s="359"/>
      <c r="S8" s="300" t="s">
        <v>378</v>
      </c>
      <c r="T8" s="301">
        <v>60</v>
      </c>
      <c r="W8" s="221" t="s">
        <v>2</v>
      </c>
      <c r="X8" s="98">
        <v>1</v>
      </c>
    </row>
    <row r="9" spans="2:24" ht="15.75" thickBot="1" x14ac:dyDescent="0.3">
      <c r="B9" s="268" t="s">
        <v>427</v>
      </c>
      <c r="C9" s="265">
        <v>-401.32299291482025</v>
      </c>
      <c r="D9" s="8"/>
      <c r="E9" s="268" t="s">
        <v>427</v>
      </c>
      <c r="F9" s="265">
        <v>-1004.6744339659745</v>
      </c>
      <c r="G9" s="224"/>
      <c r="H9" s="29" t="s">
        <v>439</v>
      </c>
      <c r="I9" s="143">
        <v>-24.158031990566155</v>
      </c>
      <c r="S9" s="221" t="s">
        <v>569</v>
      </c>
      <c r="T9" s="144">
        <f>I14-2</f>
        <v>31.496000000000002</v>
      </c>
      <c r="W9" s="221" t="s">
        <v>444</v>
      </c>
      <c r="X9" s="98">
        <v>0.75</v>
      </c>
    </row>
    <row r="10" spans="2:24" ht="15.75" thickBot="1" x14ac:dyDescent="0.3">
      <c r="B10" s="224"/>
      <c r="C10" s="224"/>
      <c r="D10" s="224"/>
      <c r="E10" s="224"/>
      <c r="F10" s="224"/>
      <c r="G10" s="224"/>
      <c r="H10" s="13" t="s">
        <v>440</v>
      </c>
      <c r="I10" s="265">
        <v>-537.56452785407805</v>
      </c>
      <c r="S10" s="221" t="s">
        <v>192</v>
      </c>
      <c r="T10" s="144">
        <f>I14-2</f>
        <v>31.496000000000002</v>
      </c>
      <c r="W10" s="221" t="s">
        <v>446</v>
      </c>
      <c r="X10" s="98">
        <v>0.25</v>
      </c>
    </row>
    <row r="11" spans="2:24" ht="15.75" thickBot="1" x14ac:dyDescent="0.3">
      <c r="B11" s="395" t="s">
        <v>441</v>
      </c>
      <c r="C11" s="396"/>
      <c r="D11" s="224"/>
      <c r="E11" s="395" t="s">
        <v>442</v>
      </c>
      <c r="F11" s="396"/>
      <c r="G11" s="224"/>
      <c r="H11" s="224"/>
      <c r="I11" s="224"/>
      <c r="S11" s="221" t="s">
        <v>572</v>
      </c>
      <c r="T11" s="144">
        <v>0</v>
      </c>
      <c r="W11" s="221" t="s">
        <v>6</v>
      </c>
      <c r="X11" s="98">
        <v>0.6</v>
      </c>
    </row>
    <row r="12" spans="2:24" ht="15.75" thickBot="1" x14ac:dyDescent="0.3">
      <c r="B12" s="263" t="s">
        <v>423</v>
      </c>
      <c r="C12" s="143">
        <v>647.75984559465439</v>
      </c>
      <c r="D12" s="8"/>
      <c r="E12" s="263" t="s">
        <v>423</v>
      </c>
      <c r="F12" s="143">
        <v>1204.0040287875099</v>
      </c>
      <c r="G12" s="224"/>
      <c r="H12" s="395" t="s">
        <v>558</v>
      </c>
      <c r="I12" s="396"/>
      <c r="S12" s="221" t="s">
        <v>573</v>
      </c>
      <c r="T12" s="144">
        <v>1</v>
      </c>
      <c r="W12" s="221" t="s">
        <v>447</v>
      </c>
      <c r="X12" s="98">
        <v>0.45</v>
      </c>
    </row>
    <row r="13" spans="2:24" x14ac:dyDescent="0.25">
      <c r="B13" s="264" t="s">
        <v>424</v>
      </c>
      <c r="C13" s="144">
        <v>566.19839541886518</v>
      </c>
      <c r="D13" s="8"/>
      <c r="E13" s="264" t="s">
        <v>424</v>
      </c>
      <c r="F13" s="144">
        <v>1021.2881543713568</v>
      </c>
      <c r="G13" s="224"/>
      <c r="H13" s="269" t="s">
        <v>559</v>
      </c>
      <c r="I13" s="270" t="s">
        <v>432</v>
      </c>
      <c r="S13" s="221" t="s">
        <v>574</v>
      </c>
      <c r="T13" s="144">
        <v>1</v>
      </c>
      <c r="W13" s="221" t="s">
        <v>5</v>
      </c>
      <c r="X13" s="98">
        <v>0.7</v>
      </c>
    </row>
    <row r="14" spans="2:24" ht="15.75" thickBot="1" x14ac:dyDescent="0.3">
      <c r="B14" s="266" t="s">
        <v>425</v>
      </c>
      <c r="C14" s="144">
        <v>579.72771203590628</v>
      </c>
      <c r="D14" s="8"/>
      <c r="E14" s="266" t="s">
        <v>425</v>
      </c>
      <c r="F14" s="144">
        <v>954.69307257763091</v>
      </c>
      <c r="G14" s="224"/>
      <c r="H14" s="271" t="s">
        <v>560</v>
      </c>
      <c r="I14" s="272">
        <v>33.496000000000002</v>
      </c>
      <c r="S14" s="221" t="s">
        <v>577</v>
      </c>
      <c r="T14" s="144">
        <v>1</v>
      </c>
      <c r="W14" s="221" t="s">
        <v>445</v>
      </c>
      <c r="X14" s="98">
        <v>0.52500000000000002</v>
      </c>
    </row>
    <row r="15" spans="2:24" ht="15.75" thickBot="1" x14ac:dyDescent="0.3">
      <c r="B15" s="267" t="s">
        <v>426</v>
      </c>
      <c r="C15" s="144">
        <v>494.04788180182089</v>
      </c>
      <c r="D15" s="8"/>
      <c r="E15" s="267" t="s">
        <v>426</v>
      </c>
      <c r="F15" s="144">
        <v>512.88727994083536</v>
      </c>
      <c r="G15" s="224"/>
      <c r="H15" s="224"/>
      <c r="I15" s="224"/>
      <c r="S15" s="221" t="s">
        <v>585</v>
      </c>
      <c r="T15" s="144">
        <f>I14-2</f>
        <v>31.496000000000002</v>
      </c>
      <c r="W15" s="223" t="s">
        <v>448</v>
      </c>
      <c r="X15" s="228">
        <v>0.6</v>
      </c>
    </row>
    <row r="16" spans="2:24" ht="15.75" thickBot="1" x14ac:dyDescent="0.3">
      <c r="B16" s="268" t="s">
        <v>427</v>
      </c>
      <c r="C16" s="265">
        <v>517.75923592469212</v>
      </c>
      <c r="D16" s="8"/>
      <c r="E16" s="268" t="s">
        <v>427</v>
      </c>
      <c r="F16" s="265">
        <v>802.64598582964049</v>
      </c>
      <c r="G16" s="224"/>
      <c r="H16" s="224"/>
      <c r="I16" s="224"/>
      <c r="S16" s="221" t="s">
        <v>579</v>
      </c>
      <c r="T16" s="144">
        <v>1</v>
      </c>
    </row>
    <row r="17" spans="2:24" x14ac:dyDescent="0.25">
      <c r="B17" s="224"/>
      <c r="C17" s="224"/>
      <c r="D17" s="224"/>
      <c r="E17" s="224"/>
      <c r="F17" s="224"/>
      <c r="G17" s="224"/>
      <c r="H17" s="224"/>
      <c r="I17" s="224"/>
      <c r="S17" s="221" t="s">
        <v>580</v>
      </c>
      <c r="T17" s="144">
        <v>1</v>
      </c>
    </row>
    <row r="18" spans="2:24" x14ac:dyDescent="0.25">
      <c r="B18" s="224"/>
      <c r="C18" s="224"/>
      <c r="D18" s="224"/>
      <c r="E18" s="224"/>
      <c r="F18" s="224"/>
      <c r="G18" s="224"/>
      <c r="H18" s="224"/>
      <c r="I18" s="224"/>
      <c r="S18" s="221" t="s">
        <v>582</v>
      </c>
      <c r="T18" s="144">
        <v>1</v>
      </c>
    </row>
    <row r="19" spans="2:24" x14ac:dyDescent="0.25">
      <c r="B19" s="224"/>
      <c r="C19" s="224"/>
      <c r="D19" s="224"/>
      <c r="E19" s="224"/>
      <c r="F19" s="224"/>
      <c r="G19" s="224"/>
      <c r="H19" s="224"/>
      <c r="I19" s="224"/>
      <c r="S19" s="221" t="s">
        <v>583</v>
      </c>
      <c r="T19" s="144">
        <v>1</v>
      </c>
    </row>
    <row r="20" spans="2:24" x14ac:dyDescent="0.25">
      <c r="S20" s="221" t="s">
        <v>632</v>
      </c>
      <c r="T20" s="144" t="s">
        <v>633</v>
      </c>
    </row>
    <row r="21" spans="2:24" ht="15.75" thickBot="1" x14ac:dyDescent="0.3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S21" s="221" t="s">
        <v>634</v>
      </c>
      <c r="T21" s="144">
        <v>0</v>
      </c>
    </row>
    <row r="22" spans="2:24" ht="15.75" thickBot="1" x14ac:dyDescent="0.3">
      <c r="B22" s="354" t="s">
        <v>433</v>
      </c>
      <c r="C22" s="355"/>
      <c r="D22" s="355"/>
      <c r="E22" s="355"/>
      <c r="F22" s="355"/>
      <c r="G22" s="355"/>
      <c r="H22" s="355"/>
      <c r="I22" s="355"/>
      <c r="J22" s="355"/>
      <c r="K22" s="355"/>
      <c r="L22" s="355"/>
      <c r="M22" s="355"/>
      <c r="N22" s="356"/>
      <c r="S22" s="221" t="s">
        <v>635</v>
      </c>
      <c r="T22" s="144">
        <v>0</v>
      </c>
      <c r="U22" s="333"/>
      <c r="V22" s="333"/>
      <c r="W22" s="333"/>
      <c r="X22" s="333"/>
    </row>
    <row r="23" spans="2:24" ht="15.75" thickBot="1" x14ac:dyDescent="0.3">
      <c r="B23" s="392"/>
      <c r="C23" s="411"/>
      <c r="D23" s="393"/>
      <c r="E23" s="401" t="s">
        <v>423</v>
      </c>
      <c r="F23" s="402"/>
      <c r="G23" s="403" t="s">
        <v>424</v>
      </c>
      <c r="H23" s="404"/>
      <c r="I23" s="405" t="s">
        <v>61</v>
      </c>
      <c r="J23" s="406"/>
      <c r="K23" s="397" t="s">
        <v>426</v>
      </c>
      <c r="L23" s="398"/>
      <c r="M23" s="399" t="s">
        <v>427</v>
      </c>
      <c r="N23" s="400"/>
      <c r="S23" s="221" t="s">
        <v>636</v>
      </c>
      <c r="T23" s="302">
        <f>D45</f>
        <v>0.38535924062681909</v>
      </c>
    </row>
    <row r="24" spans="2:24" x14ac:dyDescent="0.25">
      <c r="B24" s="273" t="s">
        <v>3</v>
      </c>
      <c r="C24" s="274" t="s">
        <v>60</v>
      </c>
      <c r="D24" s="290" t="s">
        <v>13</v>
      </c>
      <c r="E24" s="29" t="s">
        <v>439</v>
      </c>
      <c r="F24" s="143" t="s">
        <v>440</v>
      </c>
      <c r="G24" s="29" t="s">
        <v>439</v>
      </c>
      <c r="H24" s="143" t="s">
        <v>440</v>
      </c>
      <c r="I24" s="29" t="s">
        <v>439</v>
      </c>
      <c r="J24" s="143" t="s">
        <v>440</v>
      </c>
      <c r="K24" s="29" t="s">
        <v>439</v>
      </c>
      <c r="L24" s="143" t="s">
        <v>440</v>
      </c>
      <c r="M24" s="29" t="s">
        <v>439</v>
      </c>
      <c r="N24" s="143" t="s">
        <v>440</v>
      </c>
      <c r="S24" s="221" t="s">
        <v>581</v>
      </c>
      <c r="T24" s="144">
        <v>0</v>
      </c>
      <c r="U24" s="8"/>
      <c r="V24" s="8"/>
      <c r="W24" s="8"/>
      <c r="X24" s="8"/>
    </row>
    <row r="25" spans="2:24" x14ac:dyDescent="0.25">
      <c r="B25" s="10">
        <v>1</v>
      </c>
      <c r="C25" s="225" t="s">
        <v>0</v>
      </c>
      <c r="D25" s="291" t="s">
        <v>16</v>
      </c>
      <c r="E25" s="221">
        <f>$X$7*DLShear_55</f>
        <v>-24.158031990566155</v>
      </c>
      <c r="F25" s="98">
        <f>$X$7*DLMoment_55</f>
        <v>-537.56452785407805</v>
      </c>
      <c r="G25" s="221">
        <f>$X$7*DLShear_55</f>
        <v>-24.158031990566155</v>
      </c>
      <c r="H25" s="98">
        <f>$X$7*DLMoment_55</f>
        <v>-537.56452785407805</v>
      </c>
      <c r="I25" s="221">
        <f>$X$7*DLShear_55</f>
        <v>-24.158031990566155</v>
      </c>
      <c r="J25" s="98">
        <f>$X$7*DLMoment_55</f>
        <v>-537.56452785407805</v>
      </c>
      <c r="K25" s="221">
        <f>$X$7*DLShear_55</f>
        <v>-24.158031990566155</v>
      </c>
      <c r="L25" s="98">
        <f>$X$7*DLMoment_55</f>
        <v>-537.56452785407805</v>
      </c>
      <c r="M25" s="221">
        <f>$X$7*DLShear_55</f>
        <v>-24.158031990566155</v>
      </c>
      <c r="N25" s="98">
        <f>$X$7*DLMoment_55</f>
        <v>-537.56452785407805</v>
      </c>
      <c r="S25" s="221" t="s">
        <v>584</v>
      </c>
      <c r="T25" s="144">
        <v>0</v>
      </c>
    </row>
    <row r="26" spans="2:24" x14ac:dyDescent="0.25">
      <c r="B26" s="10">
        <v>2</v>
      </c>
      <c r="C26" s="225" t="s">
        <v>20</v>
      </c>
      <c r="D26" s="291" t="s">
        <v>16</v>
      </c>
      <c r="E26" s="221">
        <f>$X$7*DLShear_55+$X$8*SLShear_55</f>
        <v>-71.851886411948158</v>
      </c>
      <c r="F26" s="98">
        <f>$X$7*DLMoment_55+$X$8*SLMoment_55</f>
        <v>-1598.8481764386704</v>
      </c>
      <c r="G26" s="221">
        <f>$X$7*DLShear_55+$X$8*SLShear_55</f>
        <v>-71.851886411948158</v>
      </c>
      <c r="H26" s="98">
        <f>$X$7*DLMoment_55+$X$8*SLMoment_55</f>
        <v>-1598.8481764386704</v>
      </c>
      <c r="I26" s="221">
        <f>$X$7*DLShear_55+$X$8*SLShear_55</f>
        <v>-71.851886411948158</v>
      </c>
      <c r="J26" s="98">
        <f>$X$7*DLMoment_55+$X$8*SLMoment_55</f>
        <v>-1598.8481764386704</v>
      </c>
      <c r="K26" s="221">
        <f>$X$7*DLShear_55+$X$8*SLShear_55</f>
        <v>-71.851886411948158</v>
      </c>
      <c r="L26" s="98">
        <f>$X$7*DLMoment_55+$X$8*SLMoment_55</f>
        <v>-1598.8481764386704</v>
      </c>
      <c r="M26" s="221">
        <f>$X$7*DLShear_55+$X$8*SLShear_55</f>
        <v>-71.851886411948158</v>
      </c>
      <c r="N26" s="98">
        <f>$X$7*DLMoment_55+$X$8*SLMoment_55</f>
        <v>-1598.8481764386704</v>
      </c>
      <c r="S26" s="221" t="s">
        <v>637</v>
      </c>
      <c r="T26" s="302">
        <f>D47</f>
        <v>1.5988481764386704</v>
      </c>
    </row>
    <row r="27" spans="2:24" x14ac:dyDescent="0.25">
      <c r="B27" s="10">
        <v>3</v>
      </c>
      <c r="C27" s="225" t="s">
        <v>21</v>
      </c>
      <c r="D27" s="291" t="s">
        <v>16</v>
      </c>
      <c r="E27" s="221">
        <f>$X$7*DLShear_55+$X$11*U_Z1_S_55</f>
        <v>364.49787536622648</v>
      </c>
      <c r="F27" s="98">
        <f>$X$7*DLMoment_55+$X$11*U_Z1_M_55</f>
        <v>184.83788941842784</v>
      </c>
      <c r="G27" s="221">
        <f>$X$7*DLShear_55+$X$11*U_Z2_S_55</f>
        <v>315.56100526075295</v>
      </c>
      <c r="H27" s="98">
        <f>$X$7*DLMoment_55+$X$11*U_Z2_M_55</f>
        <v>75.208364768736033</v>
      </c>
      <c r="I27" s="221">
        <f>$X$7*DLShear_55+$X$11*U_Z3_S_55</f>
        <v>323.67859523097763</v>
      </c>
      <c r="J27" s="98">
        <f>$X$7*DLMoment_55+$X$11*U_Z3_M_55</f>
        <v>35.251315692500498</v>
      </c>
      <c r="K27" s="221">
        <f>$X$7*DLShear_55+$X$11*U_Z4_S_55</f>
        <v>272.27069709052637</v>
      </c>
      <c r="L27" s="98">
        <f>$X$7*DLMoment_55+$X$11*U_Z4_M_55</f>
        <v>-229.83215988957687</v>
      </c>
      <c r="M27" s="221">
        <f>$X$7*DLShear_55+$X$11*U_Z5_S_55</f>
        <v>286.49750956424913</v>
      </c>
      <c r="N27" s="98">
        <f>$X$7*DLMoment_55+$X$11*U_Z5_M_55</f>
        <v>-55.976936356293777</v>
      </c>
      <c r="S27" s="221" t="s">
        <v>603</v>
      </c>
      <c r="T27" s="302">
        <f>D43</f>
        <v>0.38535924062681909</v>
      </c>
    </row>
    <row r="28" spans="2:24" x14ac:dyDescent="0.25">
      <c r="B28" s="10">
        <v>4</v>
      </c>
      <c r="C28" s="225" t="s">
        <v>22</v>
      </c>
      <c r="D28" s="291" t="s">
        <v>16</v>
      </c>
      <c r="E28" s="221">
        <f>$X$7*DLShear_55+$X$11*D_Z1_S_55</f>
        <v>-385.35924062681909</v>
      </c>
      <c r="F28" s="98">
        <f>$X$7*DLMoment_55+$X$11*D_Z1_M_55</f>
        <v>-1314.8763425676634</v>
      </c>
      <c r="G28" s="221">
        <f>$X$7*DLShear_55+$X$11*D_Z2_S_55</f>
        <v>-330.54447830197319</v>
      </c>
      <c r="H28" s="98">
        <f>$X$7*DLMoment_55+$X$11*D_Z2_M_55</f>
        <v>-1217.0026023567161</v>
      </c>
      <c r="I28" s="221">
        <f>$X$7*DLShear_55+$X$11*D_Z3_S_55</f>
        <v>-310.56595376385542</v>
      </c>
      <c r="J28" s="98">
        <f>$X$7*DLMoment_55+$X$11*D_Z3_M_55</f>
        <v>-1233.2377822971657</v>
      </c>
      <c r="K28" s="221">
        <f>$X$7*DLShear_55+$X$11*D_Z4_S_55</f>
        <v>-287.34880524797967</v>
      </c>
      <c r="L28" s="98">
        <f>$X$7*DLMoment_55+$X$11*D_Z4_M_55</f>
        <v>-1130.421986016263</v>
      </c>
      <c r="M28" s="221">
        <f>$X$7*DLShear_55+$X$11*D_Z5_S_55</f>
        <v>-264.95182773945828</v>
      </c>
      <c r="N28" s="98">
        <f>$X$7*DLMoment_55+$X$11*D_Z5_M_55</f>
        <v>-1140.3691882336627</v>
      </c>
      <c r="S28" s="221" t="s">
        <v>598</v>
      </c>
      <c r="T28" s="302">
        <f>D44</f>
        <v>1.5988481764386704</v>
      </c>
    </row>
    <row r="29" spans="2:24" x14ac:dyDescent="0.25">
      <c r="B29" s="10">
        <v>5</v>
      </c>
      <c r="C29" s="225" t="s">
        <v>35</v>
      </c>
      <c r="D29" s="291" t="s">
        <v>16</v>
      </c>
      <c r="E29" s="221">
        <f>$X$7*DLShear_55+$X$9*SLShear_55</f>
        <v>-59.928422806602654</v>
      </c>
      <c r="F29" s="98">
        <f>$X$7*DLMoment_55+$X$9*SLMoment_55</f>
        <v>-1333.5272642925224</v>
      </c>
      <c r="G29" s="221">
        <f>$X$7*DLShear_55+$X$9*SLShear_55</f>
        <v>-59.928422806602654</v>
      </c>
      <c r="H29" s="98">
        <f>$X$7*DLMoment_55+$X$9*SLMoment_55</f>
        <v>-1333.5272642925224</v>
      </c>
      <c r="I29" s="221">
        <f>$X$7*DLShear_55+$X$9*SLShear_55</f>
        <v>-59.928422806602654</v>
      </c>
      <c r="J29" s="98">
        <f>$X$7*DLMoment_55+$X$9*SLMoment_55</f>
        <v>-1333.5272642925224</v>
      </c>
      <c r="K29" s="221">
        <f>$X$7*DLShear_55+$X$9*SLShear_55</f>
        <v>-59.928422806602654</v>
      </c>
      <c r="L29" s="98">
        <f>$X$7*DLMoment_55+$X$9*SLMoment_55</f>
        <v>-1333.5272642925224</v>
      </c>
      <c r="M29" s="221">
        <f>$X$7*DLShear_55+$X$9*SLShear_55</f>
        <v>-59.928422806602654</v>
      </c>
      <c r="N29" s="98">
        <f>$X$7*DLMoment_55+$X$9*SLMoment_55</f>
        <v>-1333.5272642925224</v>
      </c>
      <c r="S29" s="221" t="s">
        <v>609</v>
      </c>
      <c r="T29" s="302">
        <f>D46</f>
        <v>0.38535924062681909</v>
      </c>
    </row>
    <row r="30" spans="2:24" ht="15.75" thickBot="1" x14ac:dyDescent="0.3">
      <c r="B30" s="10">
        <v>6</v>
      </c>
      <c r="C30" s="225" t="s">
        <v>36</v>
      </c>
      <c r="D30" s="291" t="s">
        <v>16</v>
      </c>
      <c r="E30" s="221">
        <f>$X$7*DLShear_55+$X$9*SLShear_55</f>
        <v>-59.928422806602654</v>
      </c>
      <c r="F30" s="98">
        <f>$X$7*DLMoment_55+$X$9*SLMoment_55</f>
        <v>-1333.5272642925224</v>
      </c>
      <c r="G30" s="221">
        <f>$X$7*DLShear_55+$X$9*SLShear_55</f>
        <v>-59.928422806602654</v>
      </c>
      <c r="H30" s="98">
        <f>$X$7*DLMoment_55+$X$9*SLMoment_55</f>
        <v>-1333.5272642925224</v>
      </c>
      <c r="I30" s="221">
        <f>$X$7*DLShear_55+$X$9*SLShear_55</f>
        <v>-59.928422806602654</v>
      </c>
      <c r="J30" s="98">
        <f>$X$7*DLMoment_55+$X$9*SLMoment_55</f>
        <v>-1333.5272642925224</v>
      </c>
      <c r="K30" s="221">
        <f>$X$7*DLShear_55+$X$9*SLShear_55</f>
        <v>-59.928422806602654</v>
      </c>
      <c r="L30" s="98">
        <f>$X$7*DLMoment_55+$X$9*SLMoment_55</f>
        <v>-1333.5272642925224</v>
      </c>
      <c r="M30" s="221">
        <f>$X$7*DLShear_55+$X$9*SLShear_55</f>
        <v>-59.928422806602654</v>
      </c>
      <c r="N30" s="98">
        <f>$X$7*DLMoment_55+$X$9*SLMoment_55</f>
        <v>-1333.5272642925224</v>
      </c>
      <c r="S30" s="223" t="s">
        <v>543</v>
      </c>
      <c r="T30" s="265">
        <v>0</v>
      </c>
    </row>
    <row r="31" spans="2:24" ht="15.75" thickBot="1" x14ac:dyDescent="0.3">
      <c r="B31" s="10">
        <v>7</v>
      </c>
      <c r="C31" s="225" t="s">
        <v>33</v>
      </c>
      <c r="D31" s="291" t="s">
        <v>16</v>
      </c>
      <c r="E31" s="221">
        <f>$X$7*DLShear_55+$X$12*U_Z1_S_55+$X$10*SLShear_55</f>
        <v>255.41043492168285</v>
      </c>
      <c r="F31" s="98">
        <f>$X$7*DLMoment_55+$X$12*U_Z1_M_55+$X$10*SLMoment_55</f>
        <v>-261.0836270458467</v>
      </c>
      <c r="G31" s="221">
        <f>$X$7*DLShear_55+$X$12*U_Z2_S_55+$X$10*SLShear_55</f>
        <v>218.7077823425777</v>
      </c>
      <c r="H31" s="98">
        <f>$X$7*DLMoment_55+$X$12*U_Z2_M_55+$X$10*SLMoment_55</f>
        <v>-343.30577053311561</v>
      </c>
      <c r="I31" s="221">
        <f>$X$7*DLShear_55+$X$12*U_Z3_S_55+$X$10*SLShear_55</f>
        <v>224.79597482024622</v>
      </c>
      <c r="J31" s="98">
        <f>$X$7*DLMoment_55+$X$12*U_Z3_M_55+$X$10*SLMoment_55</f>
        <v>-373.2735573402922</v>
      </c>
      <c r="K31" s="221">
        <f>$X$7*DLShear_55+$X$12*U_Z4_S_55+$X$10*SLShear_55</f>
        <v>186.24005121490777</v>
      </c>
      <c r="L31" s="98">
        <f>$X$7*DLMoment_55+$X$12*U_Z4_M_55+$X$10*SLMoment_55</f>
        <v>-572.08616402685016</v>
      </c>
      <c r="M31" s="221">
        <f>$X$7*DLShear_55+$X$12*U_Z5_S_55+$X$10*SLShear_55</f>
        <v>196.91016057019982</v>
      </c>
      <c r="N31" s="98">
        <f>$X$7*DLMoment_55+$X$12*U_Z5_M_55+$X$10*SLMoment_55</f>
        <v>-441.69474637688791</v>
      </c>
      <c r="S31" s="390" t="s">
        <v>638</v>
      </c>
      <c r="T31" s="391"/>
    </row>
    <row r="32" spans="2:24" x14ac:dyDescent="0.25">
      <c r="B32" s="10">
        <v>8</v>
      </c>
      <c r="C32" s="225" t="s">
        <v>34</v>
      </c>
      <c r="D32" s="291" t="s">
        <v>16</v>
      </c>
      <c r="E32" s="221">
        <f>$X$7*DLShear_55+$X$12*D_Z1_S_55+$X$10*SLShear_55</f>
        <v>-306.98240207310135</v>
      </c>
      <c r="F32" s="98">
        <f>$X$7*DLMoment_55+$X$12*D_Z1_M_55+$X$10*SLMoment_55</f>
        <v>-1385.869301035415</v>
      </c>
      <c r="G32" s="221">
        <f>$X$7*DLShear_55+$X$12*D_Z2_S_55+$X$10*SLShear_55</f>
        <v>-265.8713303294669</v>
      </c>
      <c r="H32" s="98">
        <f>$X$7*DLMoment_55+$X$12*D_Z2_M_55+$X$10*SLMoment_55</f>
        <v>-1312.463995877205</v>
      </c>
      <c r="I32" s="221">
        <f>$X$7*DLShear_55+$X$12*D_Z3_S_55+$X$10*SLShear_55</f>
        <v>-250.8874369258786</v>
      </c>
      <c r="J32" s="98">
        <f>$X$7*DLMoment_55+$X$12*D_Z3_M_55+$X$10*SLMoment_55</f>
        <v>-1324.6403808325417</v>
      </c>
      <c r="K32" s="221">
        <f>$X$7*DLShear_55+$X$12*D_Z4_S_55+$X$10*SLShear_55</f>
        <v>-233.47457553897181</v>
      </c>
      <c r="L32" s="98">
        <f>$X$7*DLMoment_55+$X$12*D_Z4_M_55+$X$10*SLMoment_55</f>
        <v>-1247.5285336218649</v>
      </c>
      <c r="M32" s="221">
        <f>$X$7*DLShear_55+$X$12*D_Z5_S_55+$X$10*SLShear_55</f>
        <v>-216.67684240758075</v>
      </c>
      <c r="N32" s="98">
        <f>$X$7*DLMoment_55+$X$12*D_Z5_M_55+$X$10*SLMoment_55</f>
        <v>-1254.9889352849145</v>
      </c>
      <c r="S32" s="217" t="s">
        <v>636</v>
      </c>
      <c r="T32" s="270" t="s">
        <v>639</v>
      </c>
    </row>
    <row r="33" spans="2:20" x14ac:dyDescent="0.25">
      <c r="B33" s="10">
        <v>9</v>
      </c>
      <c r="C33" s="225" t="s">
        <v>23</v>
      </c>
      <c r="D33" s="291" t="s">
        <v>16</v>
      </c>
      <c r="E33" s="221">
        <f>$X$15*DLShear_55+$X$11*U_Z1_S_55</f>
        <v>374.16108816245293</v>
      </c>
      <c r="F33" s="98">
        <f>$X$15*DLMoment_55+$X$11*U_Z1_M_55</f>
        <v>399.86370056005904</v>
      </c>
      <c r="G33" s="221">
        <f>$X$15*DLShear_55+$X$11*U_Z2_S_55</f>
        <v>325.2242180569794</v>
      </c>
      <c r="H33" s="98">
        <f>$X$15*DLMoment_55+$X$11*U_Z2_M_55</f>
        <v>290.23417591036724</v>
      </c>
      <c r="I33" s="221">
        <f>$X$15*DLShear_55+$X$11*U_Z3_S_55</f>
        <v>333.34180802720408</v>
      </c>
      <c r="J33" s="98">
        <f>$X$15*DLMoment_55+$X$11*U_Z3_M_55</f>
        <v>250.27712683413171</v>
      </c>
      <c r="K33" s="221">
        <f>$X$15*DLShear_55+$X$11*U_Z4_S_55</f>
        <v>281.93390988675282</v>
      </c>
      <c r="L33" s="98">
        <f>$X$15*DLMoment_55+$X$11*U_Z4_M_55</f>
        <v>-14.806348747945663</v>
      </c>
      <c r="M33" s="221">
        <f>$X$15*DLShear_55+$X$11*U_Z5_S_55</f>
        <v>296.16072236047557</v>
      </c>
      <c r="N33" s="98">
        <f>$X$15*DLMoment_55+$X$11*U_Z5_M_55</f>
        <v>159.04887478533743</v>
      </c>
      <c r="S33" s="292" t="s">
        <v>637</v>
      </c>
      <c r="T33" s="309" t="s">
        <v>639</v>
      </c>
    </row>
    <row r="34" spans="2:20" ht="15.75" thickBot="1" x14ac:dyDescent="0.3">
      <c r="B34" s="13">
        <v>10</v>
      </c>
      <c r="C34" s="229" t="s">
        <v>24</v>
      </c>
      <c r="D34" s="293" t="s">
        <v>16</v>
      </c>
      <c r="E34" s="223">
        <f>$X$15*DLShear_55+$X$11*D_Z1_S_55</f>
        <v>-375.69602783059264</v>
      </c>
      <c r="F34" s="228">
        <f>$X$15*DLMoment_55+$X$11*D_Z1_M_55</f>
        <v>-1099.8505314260321</v>
      </c>
      <c r="G34" s="223">
        <f>$X$15*DLShear_55+$X$11*D_Z2_S_55</f>
        <v>-320.88126550574674</v>
      </c>
      <c r="H34" s="228">
        <f>$X$15*DLMoment_55+$X$11*D_Z2_M_55</f>
        <v>-1001.9767912150851</v>
      </c>
      <c r="I34" s="223">
        <f>$X$15*DLShear_55+$X$11*D_Z3_S_55</f>
        <v>-300.90274096762897</v>
      </c>
      <c r="J34" s="228">
        <f>$X$15*DLMoment_55+$X$11*D_Z3_M_55</f>
        <v>-1018.2119711555345</v>
      </c>
      <c r="K34" s="223">
        <f>$X$15*DLShear_55+$X$11*D_Z4_S_55</f>
        <v>-277.68559245175322</v>
      </c>
      <c r="L34" s="228">
        <f>$X$15*DLMoment_55+$X$11*D_Z4_M_55</f>
        <v>-915.39617487463192</v>
      </c>
      <c r="M34" s="223">
        <f>$X$15*DLShear_55+$X$11*D_Z5_S_55</f>
        <v>-255.28861494323183</v>
      </c>
      <c r="N34" s="228">
        <f>$X$15*DLMoment_55+$X$11*D_Z5_M_55</f>
        <v>-925.34337709203146</v>
      </c>
      <c r="S34" s="292" t="s">
        <v>603</v>
      </c>
      <c r="T34" s="310" t="s">
        <v>639</v>
      </c>
    </row>
    <row r="35" spans="2:20" ht="15.75" thickBot="1" x14ac:dyDescent="0.3">
      <c r="B35" s="422" t="s">
        <v>476</v>
      </c>
      <c r="C35" s="423"/>
      <c r="D35" s="423"/>
      <c r="E35" s="277" cm="1">
        <f t="array" ref="E35">MAX(ABS(E25:E34))</f>
        <v>385.35924062681909</v>
      </c>
      <c r="F35" s="278" cm="1">
        <f t="array" ref="F35">MAX(ABS(F25:F34))</f>
        <v>1598.8481764386704</v>
      </c>
      <c r="G35" s="277" cm="1">
        <f t="array" ref="G35">MAX(ABS(G25:G34))</f>
        <v>330.54447830197319</v>
      </c>
      <c r="H35" s="278" cm="1">
        <f t="array" ref="H35">MAX(ABS(H25:H34))</f>
        <v>1598.8481764386704</v>
      </c>
      <c r="I35" s="277" cm="1">
        <f t="array" ref="I35">MAX(ABS(I25:I34))</f>
        <v>333.34180802720408</v>
      </c>
      <c r="J35" s="278" cm="1">
        <f t="array" ref="J35">MAX(ABS(J25:J34))</f>
        <v>1598.8481764386704</v>
      </c>
      <c r="K35" s="277" cm="1">
        <f t="array" ref="K35">MAX(ABS(K25:K34))</f>
        <v>287.34880524797967</v>
      </c>
      <c r="L35" s="278" cm="1">
        <f t="array" ref="L35">MAX(ABS(L25:L34))</f>
        <v>1598.8481764386704</v>
      </c>
      <c r="M35" s="277" cm="1">
        <f t="array" ref="M35">MAX(ABS(M25:M34))</f>
        <v>296.16072236047557</v>
      </c>
      <c r="N35" s="278" cm="1">
        <f t="array" ref="N35">MAX(ABS(N25:N34))</f>
        <v>1598.8481764386704</v>
      </c>
      <c r="S35" s="292" t="s">
        <v>598</v>
      </c>
      <c r="T35" s="309" t="s">
        <v>639</v>
      </c>
    </row>
    <row r="36" spans="2:20" ht="15.75" thickBot="1" x14ac:dyDescent="0.3">
      <c r="S36" s="296" t="s">
        <v>609</v>
      </c>
      <c r="T36" s="272" t="s">
        <v>639</v>
      </c>
    </row>
    <row r="40" spans="2:20" ht="15.75" thickBot="1" x14ac:dyDescent="0.3"/>
    <row r="41" spans="2:20" ht="15.75" thickBot="1" x14ac:dyDescent="0.3">
      <c r="B41" s="392" t="s">
        <v>561</v>
      </c>
      <c r="C41" s="411"/>
      <c r="D41" s="411"/>
      <c r="E41" s="411"/>
      <c r="F41" s="411"/>
      <c r="G41" s="393"/>
    </row>
    <row r="42" spans="2:20" ht="15.75" thickBot="1" x14ac:dyDescent="0.3">
      <c r="B42" s="392"/>
      <c r="C42" s="393"/>
      <c r="D42" s="279" t="s">
        <v>562</v>
      </c>
      <c r="E42" s="279" t="s">
        <v>563</v>
      </c>
      <c r="F42" s="279" t="s">
        <v>564</v>
      </c>
      <c r="G42" s="279" t="s">
        <v>565</v>
      </c>
    </row>
    <row r="43" spans="2:20" ht="15.75" thickBot="1" x14ac:dyDescent="0.3">
      <c r="B43" s="412" t="s">
        <v>566</v>
      </c>
      <c r="C43" s="280" t="s">
        <v>567</v>
      </c>
      <c r="D43" s="304">
        <f>MAX(E35,G35,I35,K35,M35)/1000</f>
        <v>0.38535924062681909</v>
      </c>
      <c r="E43" s="244" t="str">
        <f>T34</f>
        <v>XX</v>
      </c>
      <c r="F43" s="305" t="e">
        <f>D43/E43</f>
        <v>#VALUE!</v>
      </c>
      <c r="G43" s="282" t="e">
        <f t="shared" ref="G43:G51" si="0">IF(F43&lt;=1,"PASS","FAIL")</f>
        <v>#VALUE!</v>
      </c>
    </row>
    <row r="44" spans="2:20" ht="15.75" thickBot="1" x14ac:dyDescent="0.3">
      <c r="B44" s="413"/>
      <c r="C44" s="280" t="s">
        <v>568</v>
      </c>
      <c r="D44" s="304">
        <f>MAX(F35,H35,J35,L35,N35)/1000</f>
        <v>1.5988481764386704</v>
      </c>
      <c r="E44" s="306" t="str">
        <f>T35</f>
        <v>XX</v>
      </c>
      <c r="F44" s="305" t="e">
        <f t="shared" ref="F44:F48" si="1">D44/E44</f>
        <v>#VALUE!</v>
      </c>
      <c r="G44" s="282" t="e">
        <f t="shared" si="0"/>
        <v>#VALUE!</v>
      </c>
    </row>
    <row r="45" spans="2:20" ht="15.75" thickBot="1" x14ac:dyDescent="0.3">
      <c r="B45" s="414"/>
      <c r="C45" s="283" t="s">
        <v>570</v>
      </c>
      <c r="D45" s="304">
        <f>MAX(E35,G35,I35,K35,M35)/1000</f>
        <v>0.38535924062681909</v>
      </c>
      <c r="E45" s="244" t="str">
        <f>T32</f>
        <v>XX</v>
      </c>
      <c r="F45" s="305" t="e">
        <f t="shared" si="1"/>
        <v>#VALUE!</v>
      </c>
      <c r="G45" s="282" t="e">
        <f t="shared" si="0"/>
        <v>#VALUE!</v>
      </c>
    </row>
    <row r="46" spans="2:20" ht="15.75" thickBot="1" x14ac:dyDescent="0.3">
      <c r="B46" s="412" t="s">
        <v>571</v>
      </c>
      <c r="C46" s="283" t="s">
        <v>567</v>
      </c>
      <c r="D46" s="304">
        <f>MAX(E35,G35,I35,K35,M35)/1000</f>
        <v>0.38535924062681909</v>
      </c>
      <c r="E46" s="244" t="str">
        <f>T36</f>
        <v>XX</v>
      </c>
      <c r="F46" s="305" t="e">
        <f t="shared" si="1"/>
        <v>#VALUE!</v>
      </c>
      <c r="G46" s="282" t="e">
        <f t="shared" si="0"/>
        <v>#VALUE!</v>
      </c>
    </row>
    <row r="47" spans="2:20" ht="15.75" thickBot="1" x14ac:dyDescent="0.3">
      <c r="B47" s="413"/>
      <c r="C47" s="283" t="s">
        <v>568</v>
      </c>
      <c r="D47" s="307">
        <f>MAX(F35,H35,J35,L35,N35)/1000</f>
        <v>1.5988481764386704</v>
      </c>
      <c r="E47" s="306" t="str">
        <f>T33</f>
        <v>XX</v>
      </c>
      <c r="F47" s="308" t="e">
        <f>D47/E47</f>
        <v>#VALUE!</v>
      </c>
      <c r="G47" s="284" t="e">
        <f t="shared" si="0"/>
        <v>#VALUE!</v>
      </c>
    </row>
    <row r="48" spans="2:20" ht="15.75" thickBot="1" x14ac:dyDescent="0.3">
      <c r="B48" s="414"/>
      <c r="C48" s="283" t="s">
        <v>570</v>
      </c>
      <c r="D48" s="304">
        <f>MAX(E35,G35,I35,K35,M35)/1000</f>
        <v>0.38535924062681909</v>
      </c>
      <c r="E48" s="244" t="str">
        <f>T32</f>
        <v>XX</v>
      </c>
      <c r="F48" s="305" t="e">
        <f t="shared" si="1"/>
        <v>#VALUE!</v>
      </c>
      <c r="G48" s="282" t="e">
        <f t="shared" si="0"/>
        <v>#VALUE!</v>
      </c>
    </row>
    <row r="49" spans="2:20" ht="15.75" thickBot="1" x14ac:dyDescent="0.3">
      <c r="B49" s="412" t="s">
        <v>575</v>
      </c>
      <c r="C49" s="285" t="s">
        <v>576</v>
      </c>
      <c r="D49" s="392"/>
      <c r="E49" s="415"/>
      <c r="F49" s="281" t="e">
        <f>F44+F48+F47</f>
        <v>#VALUE!</v>
      </c>
      <c r="G49" s="282" t="e">
        <f t="shared" si="0"/>
        <v>#VALUE!</v>
      </c>
    </row>
    <row r="50" spans="2:20" x14ac:dyDescent="0.25">
      <c r="B50" s="413"/>
      <c r="C50" s="416" t="s">
        <v>578</v>
      </c>
      <c r="D50" s="418"/>
      <c r="E50" s="419"/>
      <c r="F50" s="286" t="e">
        <f>SQRT((F47)^2+(F43)^2)</f>
        <v>#VALUE!</v>
      </c>
      <c r="G50" s="143" t="e">
        <f t="shared" si="0"/>
        <v>#VALUE!</v>
      </c>
    </row>
    <row r="51" spans="2:20" ht="15.75" thickBot="1" x14ac:dyDescent="0.3">
      <c r="B51" s="414"/>
      <c r="C51" s="417"/>
      <c r="D51" s="420"/>
      <c r="E51" s="421"/>
      <c r="F51" s="287" t="e">
        <f>SQRT((F46)^2+(F44)^2)</f>
        <v>#VALUE!</v>
      </c>
      <c r="G51" s="265" t="e">
        <f t="shared" si="0"/>
        <v>#VALUE!</v>
      </c>
    </row>
    <row r="57" spans="2:20" ht="15.75" thickBot="1" x14ac:dyDescent="0.3">
      <c r="B57" s="394" t="s">
        <v>449</v>
      </c>
      <c r="C57" s="394"/>
      <c r="D57" s="394"/>
      <c r="E57" s="394"/>
      <c r="F57" s="394"/>
      <c r="G57" s="394"/>
      <c r="H57" s="394"/>
      <c r="I57" s="394"/>
      <c r="J57" s="394"/>
      <c r="K57" s="394"/>
      <c r="L57" s="394"/>
      <c r="M57" s="394"/>
      <c r="N57" s="394"/>
    </row>
    <row r="58" spans="2:20" ht="15.75" thickBot="1" x14ac:dyDescent="0.3">
      <c r="B58" s="224"/>
      <c r="C58" s="224"/>
      <c r="D58" s="224"/>
      <c r="E58" s="224"/>
      <c r="F58" s="224"/>
      <c r="G58" s="224"/>
      <c r="H58" s="224"/>
      <c r="I58" s="224"/>
    </row>
    <row r="59" spans="2:20" ht="15.75" thickBot="1" x14ac:dyDescent="0.3">
      <c r="B59" s="354" t="s">
        <v>437</v>
      </c>
      <c r="C59" s="356"/>
      <c r="D59" s="224"/>
      <c r="E59" s="354" t="s">
        <v>438</v>
      </c>
      <c r="F59" s="356"/>
      <c r="G59" s="224"/>
      <c r="H59" s="354" t="s">
        <v>434</v>
      </c>
      <c r="I59" s="356"/>
    </row>
    <row r="60" spans="2:20" x14ac:dyDescent="0.25">
      <c r="B60" s="263" t="s">
        <v>423</v>
      </c>
      <c r="C60" s="143">
        <v>-28.809997192367788</v>
      </c>
      <c r="D60" s="8"/>
      <c r="E60" s="263" t="s">
        <v>423</v>
      </c>
      <c r="F60" s="143">
        <v>-157.77730669885375</v>
      </c>
      <c r="G60" s="224"/>
      <c r="H60" s="29" t="s">
        <v>439</v>
      </c>
      <c r="I60" s="143">
        <v>-83.093957213333326</v>
      </c>
    </row>
    <row r="61" spans="2:20" ht="15.75" thickBot="1" x14ac:dyDescent="0.3">
      <c r="B61" s="264" t="s">
        <v>424</v>
      </c>
      <c r="C61" s="144">
        <v>-29.342872090175955</v>
      </c>
      <c r="D61" s="8"/>
      <c r="E61" s="264" t="s">
        <v>424</v>
      </c>
      <c r="F61" s="144">
        <v>-194.26765296180452</v>
      </c>
      <c r="G61" s="224"/>
      <c r="H61" s="13" t="s">
        <v>440</v>
      </c>
      <c r="I61" s="265">
        <v>-1849.0067359110931</v>
      </c>
    </row>
    <row r="62" spans="2:20" ht="15.75" thickBot="1" x14ac:dyDescent="0.3">
      <c r="B62" s="266" t="s">
        <v>425</v>
      </c>
      <c r="C62" s="144">
        <v>-8.5375826018395902</v>
      </c>
      <c r="D62" s="8"/>
      <c r="E62" s="266" t="s">
        <v>425</v>
      </c>
      <c r="F62" s="144">
        <v>-138.0030142954071</v>
      </c>
      <c r="G62" s="224"/>
      <c r="H62" s="224"/>
      <c r="I62" s="224"/>
      <c r="S62" s="390" t="s">
        <v>631</v>
      </c>
      <c r="T62" s="391"/>
    </row>
    <row r="63" spans="2:20" ht="15.75" thickBot="1" x14ac:dyDescent="0.3">
      <c r="B63" s="267" t="s">
        <v>426</v>
      </c>
      <c r="C63" s="144">
        <v>-12.951176864120303</v>
      </c>
      <c r="D63" s="8"/>
      <c r="E63" s="267" t="s">
        <v>426</v>
      </c>
      <c r="F63" s="144">
        <v>-76.710816810558711</v>
      </c>
      <c r="G63" s="224"/>
      <c r="H63" s="354" t="s">
        <v>435</v>
      </c>
      <c r="I63" s="356"/>
      <c r="S63" s="388" t="s">
        <v>432</v>
      </c>
      <c r="T63" s="389"/>
    </row>
    <row r="64" spans="2:20" ht="15.75" thickBot="1" x14ac:dyDescent="0.3">
      <c r="B64" s="268" t="s">
        <v>427</v>
      </c>
      <c r="C64" s="265">
        <v>-15.175350350623965</v>
      </c>
      <c r="D64" s="8"/>
      <c r="E64" s="268" t="s">
        <v>427</v>
      </c>
      <c r="F64" s="265">
        <v>-76.687648336740963</v>
      </c>
      <c r="G64" s="224"/>
      <c r="H64" s="29" t="s">
        <v>439</v>
      </c>
      <c r="I64" s="143">
        <v>-42.088996599999987</v>
      </c>
      <c r="S64" s="300" t="s">
        <v>378</v>
      </c>
      <c r="T64" s="301">
        <v>60</v>
      </c>
    </row>
    <row r="65" spans="2:20" ht="15.75" thickBot="1" x14ac:dyDescent="0.3">
      <c r="B65" s="224"/>
      <c r="C65" s="224"/>
      <c r="D65" s="224"/>
      <c r="E65" s="224"/>
      <c r="F65" s="224"/>
      <c r="G65" s="224"/>
      <c r="H65" s="13" t="s">
        <v>440</v>
      </c>
      <c r="I65" s="265">
        <v>-936.56435234319963</v>
      </c>
      <c r="S65" s="221" t="s">
        <v>569</v>
      </c>
      <c r="T65" s="144">
        <f>I69-2</f>
        <v>31.496000000000002</v>
      </c>
    </row>
    <row r="66" spans="2:20" ht="15.75" thickBot="1" x14ac:dyDescent="0.3">
      <c r="B66" s="354" t="s">
        <v>441</v>
      </c>
      <c r="C66" s="356"/>
      <c r="D66" s="224"/>
      <c r="E66" s="354" t="s">
        <v>442</v>
      </c>
      <c r="F66" s="356"/>
      <c r="G66" s="224"/>
      <c r="H66" s="224"/>
      <c r="I66" s="224"/>
      <c r="S66" s="221" t="s">
        <v>192</v>
      </c>
      <c r="T66" s="144">
        <f>I69-2</f>
        <v>31.496000000000002</v>
      </c>
    </row>
    <row r="67" spans="2:20" ht="15.75" thickBot="1" x14ac:dyDescent="0.3">
      <c r="B67" s="263" t="s">
        <v>423</v>
      </c>
      <c r="C67" s="143">
        <v>91.74136419982176</v>
      </c>
      <c r="D67" s="8"/>
      <c r="E67" s="263" t="s">
        <v>423</v>
      </c>
      <c r="F67" s="143">
        <v>69.881909152777922</v>
      </c>
      <c r="G67" s="224"/>
      <c r="H67" s="354" t="s">
        <v>558</v>
      </c>
      <c r="I67" s="356"/>
      <c r="S67" s="221" t="s">
        <v>572</v>
      </c>
      <c r="T67" s="144">
        <v>0</v>
      </c>
    </row>
    <row r="68" spans="2:20" x14ac:dyDescent="0.25">
      <c r="B68" s="264" t="s">
        <v>424</v>
      </c>
      <c r="C68" s="144">
        <v>100.59751331665538</v>
      </c>
      <c r="D68" s="8"/>
      <c r="E68" s="264" t="s">
        <v>424</v>
      </c>
      <c r="F68" s="144">
        <v>100.59751331665538</v>
      </c>
      <c r="G68" s="224"/>
      <c r="H68" s="269" t="s">
        <v>586</v>
      </c>
      <c r="I68" s="143" t="str">
        <f>I13</f>
        <v>3.5x0.055</v>
      </c>
      <c r="S68" s="221" t="s">
        <v>573</v>
      </c>
      <c r="T68" s="144">
        <v>1</v>
      </c>
    </row>
    <row r="69" spans="2:20" ht="15.75" thickBot="1" x14ac:dyDescent="0.3">
      <c r="B69" s="266" t="s">
        <v>425</v>
      </c>
      <c r="C69" s="144">
        <v>69.395371202605247</v>
      </c>
      <c r="D69" s="8"/>
      <c r="E69" s="266" t="s">
        <v>425</v>
      </c>
      <c r="F69" s="144">
        <v>16.970907071499319</v>
      </c>
      <c r="G69" s="224"/>
      <c r="H69" s="271" t="s">
        <v>587</v>
      </c>
      <c r="I69" s="265">
        <f>I14</f>
        <v>33.496000000000002</v>
      </c>
      <c r="S69" s="221" t="s">
        <v>574</v>
      </c>
      <c r="T69" s="144">
        <v>1</v>
      </c>
    </row>
    <row r="70" spans="2:20" x14ac:dyDescent="0.25">
      <c r="B70" s="267" t="s">
        <v>426</v>
      </c>
      <c r="C70" s="144">
        <v>38.355408405279356</v>
      </c>
      <c r="D70" s="8"/>
      <c r="E70" s="267" t="s">
        <v>426</v>
      </c>
      <c r="F70" s="144">
        <v>29.661438605169977</v>
      </c>
      <c r="G70" s="224"/>
      <c r="H70" s="224"/>
      <c r="I70" s="224"/>
      <c r="S70" s="221" t="s">
        <v>577</v>
      </c>
      <c r="T70" s="144">
        <v>1</v>
      </c>
    </row>
    <row r="71" spans="2:20" ht="15.75" thickBot="1" x14ac:dyDescent="0.3">
      <c r="B71" s="268" t="s">
        <v>427</v>
      </c>
      <c r="C71" s="265">
        <v>38.343824168370482</v>
      </c>
      <c r="D71" s="8"/>
      <c r="E71" s="268" t="s">
        <v>427</v>
      </c>
      <c r="F71" s="265">
        <v>37.602433006202595</v>
      </c>
      <c r="G71" s="224"/>
      <c r="H71" s="224"/>
      <c r="I71" s="224"/>
      <c r="S71" s="221" t="s">
        <v>585</v>
      </c>
      <c r="T71" s="144">
        <f>I69-2</f>
        <v>31.496000000000002</v>
      </c>
    </row>
    <row r="72" spans="2:20" x14ac:dyDescent="0.25">
      <c r="B72" s="224"/>
      <c r="C72" s="224"/>
      <c r="D72" s="224"/>
      <c r="E72" s="224"/>
      <c r="F72" s="224"/>
      <c r="G72" s="224"/>
      <c r="H72" s="224"/>
      <c r="I72" s="224"/>
      <c r="S72" s="221" t="s">
        <v>579</v>
      </c>
      <c r="T72" s="144">
        <v>1</v>
      </c>
    </row>
    <row r="73" spans="2:20" x14ac:dyDescent="0.25">
      <c r="B73" s="224"/>
      <c r="C73" s="224"/>
      <c r="D73" s="224"/>
      <c r="E73" s="224"/>
      <c r="F73" s="224"/>
      <c r="G73" s="224"/>
      <c r="H73" s="224"/>
      <c r="I73" s="224"/>
      <c r="S73" s="221" t="s">
        <v>580</v>
      </c>
      <c r="T73" s="144">
        <v>1</v>
      </c>
    </row>
    <row r="74" spans="2:20" x14ac:dyDescent="0.25">
      <c r="B74" s="224"/>
      <c r="C74" s="224"/>
      <c r="D74" s="224"/>
      <c r="E74" s="224"/>
      <c r="F74" s="224"/>
      <c r="G74" s="224"/>
      <c r="H74" s="224"/>
      <c r="I74" s="224"/>
      <c r="S74" s="221" t="s">
        <v>582</v>
      </c>
      <c r="T74" s="144">
        <v>1</v>
      </c>
    </row>
    <row r="75" spans="2:20" x14ac:dyDescent="0.25">
      <c r="S75" s="221" t="s">
        <v>583</v>
      </c>
      <c r="T75" s="144">
        <v>1</v>
      </c>
    </row>
    <row r="76" spans="2:20" ht="15.75" thickBot="1" x14ac:dyDescent="0.3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S76" s="221" t="s">
        <v>632</v>
      </c>
      <c r="T76" s="144" t="s">
        <v>633</v>
      </c>
    </row>
    <row r="77" spans="2:20" ht="15.75" thickBot="1" x14ac:dyDescent="0.3">
      <c r="B77" s="354" t="s">
        <v>450</v>
      </c>
      <c r="C77" s="355"/>
      <c r="D77" s="355"/>
      <c r="E77" s="355"/>
      <c r="F77" s="355"/>
      <c r="G77" s="355"/>
      <c r="H77" s="355"/>
      <c r="I77" s="355"/>
      <c r="J77" s="355"/>
      <c r="K77" s="355"/>
      <c r="L77" s="355"/>
      <c r="M77" s="355"/>
      <c r="N77" s="356"/>
      <c r="S77" s="221" t="s">
        <v>634</v>
      </c>
      <c r="T77" s="144">
        <v>0</v>
      </c>
    </row>
    <row r="78" spans="2:20" ht="15.75" thickBot="1" x14ac:dyDescent="0.3">
      <c r="B78" s="392"/>
      <c r="C78" s="411"/>
      <c r="D78" s="393"/>
      <c r="E78" s="424" t="s">
        <v>423</v>
      </c>
      <c r="F78" s="425"/>
      <c r="G78" s="426" t="s">
        <v>424</v>
      </c>
      <c r="H78" s="427"/>
      <c r="I78" s="428" t="s">
        <v>61</v>
      </c>
      <c r="J78" s="429"/>
      <c r="K78" s="430" t="s">
        <v>426</v>
      </c>
      <c r="L78" s="431"/>
      <c r="M78" s="432" t="s">
        <v>427</v>
      </c>
      <c r="N78" s="433"/>
      <c r="S78" s="221" t="s">
        <v>635</v>
      </c>
      <c r="T78" s="144">
        <v>0</v>
      </c>
    </row>
    <row r="79" spans="2:20" x14ac:dyDescent="0.25">
      <c r="B79" s="273" t="s">
        <v>3</v>
      </c>
      <c r="C79" s="274" t="s">
        <v>60</v>
      </c>
      <c r="D79" s="290" t="s">
        <v>13</v>
      </c>
      <c r="E79" s="29" t="s">
        <v>439</v>
      </c>
      <c r="F79" s="143" t="s">
        <v>440</v>
      </c>
      <c r="G79" s="29" t="s">
        <v>439</v>
      </c>
      <c r="H79" s="143" t="s">
        <v>440</v>
      </c>
      <c r="I79" s="29" t="s">
        <v>439</v>
      </c>
      <c r="J79" s="143" t="s">
        <v>440</v>
      </c>
      <c r="K79" s="29" t="s">
        <v>439</v>
      </c>
      <c r="L79" s="143" t="s">
        <v>440</v>
      </c>
      <c r="M79" s="29" t="s">
        <v>439</v>
      </c>
      <c r="N79" s="143" t="s">
        <v>440</v>
      </c>
      <c r="S79" s="221" t="s">
        <v>636</v>
      </c>
      <c r="T79" s="302">
        <f>D100</f>
        <v>0.1251829538133333</v>
      </c>
    </row>
    <row r="80" spans="2:20" x14ac:dyDescent="0.25">
      <c r="B80" s="10">
        <v>1</v>
      </c>
      <c r="C80" s="225" t="s">
        <v>0</v>
      </c>
      <c r="D80" s="291" t="s">
        <v>16</v>
      </c>
      <c r="E80" s="221">
        <f>$X$7*DLShear_0</f>
        <v>-42.088996599999987</v>
      </c>
      <c r="F80" s="98">
        <f>$X$7*DLMoment_0</f>
        <v>-936.56435234319963</v>
      </c>
      <c r="G80" s="221">
        <f>$X$7*DLShear_0</f>
        <v>-42.088996599999987</v>
      </c>
      <c r="H80" s="98">
        <f>$X$7*DLMoment_0</f>
        <v>-936.56435234319963</v>
      </c>
      <c r="I80" s="221">
        <f>$X$7*DLShear_0</f>
        <v>-42.088996599999987</v>
      </c>
      <c r="J80" s="98">
        <f>$X$7*DLMoment_0</f>
        <v>-936.56435234319963</v>
      </c>
      <c r="K80" s="221">
        <f>$X$7*DLShear_0</f>
        <v>-42.088996599999987</v>
      </c>
      <c r="L80" s="98">
        <f>$X$7*DLMoment_0</f>
        <v>-936.56435234319963</v>
      </c>
      <c r="M80" s="221">
        <f>$X$7*DLShear_0</f>
        <v>-42.088996599999987</v>
      </c>
      <c r="N80" s="98">
        <f>$X$7*DLMoment_0</f>
        <v>-936.56435234319963</v>
      </c>
      <c r="S80" s="221" t="s">
        <v>581</v>
      </c>
      <c r="T80" s="144">
        <v>0</v>
      </c>
    </row>
    <row r="81" spans="2:20" x14ac:dyDescent="0.25">
      <c r="B81" s="10">
        <v>2</v>
      </c>
      <c r="C81" s="225" t="s">
        <v>20</v>
      </c>
      <c r="D81" s="291" t="s">
        <v>16</v>
      </c>
      <c r="E81" s="221">
        <f>$X$7*DLShear_0+$X$8*SLShear_0</f>
        <v>-125.18295381333331</v>
      </c>
      <c r="F81" s="98">
        <f>$X$7*DLMoment_0+$X$8*SLMoment_0</f>
        <v>-2785.5710882542926</v>
      </c>
      <c r="G81" s="221">
        <f>$X$7*DLShear_0+$X$8*SLShear_0</f>
        <v>-125.18295381333331</v>
      </c>
      <c r="H81" s="98">
        <f>$X$7*DLMoment_0+$X$8*SLMoment_0</f>
        <v>-2785.5710882542926</v>
      </c>
      <c r="I81" s="221">
        <f>$X$7*DLShear_0+$X$8*SLShear_0</f>
        <v>-125.18295381333331</v>
      </c>
      <c r="J81" s="98">
        <f>$X$7*DLMoment_0+$X$8*SLMoment_0</f>
        <v>-2785.5710882542926</v>
      </c>
      <c r="K81" s="221">
        <f>$X$7*DLShear_0+$X$8*SLShear_0</f>
        <v>-125.18295381333331</v>
      </c>
      <c r="L81" s="98">
        <f>$X$7*DLMoment_0+$X$8*SLMoment_0</f>
        <v>-2785.5710882542926</v>
      </c>
      <c r="M81" s="221">
        <f>$X$7*DLShear_0+$X$8*SLShear_0</f>
        <v>-125.18295381333331</v>
      </c>
      <c r="N81" s="98">
        <f>$X$7*DLMoment_0+$X$8*SLMoment_0</f>
        <v>-2785.5710882542926</v>
      </c>
      <c r="S81" s="221" t="s">
        <v>584</v>
      </c>
      <c r="T81" s="144">
        <v>0</v>
      </c>
    </row>
    <row r="82" spans="2:20" x14ac:dyDescent="0.25">
      <c r="B82" s="10">
        <v>3</v>
      </c>
      <c r="C82" s="225" t="s">
        <v>21</v>
      </c>
      <c r="D82" s="291" t="s">
        <v>16</v>
      </c>
      <c r="E82" s="221">
        <f>$X$7*DLShear_0+$X$11*U_Z1_S_0</f>
        <v>12.955821919893069</v>
      </c>
      <c r="F82" s="98">
        <f>$X$7*DLMoment_0+$X$11*U_Z1_M_0</f>
        <v>-894.63520685153287</v>
      </c>
      <c r="G82" s="221">
        <f>$X$7*DLShear_0+$X$11*U_Z2_S_0</f>
        <v>18.269511389993241</v>
      </c>
      <c r="H82" s="98">
        <f>$X$7*DLMoment_0+$X$11*U_Z2_M_0</f>
        <v>-876.20584435320643</v>
      </c>
      <c r="I82" s="221">
        <f>$X$7*DLShear_0+$X$11*U_Z3_S_0</f>
        <v>-0.45177387843683903</v>
      </c>
      <c r="J82" s="98">
        <f>$X$7*DLMoment_0+$X$11*U_Z3_M_0</f>
        <v>-926.38180810030008</v>
      </c>
      <c r="K82" s="221">
        <f>$X$7*DLShear_0+$X$11*U_Z4_S_0</f>
        <v>-19.075751556832376</v>
      </c>
      <c r="L82" s="98">
        <f>$X$7*DLMoment_0+$X$11*U_Z4_M_0</f>
        <v>-918.76748918009764</v>
      </c>
      <c r="M82" s="221">
        <f>$X$7*DLShear_0+$X$11*U_Z5_S_0</f>
        <v>-19.082702098977698</v>
      </c>
      <c r="N82" s="98">
        <f>$X$7*DLMoment_0+$X$11*U_Z5_M_0</f>
        <v>-914.00289253947813</v>
      </c>
      <c r="S82" s="221" t="s">
        <v>637</v>
      </c>
      <c r="T82" s="302">
        <f>D102</f>
        <v>2.7855710882542928</v>
      </c>
    </row>
    <row r="83" spans="2:20" x14ac:dyDescent="0.25">
      <c r="B83" s="10">
        <v>4</v>
      </c>
      <c r="C83" s="225" t="s">
        <v>22</v>
      </c>
      <c r="D83" s="291" t="s">
        <v>16</v>
      </c>
      <c r="E83" s="221">
        <f>$X$7*DLShear_0+$X$11*D_Z1_S_0</f>
        <v>-59.374994915420658</v>
      </c>
      <c r="F83" s="98">
        <f>$X$7*DLMoment_0+$X$11*D_Z1_M_0</f>
        <v>-1031.2307363625118</v>
      </c>
      <c r="G83" s="221">
        <f>$X$7*DLShear_0+$X$11*D_Z2_S_0</f>
        <v>-59.694719854105557</v>
      </c>
      <c r="H83" s="98">
        <f>$X$7*DLMoment_0+$X$11*D_Z2_M_0</f>
        <v>-1053.1249441202824</v>
      </c>
      <c r="I83" s="221">
        <f>$X$7*DLShear_0+$X$11*D_Z3_S_0</f>
        <v>-47.21154616110374</v>
      </c>
      <c r="J83" s="98">
        <f>$X$7*DLMoment_0+$X$11*D_Z3_M_0</f>
        <v>-1019.3661609204439</v>
      </c>
      <c r="K83" s="221">
        <f>$X$7*DLShear_0+$X$11*D_Z4_S_0</f>
        <v>-49.859702718472171</v>
      </c>
      <c r="L83" s="98">
        <f>$X$7*DLMoment_0+$X$11*D_Z4_M_0</f>
        <v>-982.59084242953486</v>
      </c>
      <c r="M83" s="221">
        <f>$X$7*DLShear_0+$X$11*D_Z5_S_0</f>
        <v>-51.194206810374368</v>
      </c>
      <c r="N83" s="98">
        <f>$X$7*DLMoment_0+$X$11*D_Z5_M_0</f>
        <v>-982.57694134524422</v>
      </c>
      <c r="S83" s="221" t="s">
        <v>603</v>
      </c>
      <c r="T83" s="302">
        <f>D98</f>
        <v>0.1251829538133333</v>
      </c>
    </row>
    <row r="84" spans="2:20" x14ac:dyDescent="0.25">
      <c r="B84" s="10">
        <v>5</v>
      </c>
      <c r="C84" s="225" t="s">
        <v>35</v>
      </c>
      <c r="D84" s="291" t="s">
        <v>16</v>
      </c>
      <c r="E84" s="221">
        <f>$X$7*DLShear_0+$X$9*SLShear_0</f>
        <v>-104.40946450999998</v>
      </c>
      <c r="F84" s="98">
        <f>$X$7*DLMoment_0+$X$9*SLMoment_0</f>
        <v>-2323.3194042765194</v>
      </c>
      <c r="G84" s="221">
        <f>$X$7*DLShear_0+$X$9*SLShear_0</f>
        <v>-104.40946450999998</v>
      </c>
      <c r="H84" s="98">
        <f>$X$7*DLMoment_0+$X$9*SLMoment_0</f>
        <v>-2323.3194042765194</v>
      </c>
      <c r="I84" s="221">
        <f>$X$7*DLShear_0+$X$9*SLShear_0</f>
        <v>-104.40946450999998</v>
      </c>
      <c r="J84" s="98">
        <f>$X$7*DLMoment_0+$X$9*SLMoment_0</f>
        <v>-2323.3194042765194</v>
      </c>
      <c r="K84" s="221">
        <f>$X$7*DLShear_0+$X$9*SLShear_0</f>
        <v>-104.40946450999998</v>
      </c>
      <c r="L84" s="98">
        <f>$X$7*DLMoment_0+$X$9*SLMoment_0</f>
        <v>-2323.3194042765194</v>
      </c>
      <c r="M84" s="221">
        <f>$X$7*DLShear_0+$X$9*SLShear_0</f>
        <v>-104.40946450999998</v>
      </c>
      <c r="N84" s="98">
        <f>$X$7*DLMoment_0+$X$9*SLMoment_0</f>
        <v>-2323.3194042765194</v>
      </c>
      <c r="S84" s="221" t="s">
        <v>598</v>
      </c>
      <c r="T84" s="302">
        <f>D99</f>
        <v>2.7855710882542928</v>
      </c>
    </row>
    <row r="85" spans="2:20" x14ac:dyDescent="0.25">
      <c r="B85" s="10">
        <v>6</v>
      </c>
      <c r="C85" s="225" t="s">
        <v>36</v>
      </c>
      <c r="D85" s="291" t="s">
        <v>16</v>
      </c>
      <c r="E85" s="221">
        <f>$X$7*DLShear_0+$X$9*SLShear_0</f>
        <v>-104.40946450999998</v>
      </c>
      <c r="F85" s="98">
        <f>$X$7*DLMoment_0+$X$9*SLMoment_0</f>
        <v>-2323.3194042765194</v>
      </c>
      <c r="G85" s="221">
        <f>$X$7*DLShear_0+$X$9*SLShear_0</f>
        <v>-104.40946450999998</v>
      </c>
      <c r="H85" s="98">
        <f>$X$7*DLMoment_0+$X$9*SLMoment_0</f>
        <v>-2323.3194042765194</v>
      </c>
      <c r="I85" s="221">
        <f>$X$7*DLShear_0+$X$9*SLShear_0</f>
        <v>-104.40946450999998</v>
      </c>
      <c r="J85" s="98">
        <f>$X$7*DLMoment_0+$X$9*SLMoment_0</f>
        <v>-2323.3194042765194</v>
      </c>
      <c r="K85" s="221">
        <f>$X$7*DLShear_0+$X$9*SLShear_0</f>
        <v>-104.40946450999998</v>
      </c>
      <c r="L85" s="98">
        <f>$X$7*DLMoment_0+$X$9*SLMoment_0</f>
        <v>-2323.3194042765194</v>
      </c>
      <c r="M85" s="221">
        <f>$X$7*DLShear_0+$X$9*SLShear_0</f>
        <v>-104.40946450999998</v>
      </c>
      <c r="N85" s="98">
        <f>$X$7*DLMoment_0+$X$9*SLMoment_0</f>
        <v>-2323.3194042765194</v>
      </c>
      <c r="S85" s="221" t="s">
        <v>609</v>
      </c>
      <c r="T85" s="302">
        <f>D101</f>
        <v>0.1251829538133333</v>
      </c>
    </row>
    <row r="86" spans="2:20" ht="15.75" thickBot="1" x14ac:dyDescent="0.3">
      <c r="B86" s="10">
        <v>7</v>
      </c>
      <c r="C86" s="225" t="s">
        <v>33</v>
      </c>
      <c r="D86" s="291" t="s">
        <v>16</v>
      </c>
      <c r="E86" s="221">
        <f>$X$7*DLShear_0+$X$12*U_Z1_S_0+$X$10*SLShear_0</f>
        <v>-21.578872013413527</v>
      </c>
      <c r="F86" s="98">
        <f>$X$7*DLMoment_0+$X$12*U_Z1_M_0+$X$10*SLMoment_0</f>
        <v>-1367.369177202223</v>
      </c>
      <c r="G86" s="221">
        <f>$X$7*DLShear_0+$X$12*U_Z2_S_0+$X$10*SLShear_0</f>
        <v>-17.593604910838398</v>
      </c>
      <c r="H86" s="98">
        <f>$X$7*DLMoment_0+$X$12*U_Z2_M_0+$X$10*SLMoment_0</f>
        <v>-1353.5471553284779</v>
      </c>
      <c r="I86" s="221">
        <f>$X$7*DLShear_0+$X$12*U_Z3_S_0+$X$10*SLShear_0</f>
        <v>-31.634568862160958</v>
      </c>
      <c r="J86" s="98">
        <f>$X$7*DLMoment_0+$X$12*U_Z3_M_0+$X$10*SLMoment_0</f>
        <v>-1391.1791281387982</v>
      </c>
      <c r="K86" s="221">
        <f>$X$7*DLShear_0+$X$12*U_Z4_S_0+$X$10*SLShear_0</f>
        <v>-45.602552120957611</v>
      </c>
      <c r="L86" s="98">
        <f>$X$7*DLMoment_0+$X$12*U_Z4_M_0+$X$10*SLMoment_0</f>
        <v>-1385.4683889486464</v>
      </c>
      <c r="M86" s="221">
        <f>$X$7*DLShear_0+$X$12*U_Z5_S_0+$X$10*SLShear_0</f>
        <v>-45.6077650275666</v>
      </c>
      <c r="N86" s="98">
        <f>$X$7*DLMoment_0+$X$12*U_Z5_M_0+$X$10*SLMoment_0</f>
        <v>-1381.8949414681817</v>
      </c>
      <c r="S86" s="223" t="s">
        <v>543</v>
      </c>
      <c r="T86" s="265">
        <v>0</v>
      </c>
    </row>
    <row r="87" spans="2:20" ht="15.75" thickBot="1" x14ac:dyDescent="0.3">
      <c r="B87" s="10">
        <v>8</v>
      </c>
      <c r="C87" s="225" t="s">
        <v>34</v>
      </c>
      <c r="D87" s="291" t="s">
        <v>16</v>
      </c>
      <c r="E87" s="221">
        <f>$X$7*DLShear_0+$X$12*D_Z1_S_0+$X$10*SLShear_0</f>
        <v>-75.826984639898825</v>
      </c>
      <c r="F87" s="98">
        <f>$X$7*DLMoment_0+$X$12*D_Z1_M_0+$X$10*SLMoment_0</f>
        <v>-1469.8158243354571</v>
      </c>
      <c r="G87" s="221">
        <f>$X$7*DLShear_0+$X$12*D_Z2_S_0+$X$10*SLShear_0</f>
        <v>-76.066778343912503</v>
      </c>
      <c r="H87" s="98">
        <f>$X$7*DLMoment_0+$X$12*D_Z2_M_0+$X$10*SLMoment_0</f>
        <v>-1486.2364801537849</v>
      </c>
      <c r="I87" s="221">
        <f>$X$7*DLShear_0+$X$12*D_Z3_S_0+$X$10*SLShear_0</f>
        <v>-66.704398074161134</v>
      </c>
      <c r="J87" s="98">
        <f>$X$7*DLMoment_0+$X$12*D_Z3_M_0+$X$10*SLMoment_0</f>
        <v>-1460.9173927539061</v>
      </c>
      <c r="K87" s="221">
        <f>$X$7*DLShear_0+$X$12*D_Z4_S_0+$X$10*SLShear_0</f>
        <v>-68.690515492187458</v>
      </c>
      <c r="L87" s="98">
        <f>$X$7*DLMoment_0+$X$12*D_Z4_M_0+$X$10*SLMoment_0</f>
        <v>-1433.3359038857243</v>
      </c>
      <c r="M87" s="221">
        <f>$X$7*DLShear_0+$X$12*D_Z5_S_0+$X$10*SLShear_0</f>
        <v>-69.691393561114097</v>
      </c>
      <c r="N87" s="98">
        <f>$X$7*DLMoment_0+$X$12*D_Z5_M_0+$X$10*SLMoment_0</f>
        <v>-1433.3254780725065</v>
      </c>
      <c r="S87" s="392" t="s">
        <v>638</v>
      </c>
      <c r="T87" s="393"/>
    </row>
    <row r="88" spans="2:20" x14ac:dyDescent="0.25">
      <c r="B88" s="10">
        <v>9</v>
      </c>
      <c r="C88" s="225" t="s">
        <v>23</v>
      </c>
      <c r="D88" s="291" t="s">
        <v>16</v>
      </c>
      <c r="E88" s="221">
        <f>$X$15*DLShear_0+$X$11*U_Z1_S_0</f>
        <v>29.791420559893066</v>
      </c>
      <c r="F88" s="98">
        <f>$X$15*DLMoment_0+$X$11*U_Z1_M_0</f>
        <v>-520.00946591425304</v>
      </c>
      <c r="G88" s="221">
        <f>$X$15*DLShear_0+$X$11*U_Z2_S_0</f>
        <v>35.105110029993241</v>
      </c>
      <c r="H88" s="98">
        <f>$X$15*DLMoment_0+$X$11*U_Z2_M_0</f>
        <v>-501.5801034159266</v>
      </c>
      <c r="I88" s="221">
        <f>$X$15*DLShear_0+$X$11*U_Z3_S_0</f>
        <v>16.383824761563158</v>
      </c>
      <c r="J88" s="98">
        <f>$X$15*DLMoment_0+$X$11*U_Z3_M_0</f>
        <v>-551.75606716302025</v>
      </c>
      <c r="K88" s="221">
        <f>$X$15*DLShear_0+$X$11*U_Z4_S_0</f>
        <v>-2.240152916832379</v>
      </c>
      <c r="L88" s="98">
        <f>$X$15*DLMoment_0+$X$11*U_Z4_M_0</f>
        <v>-544.14174824281781</v>
      </c>
      <c r="M88" s="221">
        <f>$X$15*DLShear_0+$X$11*U_Z5_S_0</f>
        <v>-2.2471034589777013</v>
      </c>
      <c r="N88" s="98">
        <f>$X$15*DLMoment_0+$X$11*U_Z5_M_0</f>
        <v>-539.3771516021983</v>
      </c>
      <c r="S88" s="217" t="s">
        <v>636</v>
      </c>
      <c r="T88" s="143" t="str">
        <f>T32</f>
        <v>XX</v>
      </c>
    </row>
    <row r="89" spans="2:20" ht="15.75" thickBot="1" x14ac:dyDescent="0.3">
      <c r="B89" s="13">
        <v>10</v>
      </c>
      <c r="C89" s="229" t="s">
        <v>24</v>
      </c>
      <c r="D89" s="293" t="s">
        <v>16</v>
      </c>
      <c r="E89" s="223">
        <f>$X$15*DLShear_0+$X$11*D_Z1_S_0</f>
        <v>-42.539396275420664</v>
      </c>
      <c r="F89" s="228">
        <f>$X$15*DLMoment_0+$X$11*D_Z1_M_0</f>
        <v>-656.604995425232</v>
      </c>
      <c r="G89" s="223">
        <f>$X$15*DLShear_0+$X$11*D_Z2_S_0</f>
        <v>-42.859121214105564</v>
      </c>
      <c r="H89" s="228">
        <f>$X$15*DLMoment_0+$X$11*D_Z2_M_0</f>
        <v>-678.49920318300246</v>
      </c>
      <c r="I89" s="223">
        <f>$X$15*DLShear_0+$X$11*D_Z3_S_0</f>
        <v>-30.375947521103743</v>
      </c>
      <c r="J89" s="228">
        <f>$X$15*DLMoment_0+$X$11*D_Z3_M_0</f>
        <v>-644.74041998316409</v>
      </c>
      <c r="K89" s="223">
        <f>$X$15*DLShear_0+$X$11*D_Z4_S_0</f>
        <v>-33.02410407847217</v>
      </c>
      <c r="L89" s="228">
        <f>$X$15*DLMoment_0+$X$11*D_Z4_M_0</f>
        <v>-607.96510149225503</v>
      </c>
      <c r="M89" s="223">
        <f>$X$15*DLShear_0+$X$11*D_Z5_S_0</f>
        <v>-34.358608170374367</v>
      </c>
      <c r="N89" s="228">
        <f>$X$15*DLMoment_0+$X$11*D_Z5_M_0</f>
        <v>-607.95120040796439</v>
      </c>
      <c r="S89" s="292" t="s">
        <v>637</v>
      </c>
      <c r="T89" s="302" t="str">
        <f>T33</f>
        <v>XX</v>
      </c>
    </row>
    <row r="90" spans="2:20" ht="15.75" thickBot="1" x14ac:dyDescent="0.3">
      <c r="B90" s="275" t="s">
        <v>476</v>
      </c>
      <c r="C90" s="276"/>
      <c r="D90" s="276"/>
      <c r="E90" s="277" cm="1">
        <f t="array" ref="E90">MAX(ABS(E80:E89))</f>
        <v>125.18295381333331</v>
      </c>
      <c r="F90" s="278" cm="1">
        <f t="array" ref="F90">MAX(ABS(F80:F89))</f>
        <v>2785.5710882542926</v>
      </c>
      <c r="G90" s="277" cm="1">
        <f t="array" ref="G90">MAX(ABS(G80:G89))</f>
        <v>125.18295381333331</v>
      </c>
      <c r="H90" s="278" cm="1">
        <f t="array" ref="H90">MAX(ABS(H80:H89))</f>
        <v>2785.5710882542926</v>
      </c>
      <c r="I90" s="277" cm="1">
        <f t="array" ref="I90">MAX(ABS(I80:I89))</f>
        <v>125.18295381333331</v>
      </c>
      <c r="J90" s="278" cm="1">
        <f t="array" ref="J90">MAX(ABS(J80:J89))</f>
        <v>2785.5710882542926</v>
      </c>
      <c r="K90" s="277" cm="1">
        <f t="array" ref="K90">MAX(ABS(K80:K89))</f>
        <v>125.18295381333331</v>
      </c>
      <c r="L90" s="278" cm="1">
        <f t="array" ref="L90">MAX(ABS(L80:L89))</f>
        <v>2785.5710882542926</v>
      </c>
      <c r="M90" s="277" cm="1">
        <f t="array" ref="M90">MAX(ABS(M80:M89))</f>
        <v>125.18295381333331</v>
      </c>
      <c r="N90" s="278" cm="1">
        <f t="array" ref="N90">MAX(ABS(N80:N89))</f>
        <v>2785.5710882542926</v>
      </c>
      <c r="S90" s="292" t="s">
        <v>603</v>
      </c>
      <c r="T90" s="144" t="str">
        <f>T34</f>
        <v>XX</v>
      </c>
    </row>
    <row r="91" spans="2:20" x14ac:dyDescent="0.25">
      <c r="S91" s="292" t="s">
        <v>598</v>
      </c>
      <c r="T91" s="302" t="str">
        <f>T35</f>
        <v>XX</v>
      </c>
    </row>
    <row r="92" spans="2:20" ht="15.75" thickBot="1" x14ac:dyDescent="0.3">
      <c r="S92" s="296" t="s">
        <v>609</v>
      </c>
      <c r="T92" s="265" t="str">
        <f>T36</f>
        <v>XX</v>
      </c>
    </row>
    <row r="95" spans="2:20" ht="15.75" thickBot="1" x14ac:dyDescent="0.3">
      <c r="S95" s="257"/>
    </row>
    <row r="96" spans="2:20" ht="15.75" thickBot="1" x14ac:dyDescent="0.3">
      <c r="B96" s="392" t="s">
        <v>561</v>
      </c>
      <c r="C96" s="411"/>
      <c r="D96" s="411"/>
      <c r="E96" s="411"/>
      <c r="F96" s="411"/>
      <c r="G96" s="393"/>
      <c r="S96" s="174"/>
    </row>
    <row r="97" spans="2:20" ht="15.75" thickBot="1" x14ac:dyDescent="0.3">
      <c r="B97" s="392"/>
      <c r="C97" s="393"/>
      <c r="D97" s="279" t="s">
        <v>562</v>
      </c>
      <c r="E97" s="279" t="s">
        <v>563</v>
      </c>
      <c r="F97" s="279" t="s">
        <v>564</v>
      </c>
      <c r="G97" s="279" t="s">
        <v>565</v>
      </c>
      <c r="S97" s="174"/>
    </row>
    <row r="98" spans="2:20" ht="15.75" thickBot="1" x14ac:dyDescent="0.3">
      <c r="B98" s="412" t="s">
        <v>566</v>
      </c>
      <c r="C98" s="280" t="s">
        <v>567</v>
      </c>
      <c r="D98" s="304">
        <f>MAX(E90,G90,I90,K90,M90)/1000</f>
        <v>0.1251829538133333</v>
      </c>
      <c r="E98" s="244" t="str">
        <f>T90</f>
        <v>XX</v>
      </c>
      <c r="F98" s="305" t="e">
        <f t="shared" ref="F98:F103" si="2">D98/E98</f>
        <v>#VALUE!</v>
      </c>
      <c r="G98" s="282" t="e">
        <f t="shared" ref="G98:G106" si="3">IF(F98&lt;=1,"PASS","FAIL")</f>
        <v>#VALUE!</v>
      </c>
      <c r="S98" s="257"/>
    </row>
    <row r="99" spans="2:20" ht="15.75" thickBot="1" x14ac:dyDescent="0.3">
      <c r="B99" s="413"/>
      <c r="C99" s="280" t="s">
        <v>568</v>
      </c>
      <c r="D99" s="304">
        <f>MAX(F90,H90,J90,L90,N90)/1000</f>
        <v>2.7855710882542928</v>
      </c>
      <c r="E99" s="306" t="str">
        <f>T91</f>
        <v>XX</v>
      </c>
      <c r="F99" s="305" t="e">
        <f t="shared" si="2"/>
        <v>#VALUE!</v>
      </c>
      <c r="G99" s="282" t="e">
        <f t="shared" si="3"/>
        <v>#VALUE!</v>
      </c>
      <c r="S99" s="387"/>
      <c r="T99" s="387"/>
    </row>
    <row r="100" spans="2:20" ht="15.75" thickBot="1" x14ac:dyDescent="0.3">
      <c r="B100" s="414"/>
      <c r="C100" s="283" t="s">
        <v>570</v>
      </c>
      <c r="D100" s="304">
        <f>MAX(E90,G90,I90,K90,M90)/1000</f>
        <v>0.1251829538133333</v>
      </c>
      <c r="E100" s="244" t="str">
        <f>T88</f>
        <v>XX</v>
      </c>
      <c r="F100" s="305" t="e">
        <f t="shared" si="2"/>
        <v>#VALUE!</v>
      </c>
      <c r="G100" s="282" t="e">
        <f t="shared" si="3"/>
        <v>#VALUE!</v>
      </c>
      <c r="S100" s="174"/>
      <c r="T100" s="259"/>
    </row>
    <row r="101" spans="2:20" ht="15.75" thickBot="1" x14ac:dyDescent="0.3">
      <c r="B101" s="412" t="s">
        <v>571</v>
      </c>
      <c r="C101" s="283" t="s">
        <v>567</v>
      </c>
      <c r="D101" s="304">
        <f>MAX(E90,G90,I90,K90,M90)/1000</f>
        <v>0.1251829538133333</v>
      </c>
      <c r="E101" s="244" t="str">
        <f>T92</f>
        <v>XX</v>
      </c>
      <c r="F101" s="305" t="e">
        <f t="shared" si="2"/>
        <v>#VALUE!</v>
      </c>
      <c r="G101" s="282" t="e">
        <f t="shared" si="3"/>
        <v>#VALUE!</v>
      </c>
      <c r="S101" s="174"/>
    </row>
    <row r="102" spans="2:20" ht="15.75" thickBot="1" x14ac:dyDescent="0.3">
      <c r="B102" s="413"/>
      <c r="C102" s="283" t="s">
        <v>568</v>
      </c>
      <c r="D102" s="304">
        <f>MAX(F90,H90,J90,L90,N90)/1000</f>
        <v>2.7855710882542928</v>
      </c>
      <c r="E102" s="306" t="str">
        <f>T89</f>
        <v>XX</v>
      </c>
      <c r="F102" s="305" t="e">
        <f>(D102/E102)</f>
        <v>#VALUE!</v>
      </c>
      <c r="G102" s="282" t="e">
        <f t="shared" si="3"/>
        <v>#VALUE!</v>
      </c>
      <c r="S102" s="174"/>
    </row>
    <row r="103" spans="2:20" ht="15.75" thickBot="1" x14ac:dyDescent="0.3">
      <c r="B103" s="414"/>
      <c r="C103" s="283" t="s">
        <v>570</v>
      </c>
      <c r="D103" s="304">
        <f>MAX(E90,G90,I90,K90,M90)/1000</f>
        <v>0.1251829538133333</v>
      </c>
      <c r="E103" s="244" t="str">
        <f>T88</f>
        <v>XX</v>
      </c>
      <c r="F103" s="305" t="e">
        <f t="shared" si="2"/>
        <v>#VALUE!</v>
      </c>
      <c r="G103" s="282" t="e">
        <f t="shared" si="3"/>
        <v>#VALUE!</v>
      </c>
      <c r="S103" s="174"/>
    </row>
    <row r="104" spans="2:20" ht="15.75" thickBot="1" x14ac:dyDescent="0.3">
      <c r="B104" s="412" t="s">
        <v>575</v>
      </c>
      <c r="C104" s="285" t="s">
        <v>576</v>
      </c>
      <c r="D104" s="392"/>
      <c r="E104" s="415"/>
      <c r="F104" s="281" t="e">
        <f>F99+F103+F102</f>
        <v>#VALUE!</v>
      </c>
      <c r="G104" s="282" t="e">
        <f t="shared" si="3"/>
        <v>#VALUE!</v>
      </c>
      <c r="S104" s="174"/>
    </row>
    <row r="105" spans="2:20" x14ac:dyDescent="0.25">
      <c r="B105" s="413"/>
      <c r="C105" s="416" t="s">
        <v>578</v>
      </c>
      <c r="D105" s="418"/>
      <c r="E105" s="419"/>
      <c r="F105" s="286" t="e">
        <f>SQRT((F102)^2+(F98)^2)</f>
        <v>#VALUE!</v>
      </c>
      <c r="G105" s="143" t="e">
        <f t="shared" si="3"/>
        <v>#VALUE!</v>
      </c>
      <c r="S105" s="174"/>
    </row>
    <row r="106" spans="2:20" ht="15.75" thickBot="1" x14ac:dyDescent="0.3">
      <c r="B106" s="414"/>
      <c r="C106" s="417"/>
      <c r="D106" s="420"/>
      <c r="E106" s="421"/>
      <c r="F106" s="287" t="e">
        <f>SQRT((F101)^2+(F99)^2)</f>
        <v>#VALUE!</v>
      </c>
      <c r="G106" s="265" t="e">
        <f t="shared" si="3"/>
        <v>#VALUE!</v>
      </c>
      <c r="S106" s="174"/>
      <c r="T106" s="256"/>
    </row>
    <row r="107" spans="2:20" x14ac:dyDescent="0.25">
      <c r="S107" s="174"/>
      <c r="T107" s="256"/>
    </row>
    <row r="108" spans="2:20" x14ac:dyDescent="0.25">
      <c r="S108" s="174"/>
    </row>
    <row r="109" spans="2:20" x14ac:dyDescent="0.25">
      <c r="S109" s="174"/>
    </row>
    <row r="110" spans="2:20" x14ac:dyDescent="0.25">
      <c r="S110" s="257"/>
      <c r="T110" s="258"/>
    </row>
    <row r="111" spans="2:20" x14ac:dyDescent="0.25">
      <c r="S111" s="174"/>
      <c r="T111" s="173"/>
    </row>
    <row r="112" spans="2:20" x14ac:dyDescent="0.25">
      <c r="S112" s="174"/>
      <c r="T112" s="173"/>
    </row>
    <row r="113" spans="19:20" x14ac:dyDescent="0.25">
      <c r="S113" s="257"/>
      <c r="T113" s="259"/>
    </row>
    <row r="114" spans="19:20" x14ac:dyDescent="0.25">
      <c r="S114" s="257"/>
      <c r="T114" s="261"/>
    </row>
    <row r="115" spans="19:20" x14ac:dyDescent="0.25">
      <c r="S115" s="257"/>
      <c r="T115" s="262"/>
    </row>
    <row r="116" spans="19:20" x14ac:dyDescent="0.25">
      <c r="S116" s="257"/>
      <c r="T116" s="260"/>
    </row>
    <row r="117" spans="19:20" x14ac:dyDescent="0.25">
      <c r="S117" s="257"/>
    </row>
    <row r="118" spans="19:20" x14ac:dyDescent="0.25">
      <c r="S118" s="257"/>
      <c r="T118" s="303"/>
    </row>
    <row r="119" spans="19:20" x14ac:dyDescent="0.25">
      <c r="S119" s="257"/>
      <c r="T119" s="173"/>
    </row>
    <row r="120" spans="19:20" x14ac:dyDescent="0.25">
      <c r="S120" s="174"/>
    </row>
    <row r="121" spans="19:20" x14ac:dyDescent="0.25">
      <c r="S121" s="174"/>
    </row>
    <row r="122" spans="19:20" x14ac:dyDescent="0.25">
      <c r="S122" s="257"/>
    </row>
    <row r="123" spans="19:20" x14ac:dyDescent="0.25">
      <c r="S123" s="257"/>
    </row>
    <row r="124" spans="19:20" x14ac:dyDescent="0.25">
      <c r="S124" s="387"/>
      <c r="T124" s="387"/>
    </row>
    <row r="125" spans="19:20" x14ac:dyDescent="0.25">
      <c r="S125" s="174"/>
    </row>
    <row r="126" spans="19:20" x14ac:dyDescent="0.25">
      <c r="S126" s="174"/>
      <c r="T126" s="262"/>
    </row>
    <row r="127" spans="19:20" x14ac:dyDescent="0.25">
      <c r="S127" s="174"/>
    </row>
    <row r="128" spans="19:20" x14ac:dyDescent="0.25">
      <c r="S128" s="174"/>
    </row>
    <row r="129" spans="19:20" x14ac:dyDescent="0.25">
      <c r="S129" s="174"/>
    </row>
    <row r="130" spans="19:20" x14ac:dyDescent="0.25">
      <c r="S130" s="174"/>
    </row>
    <row r="131" spans="19:20" x14ac:dyDescent="0.25">
      <c r="S131" s="174"/>
      <c r="T131" s="256"/>
    </row>
    <row r="132" spans="19:20" x14ac:dyDescent="0.25">
      <c r="S132" s="174"/>
      <c r="T132" s="256"/>
    </row>
    <row r="133" spans="19:20" x14ac:dyDescent="0.25">
      <c r="S133" s="174"/>
    </row>
    <row r="134" spans="19:20" x14ac:dyDescent="0.25">
      <c r="S134" s="174"/>
    </row>
    <row r="135" spans="19:20" x14ac:dyDescent="0.25">
      <c r="S135" s="257"/>
      <c r="T135" s="258"/>
    </row>
    <row r="136" spans="19:20" x14ac:dyDescent="0.25">
      <c r="S136" s="174"/>
    </row>
    <row r="137" spans="19:20" x14ac:dyDescent="0.25">
      <c r="S137" s="174"/>
      <c r="T137" s="173"/>
    </row>
    <row r="138" spans="19:20" x14ac:dyDescent="0.25">
      <c r="S138" s="257"/>
      <c r="T138" s="259"/>
    </row>
    <row r="139" spans="19:20" x14ac:dyDescent="0.25">
      <c r="S139" s="257"/>
      <c r="T139" s="261"/>
    </row>
    <row r="140" spans="19:20" x14ac:dyDescent="0.25">
      <c r="S140" s="257"/>
      <c r="T140" s="262"/>
    </row>
    <row r="141" spans="19:20" x14ac:dyDescent="0.25">
      <c r="S141" s="295" t="s">
        <v>599</v>
      </c>
      <c r="T141" s="159">
        <f xml:space="preserve">  (MIN(1*T14*T7,1*T13*T7))/1.67</f>
        <v>0</v>
      </c>
    </row>
    <row r="142" spans="19:20" ht="15.75" thickBot="1" x14ac:dyDescent="0.3">
      <c r="S142" s="292" t="s">
        <v>600</v>
      </c>
      <c r="T142" s="98">
        <f>IF(T140 &lt;= 0.673, T139, ((1 - 0.22*(T138/T139)^0.5) * (T138/T139)^0.5 * T139))</f>
        <v>0</v>
      </c>
    </row>
    <row r="143" spans="19:20" ht="15.75" thickBot="1" x14ac:dyDescent="0.3">
      <c r="S143" s="407" t="s">
        <v>601</v>
      </c>
      <c r="T143" s="408"/>
    </row>
    <row r="144" spans="19:20" x14ac:dyDescent="0.25">
      <c r="S144" s="217" t="s">
        <v>602</v>
      </c>
      <c r="T144" s="227">
        <f>0.954*T43</f>
        <v>0</v>
      </c>
    </row>
    <row r="145" spans="19:20" x14ac:dyDescent="0.25">
      <c r="S145" s="221" t="s">
        <v>603</v>
      </c>
      <c r="T145" s="98">
        <f>(0.6*T7*T144)</f>
        <v>0</v>
      </c>
    </row>
    <row r="146" spans="19:20" x14ac:dyDescent="0.25">
      <c r="S146" s="221" t="s">
        <v>604</v>
      </c>
      <c r="T146" s="98" t="e">
        <f>T144*((PI()^2*T9*T58)/(12*(1-T80^2)*(0.954/T43)^2))</f>
        <v>#DIV/0!</v>
      </c>
    </row>
    <row r="147" spans="19:20" x14ac:dyDescent="0.25">
      <c r="S147" s="288" t="s">
        <v>605</v>
      </c>
      <c r="T147" s="98" t="e">
        <f>SQRT(T145/T146)</f>
        <v>#DIV/0!</v>
      </c>
    </row>
    <row r="148" spans="19:20" ht="15.75" thickBot="1" x14ac:dyDescent="0.3">
      <c r="S148" s="297" t="s">
        <v>606</v>
      </c>
      <c r="T148" s="228" t="e">
        <f>IF(T147 &gt; 1.227,
    T146,
    IF(T147 &gt; 0.85,
        0.815 * SQRT(T146 * T145),
        T145
    )
)</f>
        <v>#DIV/0!</v>
      </c>
    </row>
    <row r="149" spans="19:20" ht="15.75" thickBot="1" x14ac:dyDescent="0.3">
      <c r="S149" s="409" t="s">
        <v>607</v>
      </c>
      <c r="T149" s="410"/>
    </row>
    <row r="150" spans="19:20" x14ac:dyDescent="0.25">
      <c r="S150" s="298" t="s">
        <v>608</v>
      </c>
      <c r="T150" s="227">
        <f>3.166*T43</f>
        <v>0</v>
      </c>
    </row>
    <row r="151" spans="19:20" x14ac:dyDescent="0.25">
      <c r="S151" s="288" t="s">
        <v>609</v>
      </c>
      <c r="T151" s="98">
        <f>(0.6*T7*T150)</f>
        <v>0</v>
      </c>
    </row>
    <row r="152" spans="19:20" x14ac:dyDescent="0.25">
      <c r="S152" s="288" t="s">
        <v>604</v>
      </c>
      <c r="T152" s="98" t="e">
        <f>T150*((PI()^2*T9*T58)/(12*(1-T80^2)*(3.166/T43)^2))</f>
        <v>#DIV/0!</v>
      </c>
    </row>
    <row r="153" spans="19:20" x14ac:dyDescent="0.25">
      <c r="S153" s="288" t="s">
        <v>605</v>
      </c>
      <c r="T153" s="98" t="e">
        <f>SQRT(T151/T152)</f>
        <v>#DIV/0!</v>
      </c>
    </row>
    <row r="154" spans="19:20" x14ac:dyDescent="0.25">
      <c r="S154" s="288" t="s">
        <v>606</v>
      </c>
      <c r="T154" s="98" t="e">
        <f>IF(T153 &gt; 1.227,
    T152,
    IF(T153 &gt; 0.85,
        0.815 * SQRT(T152 * T151),
        T151
    )
)</f>
        <v>#DIV/0!</v>
      </c>
    </row>
    <row r="155" spans="19:20" ht="15.75" thickBot="1" x14ac:dyDescent="0.3">
      <c r="S155" s="297" t="s">
        <v>610</v>
      </c>
      <c r="T155" s="228" t="e">
        <f>2*T154</f>
        <v>#DIV/0!</v>
      </c>
    </row>
  </sheetData>
  <mergeCells count="61">
    <mergeCell ref="B96:G96"/>
    <mergeCell ref="B97:C97"/>
    <mergeCell ref="B98:B100"/>
    <mergeCell ref="B101:B103"/>
    <mergeCell ref="B104:B106"/>
    <mergeCell ref="D104:E104"/>
    <mergeCell ref="C105:C106"/>
    <mergeCell ref="D105:E105"/>
    <mergeCell ref="D106:E106"/>
    <mergeCell ref="H67:I67"/>
    <mergeCell ref="B77:N77"/>
    <mergeCell ref="E78:F78"/>
    <mergeCell ref="G78:H78"/>
    <mergeCell ref="I78:J78"/>
    <mergeCell ref="K78:L78"/>
    <mergeCell ref="M78:N78"/>
    <mergeCell ref="B78:D78"/>
    <mergeCell ref="H8:I8"/>
    <mergeCell ref="B11:C11"/>
    <mergeCell ref="E11:F11"/>
    <mergeCell ref="B57:N57"/>
    <mergeCell ref="B59:C59"/>
    <mergeCell ref="E59:F59"/>
    <mergeCell ref="H59:I59"/>
    <mergeCell ref="B23:D23"/>
    <mergeCell ref="S143:T143"/>
    <mergeCell ref="S149:T149"/>
    <mergeCell ref="H12:I12"/>
    <mergeCell ref="B41:G41"/>
    <mergeCell ref="B42:C42"/>
    <mergeCell ref="B43:B45"/>
    <mergeCell ref="B46:B48"/>
    <mergeCell ref="B49:B51"/>
    <mergeCell ref="D49:E49"/>
    <mergeCell ref="C50:C51"/>
    <mergeCell ref="D50:E50"/>
    <mergeCell ref="D51:E51"/>
    <mergeCell ref="B35:D35"/>
    <mergeCell ref="H63:I63"/>
    <mergeCell ref="B66:C66"/>
    <mergeCell ref="E66:F66"/>
    <mergeCell ref="U22:X22"/>
    <mergeCell ref="K23:L23"/>
    <mergeCell ref="M23:N23"/>
    <mergeCell ref="E23:F23"/>
    <mergeCell ref="G23:H23"/>
    <mergeCell ref="I23:J23"/>
    <mergeCell ref="B22:N22"/>
    <mergeCell ref="W6:X6"/>
    <mergeCell ref="S6:T6"/>
    <mergeCell ref="B2:N2"/>
    <mergeCell ref="B4:C4"/>
    <mergeCell ref="E4:F4"/>
    <mergeCell ref="H4:I4"/>
    <mergeCell ref="S124:T124"/>
    <mergeCell ref="S7:T7"/>
    <mergeCell ref="S31:T31"/>
    <mergeCell ref="S62:T62"/>
    <mergeCell ref="S63:T63"/>
    <mergeCell ref="S87:T87"/>
    <mergeCell ref="S99:T99"/>
  </mergeCells>
  <conditionalFormatting sqref="M35">
    <cfRule type="expression" dxfId="90" priority="26">
      <formula>AND(M35=MAX($E$35,$G$35,$I$35,$K$35,$M$35), E35&lt;M35, G35&lt;M35, I35&lt;M35, K35&lt;M35)</formula>
    </cfRule>
  </conditionalFormatting>
  <conditionalFormatting sqref="K35">
    <cfRule type="expression" dxfId="89" priority="25">
      <formula>AND(K35=MAX($E$35,$G$35,$I$35,$K$35,$M$35), E35&lt;K35, G35&lt;K35, I35&lt;K35)</formula>
    </cfRule>
  </conditionalFormatting>
  <conditionalFormatting sqref="I35">
    <cfRule type="expression" dxfId="88" priority="24">
      <formula>AND(I35=MAX($E$35,$G$35,$I$35,$K$35,$M$35), E35&lt;I35, G35&lt;I35)</formula>
    </cfRule>
  </conditionalFormatting>
  <conditionalFormatting sqref="G35">
    <cfRule type="expression" dxfId="87" priority="23">
      <formula>AND(G35=MAX($E$35,$G$35,$I$35,$K$35,$M$35), E35&lt;G35)</formula>
    </cfRule>
  </conditionalFormatting>
  <conditionalFormatting sqref="E35">
    <cfRule type="expression" dxfId="86" priority="22">
      <formula>E35=MAX($E$35,$G$35,$I$35,$K$35,$M$35)</formula>
    </cfRule>
  </conditionalFormatting>
  <conditionalFormatting sqref="N35">
    <cfRule type="expression" dxfId="85" priority="21">
      <formula>AND(N35=MAX($F$35,$H$35,$J$35,$L$35,$N$35), F35&lt;N35, H35&lt;N35, J35&lt;N35, L35&lt;N35)</formula>
    </cfRule>
  </conditionalFormatting>
  <conditionalFormatting sqref="L35">
    <cfRule type="expression" dxfId="84" priority="20">
      <formula>AND(L35=MAX($F$35,$H$35,$J$35,$L$35,$N$35), F35&lt;L35, H35&lt;L35, J35&lt;L35)</formula>
    </cfRule>
  </conditionalFormatting>
  <conditionalFormatting sqref="J35">
    <cfRule type="expression" dxfId="83" priority="19">
      <formula>AND(J35=MAX($F$35,$H$35,$J$35,$L$35,$N$35), F35&lt;J35, H35&lt;J35)</formula>
    </cfRule>
  </conditionalFormatting>
  <conditionalFormatting sqref="H35">
    <cfRule type="expression" dxfId="82" priority="18">
      <formula>AND(H35=MAX($F$35,$H$35,$J$35,$L$35,$N$35), F35&lt;H35)</formula>
    </cfRule>
  </conditionalFormatting>
  <conditionalFormatting sqref="F35">
    <cfRule type="expression" dxfId="81" priority="17">
      <formula>F35=MAX($F$35,$H$35,$J$35,$L$35,$N$35)</formula>
    </cfRule>
  </conditionalFormatting>
  <conditionalFormatting sqref="E90">
    <cfRule type="expression" dxfId="80" priority="7">
      <formula>E90=MAX($E$90,$G$90,$I$90,$K$90,$M$90)</formula>
    </cfRule>
  </conditionalFormatting>
  <conditionalFormatting sqref="G90">
    <cfRule type="expression" dxfId="79" priority="8">
      <formula>AND(G90=MAX($E$90,$G$90,$I$90,$K$90,$M$90), E90&lt;G90)</formula>
    </cfRule>
  </conditionalFormatting>
  <conditionalFormatting sqref="I90">
    <cfRule type="expression" dxfId="78" priority="9">
      <formula>AND(I90=MAX($E$90,$G$90,$I$90,$K$90,$M$90), E90&lt;I90, G90&lt;I90)</formula>
    </cfRule>
  </conditionalFormatting>
  <conditionalFormatting sqref="K90">
    <cfRule type="expression" dxfId="77" priority="10">
      <formula>AND(M90=MAX($E$90,$G$90,$I$90,$K$90,$M$90), G90&lt;M90, I90&lt;M90, K90&lt;M90)</formula>
    </cfRule>
  </conditionalFormatting>
  <conditionalFormatting sqref="M90">
    <cfRule type="expression" dxfId="76" priority="11">
      <formula>AND(Q87=MAX($E$90,$G$90,$I$90,$K$90,$M$90), I90&lt;Q87, K90&lt;Q87, M90&lt;Q87, O87&lt;Q87)</formula>
    </cfRule>
  </conditionalFormatting>
  <conditionalFormatting sqref="N90">
    <cfRule type="expression" dxfId="75" priority="12">
      <formula>AND(N90=MAX($F$90,$H$90,$J$90,$L$90,$N$90), F90&lt;N90, H90&lt;N90, J90&lt;N90, L90&lt;N90)</formula>
    </cfRule>
  </conditionalFormatting>
  <conditionalFormatting sqref="L90">
    <cfRule type="expression" dxfId="74" priority="13">
      <formula>AND(J90=MAX($F$90,$H$90,$J$90,$L$90,$N$90), D90&lt;J90, F90&lt;J90, H90&lt;J90)</formula>
    </cfRule>
  </conditionalFormatting>
  <conditionalFormatting sqref="J90">
    <cfRule type="expression" dxfId="73" priority="14">
      <formula>AND(H90=MAX($F$90,$H$90,$J$90,$L$90,$N$90), D90&lt;H90, F90&lt;H90)</formula>
    </cfRule>
  </conditionalFormatting>
  <conditionalFormatting sqref="H90">
    <cfRule type="expression" dxfId="72" priority="15">
      <formula>AND(F90=MAX($F$90,$H$90,$J$90,$L$90,$N$90), D90&lt;F90)</formula>
    </cfRule>
  </conditionalFormatting>
  <conditionalFormatting sqref="F90">
    <cfRule type="expression" dxfId="71" priority="16">
      <formula>D90=MAX($F$90,$H$90,$J$90,$L$90,$N$90)</formula>
    </cfRule>
  </conditionalFormatting>
  <conditionalFormatting sqref="G43:G51">
    <cfRule type="cellIs" dxfId="70" priority="4" operator="equal">
      <formula>"PASS"</formula>
    </cfRule>
  </conditionalFormatting>
  <conditionalFormatting sqref="G43:G51">
    <cfRule type="cellIs" dxfId="69" priority="3" operator="equal">
      <formula>"FAIL"</formula>
    </cfRule>
  </conditionalFormatting>
  <conditionalFormatting sqref="G98:G106">
    <cfRule type="cellIs" dxfId="68" priority="2" operator="equal">
      <formula>"PASS"</formula>
    </cfRule>
  </conditionalFormatting>
  <conditionalFormatting sqref="G98:G106">
    <cfRule type="cellIs" dxfId="67" priority="1" operator="equal">
      <formula>"FAIL"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BECD56B-80DE-492E-895C-E5195AEC8C6E}">
          <x14:formula1>
            <xm:f>Purlin!$A$1:$I$1</xm:f>
          </x14:formula1>
          <xm:sqref>I13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438F1-D3E2-441E-9FF0-569FE436B38A}">
  <dimension ref="A1:T117"/>
  <sheetViews>
    <sheetView workbookViewId="0">
      <selection activeCell="N21" sqref="N21"/>
    </sheetView>
  </sheetViews>
  <sheetFormatPr defaultRowHeight="15" x14ac:dyDescent="0.25"/>
  <cols>
    <col min="2" max="2" width="12.5703125" bestFit="1" customWidth="1"/>
    <col min="4" max="4" width="11.5703125" bestFit="1" customWidth="1"/>
    <col min="12" max="12" width="11.5703125" bestFit="1" customWidth="1"/>
    <col min="13" max="13" width="12" bestFit="1" customWidth="1"/>
    <col min="14" max="14" width="11" bestFit="1" customWidth="1"/>
  </cols>
  <sheetData>
    <row r="1" spans="1:10" ht="15.75" thickBot="1" x14ac:dyDescent="0.3">
      <c r="A1" s="438" t="s">
        <v>432</v>
      </c>
      <c r="B1" s="439"/>
      <c r="C1" s="436" t="s">
        <v>428</v>
      </c>
      <c r="D1" s="437"/>
      <c r="E1" s="434" t="s">
        <v>429</v>
      </c>
      <c r="F1" s="435"/>
      <c r="G1" s="434" t="s">
        <v>430</v>
      </c>
      <c r="H1" s="435"/>
      <c r="I1" s="434" t="s">
        <v>431</v>
      </c>
      <c r="J1" s="435"/>
    </row>
    <row r="2" spans="1:10" x14ac:dyDescent="0.25">
      <c r="A2" s="217" t="s">
        <v>343</v>
      </c>
      <c r="B2" s="227">
        <v>0.57940999999999998</v>
      </c>
      <c r="C2" s="217" t="s">
        <v>343</v>
      </c>
      <c r="D2" s="227"/>
      <c r="E2" s="217" t="s">
        <v>343</v>
      </c>
      <c r="F2" s="227"/>
      <c r="G2" s="217" t="s">
        <v>343</v>
      </c>
      <c r="H2" s="227"/>
      <c r="I2" s="217" t="s">
        <v>343</v>
      </c>
      <c r="J2" s="227"/>
    </row>
    <row r="3" spans="1:10" x14ac:dyDescent="0.25">
      <c r="A3" s="221" t="s">
        <v>529</v>
      </c>
      <c r="B3" s="98">
        <v>0.40379999999999999</v>
      </c>
      <c r="C3" s="221" t="s">
        <v>529</v>
      </c>
      <c r="D3" s="98"/>
      <c r="E3" s="221" t="s">
        <v>529</v>
      </c>
      <c r="F3" s="98"/>
      <c r="G3" s="221" t="s">
        <v>529</v>
      </c>
      <c r="H3" s="98"/>
      <c r="I3" s="221" t="s">
        <v>529</v>
      </c>
      <c r="J3" s="98"/>
    </row>
    <row r="4" spans="1:10" x14ac:dyDescent="0.25">
      <c r="A4" s="221" t="s">
        <v>530</v>
      </c>
      <c r="B4" s="98">
        <v>0.20587718362397484</v>
      </c>
      <c r="C4" s="221" t="s">
        <v>530</v>
      </c>
      <c r="D4" s="98"/>
      <c r="E4" s="221" t="s">
        <v>530</v>
      </c>
      <c r="F4" s="98"/>
      <c r="G4" s="221" t="s">
        <v>530</v>
      </c>
      <c r="H4" s="98"/>
      <c r="I4" s="221" t="s">
        <v>530</v>
      </c>
      <c r="J4" s="98"/>
    </row>
    <row r="5" spans="1:10" x14ac:dyDescent="0.25">
      <c r="A5" s="221" t="s">
        <v>531</v>
      </c>
      <c r="B5" s="98">
        <v>0.20587718362397484</v>
      </c>
      <c r="C5" s="221" t="s">
        <v>531</v>
      </c>
      <c r="D5" s="98"/>
      <c r="E5" s="221" t="s">
        <v>531</v>
      </c>
      <c r="F5" s="98"/>
      <c r="G5" s="221" t="s">
        <v>531</v>
      </c>
      <c r="H5" s="98"/>
      <c r="I5" s="221" t="s">
        <v>531</v>
      </c>
      <c r="J5" s="98"/>
    </row>
    <row r="6" spans="1:10" x14ac:dyDescent="0.25">
      <c r="A6" s="221" t="s">
        <v>532</v>
      </c>
      <c r="B6" s="98">
        <v>0.43189</v>
      </c>
      <c r="C6" s="221" t="s">
        <v>532</v>
      </c>
      <c r="D6" s="98"/>
      <c r="E6" s="221" t="s">
        <v>532</v>
      </c>
      <c r="F6" s="98"/>
      <c r="G6" s="221" t="s">
        <v>532</v>
      </c>
      <c r="H6" s="98"/>
      <c r="I6" s="221" t="s">
        <v>532</v>
      </c>
      <c r="J6" s="98"/>
    </row>
    <row r="7" spans="1:10" x14ac:dyDescent="0.25">
      <c r="A7" s="221" t="s">
        <v>533</v>
      </c>
      <c r="B7" s="98">
        <v>0.83479999999999999</v>
      </c>
      <c r="C7" s="221" t="s">
        <v>533</v>
      </c>
      <c r="D7" s="98"/>
      <c r="E7" s="221" t="s">
        <v>533</v>
      </c>
      <c r="F7" s="98"/>
      <c r="G7" s="221" t="s">
        <v>533</v>
      </c>
      <c r="H7" s="98"/>
      <c r="I7" s="221" t="s">
        <v>533</v>
      </c>
      <c r="J7" s="98"/>
    </row>
    <row r="8" spans="1:10" x14ac:dyDescent="0.25">
      <c r="A8" s="221" t="s">
        <v>534</v>
      </c>
      <c r="B8" s="98">
        <v>1.839</v>
      </c>
      <c r="C8" s="221" t="s">
        <v>534</v>
      </c>
      <c r="D8" s="98"/>
      <c r="E8" s="221" t="s">
        <v>534</v>
      </c>
      <c r="F8" s="98"/>
      <c r="G8" s="221" t="s">
        <v>534</v>
      </c>
      <c r="H8" s="98"/>
      <c r="I8" s="221" t="s">
        <v>534</v>
      </c>
      <c r="J8" s="98"/>
    </row>
    <row r="9" spans="1:10" x14ac:dyDescent="0.25">
      <c r="A9" s="221" t="s">
        <v>535</v>
      </c>
      <c r="B9" s="98">
        <v>1.839</v>
      </c>
      <c r="C9" s="221" t="s">
        <v>535</v>
      </c>
      <c r="D9" s="98"/>
      <c r="E9" s="221" t="s">
        <v>535</v>
      </c>
      <c r="F9" s="98"/>
      <c r="G9" s="221" t="s">
        <v>535</v>
      </c>
      <c r="H9" s="98"/>
      <c r="I9" s="221" t="s">
        <v>535</v>
      </c>
      <c r="J9" s="98"/>
    </row>
    <row r="10" spans="1:10" x14ac:dyDescent="0.25">
      <c r="A10" s="221" t="s">
        <v>536</v>
      </c>
      <c r="B10" s="98">
        <v>3.6779999999999999</v>
      </c>
      <c r="C10" s="221" t="s">
        <v>536</v>
      </c>
      <c r="D10" s="98"/>
      <c r="E10" s="221" t="s">
        <v>536</v>
      </c>
      <c r="F10" s="98"/>
      <c r="G10" s="221" t="s">
        <v>536</v>
      </c>
      <c r="H10" s="98"/>
      <c r="I10" s="221" t="s">
        <v>536</v>
      </c>
      <c r="J10" s="98"/>
    </row>
    <row r="11" spans="1:10" x14ac:dyDescent="0.25">
      <c r="A11" s="221" t="s">
        <v>537</v>
      </c>
      <c r="B11" s="98">
        <v>0</v>
      </c>
      <c r="C11" s="221" t="s">
        <v>537</v>
      </c>
      <c r="D11" s="98"/>
      <c r="E11" s="221" t="s">
        <v>537</v>
      </c>
      <c r="F11" s="98"/>
      <c r="G11" s="221" t="s">
        <v>537</v>
      </c>
      <c r="H11" s="98"/>
      <c r="I11" s="221" t="s">
        <v>537</v>
      </c>
      <c r="J11" s="98"/>
    </row>
    <row r="12" spans="1:10" x14ac:dyDescent="0.25">
      <c r="A12" s="221" t="s">
        <v>538</v>
      </c>
      <c r="B12" s="98">
        <v>0.93149999999999999</v>
      </c>
      <c r="C12" s="221" t="s">
        <v>538</v>
      </c>
      <c r="D12" s="98"/>
      <c r="E12" s="221" t="s">
        <v>538</v>
      </c>
      <c r="F12" s="98"/>
      <c r="G12" s="221" t="s">
        <v>538</v>
      </c>
      <c r="H12" s="98"/>
      <c r="I12" s="221" t="s">
        <v>538</v>
      </c>
      <c r="J12" s="98"/>
    </row>
    <row r="13" spans="1:10" x14ac:dyDescent="0.25">
      <c r="A13" s="221" t="s">
        <v>539</v>
      </c>
      <c r="B13" s="98">
        <v>0.47088999999999998</v>
      </c>
      <c r="C13" s="221" t="s">
        <v>539</v>
      </c>
      <c r="D13" s="98"/>
      <c r="E13" s="221" t="s">
        <v>539</v>
      </c>
      <c r="F13" s="98"/>
      <c r="G13" s="221" t="s">
        <v>539</v>
      </c>
      <c r="H13" s="98"/>
      <c r="I13" s="221" t="s">
        <v>539</v>
      </c>
      <c r="J13" s="98"/>
    </row>
    <row r="14" spans="1:10" x14ac:dyDescent="0.25">
      <c r="A14" s="221" t="s">
        <v>540</v>
      </c>
      <c r="B14" s="98">
        <v>0.62339877232736973</v>
      </c>
      <c r="C14" s="221" t="s">
        <v>540</v>
      </c>
      <c r="D14" s="98"/>
      <c r="E14" s="221" t="s">
        <v>540</v>
      </c>
      <c r="F14" s="98"/>
      <c r="G14" s="221" t="s">
        <v>540</v>
      </c>
      <c r="H14" s="98"/>
      <c r="I14" s="221" t="s">
        <v>540</v>
      </c>
      <c r="J14" s="98"/>
    </row>
    <row r="15" spans="1:10" x14ac:dyDescent="0.25">
      <c r="A15" s="221" t="s">
        <v>541</v>
      </c>
      <c r="B15" s="98">
        <v>0.65547</v>
      </c>
      <c r="C15" s="221" t="s">
        <v>541</v>
      </c>
      <c r="D15" s="98"/>
      <c r="E15" s="221" t="s">
        <v>541</v>
      </c>
      <c r="F15" s="98"/>
      <c r="G15" s="221" t="s">
        <v>541</v>
      </c>
      <c r="H15" s="98"/>
      <c r="I15" s="221" t="s">
        <v>541</v>
      </c>
      <c r="J15" s="98"/>
    </row>
    <row r="16" spans="1:10" x14ac:dyDescent="0.25">
      <c r="A16" s="221" t="s">
        <v>542</v>
      </c>
      <c r="B16" s="98">
        <v>1.268</v>
      </c>
      <c r="C16" s="221" t="s">
        <v>542</v>
      </c>
      <c r="D16" s="98"/>
      <c r="E16" s="221" t="s">
        <v>542</v>
      </c>
      <c r="F16" s="98"/>
      <c r="G16" s="221" t="s">
        <v>542</v>
      </c>
      <c r="H16" s="98"/>
      <c r="I16" s="221" t="s">
        <v>542</v>
      </c>
      <c r="J16" s="98"/>
    </row>
    <row r="17" spans="1:10" x14ac:dyDescent="0.25">
      <c r="A17" s="221" t="s">
        <v>611</v>
      </c>
      <c r="B17" s="98">
        <v>1.9782</v>
      </c>
      <c r="C17" s="221" t="s">
        <v>611</v>
      </c>
      <c r="D17" s="98"/>
      <c r="E17" s="221" t="s">
        <v>611</v>
      </c>
      <c r="F17" s="98"/>
      <c r="G17" s="221" t="s">
        <v>611</v>
      </c>
      <c r="H17" s="98"/>
      <c r="I17" s="221" t="s">
        <v>611</v>
      </c>
      <c r="J17" s="98"/>
    </row>
    <row r="18" spans="1:10" x14ac:dyDescent="0.25">
      <c r="A18" s="221" t="s">
        <v>612</v>
      </c>
      <c r="B18" s="98">
        <v>1.5218</v>
      </c>
      <c r="C18" s="221" t="s">
        <v>612</v>
      </c>
      <c r="D18" s="98"/>
      <c r="E18" s="221" t="s">
        <v>612</v>
      </c>
      <c r="F18" s="98"/>
      <c r="G18" s="221" t="s">
        <v>612</v>
      </c>
      <c r="H18" s="98"/>
      <c r="I18" s="221" t="s">
        <v>612</v>
      </c>
      <c r="J18" s="98"/>
    </row>
    <row r="19" spans="1:10" x14ac:dyDescent="0.25">
      <c r="A19" s="221" t="s">
        <v>543</v>
      </c>
      <c r="B19" s="98">
        <v>3.5</v>
      </c>
      <c r="C19" s="221" t="s">
        <v>543</v>
      </c>
      <c r="D19" s="98"/>
      <c r="E19" s="221" t="s">
        <v>543</v>
      </c>
      <c r="F19" s="98"/>
      <c r="G19" s="221" t="s">
        <v>543</v>
      </c>
      <c r="H19" s="98"/>
      <c r="I19" s="221" t="s">
        <v>543</v>
      </c>
      <c r="J19" s="98"/>
    </row>
    <row r="20" spans="1:10" x14ac:dyDescent="0.25">
      <c r="A20" s="221" t="s">
        <v>544</v>
      </c>
      <c r="B20" s="98">
        <v>-2.2892999999999999</v>
      </c>
      <c r="C20" s="221" t="s">
        <v>544</v>
      </c>
      <c r="D20" s="98"/>
      <c r="E20" s="221" t="s">
        <v>544</v>
      </c>
      <c r="F20" s="98"/>
      <c r="G20" s="221" t="s">
        <v>544</v>
      </c>
      <c r="H20" s="98"/>
      <c r="I20" s="221" t="s">
        <v>544</v>
      </c>
      <c r="J20" s="98"/>
    </row>
    <row r="21" spans="1:10" x14ac:dyDescent="0.25">
      <c r="A21" s="221" t="s">
        <v>545</v>
      </c>
      <c r="B21" s="98">
        <v>0</v>
      </c>
      <c r="C21" s="221" t="s">
        <v>545</v>
      </c>
      <c r="D21" s="98"/>
      <c r="E21" s="221" t="s">
        <v>545</v>
      </c>
      <c r="F21" s="98"/>
      <c r="G21" s="221" t="s">
        <v>545</v>
      </c>
      <c r="H21" s="98"/>
      <c r="I21" s="221" t="s">
        <v>545</v>
      </c>
      <c r="J21" s="98"/>
    </row>
    <row r="22" spans="1:10" x14ac:dyDescent="0.25">
      <c r="A22" s="221" t="s">
        <v>546</v>
      </c>
      <c r="B22" s="98">
        <v>2.3237999999999999</v>
      </c>
      <c r="C22" s="221" t="s">
        <v>546</v>
      </c>
      <c r="D22" s="98"/>
      <c r="E22" s="221" t="s">
        <v>546</v>
      </c>
      <c r="F22" s="98"/>
      <c r="G22" s="221" t="s">
        <v>546</v>
      </c>
      <c r="H22" s="98"/>
      <c r="I22" s="221" t="s">
        <v>546</v>
      </c>
      <c r="J22" s="98"/>
    </row>
    <row r="23" spans="1:10" x14ac:dyDescent="0.25">
      <c r="A23" s="221" t="s">
        <v>547</v>
      </c>
      <c r="B23" s="98">
        <v>0</v>
      </c>
      <c r="C23" s="221" t="s">
        <v>547</v>
      </c>
      <c r="D23" s="98"/>
      <c r="E23" s="221" t="s">
        <v>547</v>
      </c>
      <c r="F23" s="98"/>
      <c r="G23" s="221" t="s">
        <v>547</v>
      </c>
      <c r="H23" s="98"/>
      <c r="I23" s="221" t="s">
        <v>547</v>
      </c>
      <c r="J23" s="98"/>
    </row>
    <row r="24" spans="1:10" x14ac:dyDescent="0.25">
      <c r="A24" s="221" t="s">
        <v>548</v>
      </c>
      <c r="B24" s="98">
        <v>0.93149999999999999</v>
      </c>
      <c r="C24" s="221" t="s">
        <v>548</v>
      </c>
      <c r="D24" s="98"/>
      <c r="E24" s="221" t="s">
        <v>548</v>
      </c>
      <c r="F24" s="98"/>
      <c r="G24" s="221" t="s">
        <v>548</v>
      </c>
      <c r="H24" s="98"/>
      <c r="I24" s="221" t="s">
        <v>548</v>
      </c>
      <c r="J24" s="98"/>
    </row>
    <row r="25" spans="1:10" x14ac:dyDescent="0.25">
      <c r="A25" s="221" t="s">
        <v>549</v>
      </c>
      <c r="B25" s="98">
        <v>0.40379999999999999</v>
      </c>
      <c r="C25" s="221" t="s">
        <v>549</v>
      </c>
      <c r="D25" s="98"/>
      <c r="E25" s="221" t="s">
        <v>549</v>
      </c>
      <c r="F25" s="98"/>
      <c r="G25" s="221" t="s">
        <v>549</v>
      </c>
      <c r="H25" s="98"/>
      <c r="I25" s="221" t="s">
        <v>549</v>
      </c>
      <c r="J25" s="98"/>
    </row>
    <row r="26" spans="1:10" x14ac:dyDescent="0.25">
      <c r="A26" s="221" t="s">
        <v>550</v>
      </c>
      <c r="B26" s="98">
        <v>1.3352999999999999</v>
      </c>
      <c r="C26" s="221" t="s">
        <v>550</v>
      </c>
      <c r="D26" s="98"/>
      <c r="E26" s="221" t="s">
        <v>550</v>
      </c>
      <c r="F26" s="98"/>
      <c r="G26" s="221" t="s">
        <v>550</v>
      </c>
      <c r="H26" s="98"/>
      <c r="I26" s="221" t="s">
        <v>550</v>
      </c>
      <c r="J26" s="98"/>
    </row>
    <row r="27" spans="1:10" x14ac:dyDescent="0.25">
      <c r="A27" s="221" t="s">
        <v>551</v>
      </c>
      <c r="B27" s="98">
        <v>4.3720999999999997</v>
      </c>
      <c r="C27" s="221" t="s">
        <v>551</v>
      </c>
      <c r="D27" s="98"/>
      <c r="E27" s="221" t="s">
        <v>551</v>
      </c>
      <c r="F27" s="98"/>
      <c r="G27" s="221" t="s">
        <v>551</v>
      </c>
      <c r="H27" s="98"/>
      <c r="I27" s="221" t="s">
        <v>551</v>
      </c>
      <c r="J27" s="98"/>
    </row>
    <row r="28" spans="1:10" x14ac:dyDescent="0.25">
      <c r="A28" s="221" t="s">
        <v>552</v>
      </c>
      <c r="B28" s="98">
        <v>1.268</v>
      </c>
      <c r="C28" s="221" t="s">
        <v>552</v>
      </c>
      <c r="D28" s="98"/>
      <c r="E28" s="221" t="s">
        <v>552</v>
      </c>
      <c r="F28" s="98"/>
      <c r="G28" s="221" t="s">
        <v>552</v>
      </c>
      <c r="H28" s="98"/>
      <c r="I28" s="221" t="s">
        <v>552</v>
      </c>
      <c r="J28" s="98"/>
    </row>
    <row r="29" spans="1:10" x14ac:dyDescent="0.25">
      <c r="A29" s="221" t="s">
        <v>553</v>
      </c>
      <c r="B29" s="98">
        <v>0.83479999999999999</v>
      </c>
      <c r="C29" s="221" t="s">
        <v>553</v>
      </c>
      <c r="D29" s="98"/>
      <c r="E29" s="221" t="s">
        <v>553</v>
      </c>
      <c r="F29" s="98"/>
      <c r="G29" s="221" t="s">
        <v>553</v>
      </c>
      <c r="H29" s="98"/>
      <c r="I29" s="221" t="s">
        <v>553</v>
      </c>
      <c r="J29" s="98"/>
    </row>
    <row r="30" spans="1:10" x14ac:dyDescent="0.25">
      <c r="A30" s="221" t="s">
        <v>554</v>
      </c>
      <c r="B30" s="98">
        <v>1.5181</v>
      </c>
      <c r="C30" s="221" t="s">
        <v>554</v>
      </c>
      <c r="D30" s="98"/>
      <c r="E30" s="221" t="s">
        <v>554</v>
      </c>
      <c r="F30" s="98"/>
      <c r="G30" s="221" t="s">
        <v>554</v>
      </c>
      <c r="H30" s="98"/>
      <c r="I30" s="221" t="s">
        <v>554</v>
      </c>
      <c r="J30" s="98"/>
    </row>
    <row r="31" spans="1:10" x14ac:dyDescent="0.25">
      <c r="A31" s="221" t="s">
        <v>555</v>
      </c>
      <c r="B31" s="98">
        <v>2.7469000000000001</v>
      </c>
      <c r="C31" s="221" t="s">
        <v>555</v>
      </c>
      <c r="D31" s="98"/>
      <c r="E31" s="221" t="s">
        <v>555</v>
      </c>
      <c r="F31" s="98"/>
      <c r="G31" s="221" t="s">
        <v>555</v>
      </c>
      <c r="H31" s="98"/>
      <c r="I31" s="221" t="s">
        <v>555</v>
      </c>
      <c r="J31" s="98"/>
    </row>
    <row r="32" spans="1:10" x14ac:dyDescent="0.25">
      <c r="A32" s="221" t="s">
        <v>556</v>
      </c>
      <c r="B32" s="98">
        <v>0.74153999999999998</v>
      </c>
      <c r="C32" s="221" t="s">
        <v>556</v>
      </c>
      <c r="D32" s="98"/>
      <c r="E32" s="221" t="s">
        <v>556</v>
      </c>
      <c r="F32" s="98"/>
      <c r="G32" s="221" t="s">
        <v>556</v>
      </c>
      <c r="H32" s="98"/>
      <c r="I32" s="221" t="s">
        <v>556</v>
      </c>
      <c r="J32" s="98"/>
    </row>
    <row r="33" spans="1:13" x14ac:dyDescent="0.25">
      <c r="A33" s="221" t="s">
        <v>320</v>
      </c>
      <c r="B33" s="98">
        <v>5.8423999999999998E-4</v>
      </c>
      <c r="C33" s="221" t="s">
        <v>320</v>
      </c>
      <c r="D33" s="98"/>
      <c r="E33" s="221" t="s">
        <v>320</v>
      </c>
      <c r="F33" s="98"/>
      <c r="G33" s="221" t="s">
        <v>320</v>
      </c>
      <c r="H33" s="98"/>
      <c r="I33" s="221" t="s">
        <v>320</v>
      </c>
      <c r="J33" s="98"/>
    </row>
    <row r="34" spans="1:13" x14ac:dyDescent="0.25">
      <c r="A34" s="221" t="s">
        <v>557</v>
      </c>
      <c r="B34" s="98">
        <v>5.5E-2</v>
      </c>
      <c r="C34" s="221" t="s">
        <v>557</v>
      </c>
      <c r="D34" s="98">
        <v>4.3999999999999997E-2</v>
      </c>
      <c r="E34" s="221" t="s">
        <v>557</v>
      </c>
      <c r="F34" s="98">
        <v>5.5E-2</v>
      </c>
      <c r="G34" s="221" t="s">
        <v>557</v>
      </c>
      <c r="H34" s="98">
        <v>7.0000000000000007E-2</v>
      </c>
      <c r="I34" s="221" t="s">
        <v>557</v>
      </c>
      <c r="J34" s="98">
        <v>7.3999999999999996E-2</v>
      </c>
    </row>
    <row r="35" spans="1:13" x14ac:dyDescent="0.25">
      <c r="A35" s="288" t="s">
        <v>588</v>
      </c>
      <c r="B35" s="98">
        <v>7.4422000000000002E-2</v>
      </c>
      <c r="C35" s="288" t="s">
        <v>588</v>
      </c>
      <c r="D35" s="98"/>
      <c r="E35" s="288" t="s">
        <v>588</v>
      </c>
      <c r="F35" s="98"/>
      <c r="G35" s="288" t="s">
        <v>588</v>
      </c>
      <c r="H35" s="98"/>
      <c r="I35" s="288" t="s">
        <v>588</v>
      </c>
      <c r="J35" s="98"/>
    </row>
    <row r="36" spans="1:13" x14ac:dyDescent="0.25">
      <c r="A36" s="288" t="s">
        <v>589</v>
      </c>
      <c r="B36" s="98">
        <v>1.3077E-4</v>
      </c>
      <c r="C36" s="288" t="s">
        <v>589</v>
      </c>
      <c r="D36" s="98"/>
      <c r="E36" s="288" t="s">
        <v>589</v>
      </c>
      <c r="F36" s="98"/>
      <c r="G36" s="288" t="s">
        <v>589</v>
      </c>
      <c r="H36" s="98"/>
      <c r="I36" s="288" t="s">
        <v>589</v>
      </c>
      <c r="J36" s="98"/>
    </row>
    <row r="37" spans="1:13" x14ac:dyDescent="0.25">
      <c r="A37" s="288" t="s">
        <v>590</v>
      </c>
      <c r="B37" s="98">
        <v>1.0735E-2</v>
      </c>
      <c r="C37" s="288" t="s">
        <v>590</v>
      </c>
      <c r="D37" s="98"/>
      <c r="E37" s="288" t="s">
        <v>590</v>
      </c>
      <c r="F37" s="98"/>
      <c r="G37" s="288" t="s">
        <v>590</v>
      </c>
      <c r="H37" s="98"/>
      <c r="I37" s="288" t="s">
        <v>590</v>
      </c>
      <c r="J37" s="98"/>
    </row>
    <row r="38" spans="1:13" x14ac:dyDescent="0.25">
      <c r="A38" s="288" t="s">
        <v>591</v>
      </c>
      <c r="B38" s="98">
        <v>-5.7660000000000003E-4</v>
      </c>
      <c r="C38" s="288" t="s">
        <v>591</v>
      </c>
      <c r="D38" s="98"/>
      <c r="E38" s="288" t="s">
        <v>591</v>
      </c>
      <c r="F38" s="98"/>
      <c r="G38" s="288" t="s">
        <v>591</v>
      </c>
      <c r="H38" s="98"/>
      <c r="I38" s="288" t="s">
        <v>591</v>
      </c>
      <c r="J38" s="98"/>
    </row>
    <row r="39" spans="1:13" x14ac:dyDescent="0.25">
      <c r="A39" s="288" t="s">
        <v>592</v>
      </c>
      <c r="B39" s="98">
        <v>0.50021000000000004</v>
      </c>
      <c r="C39" s="288" t="s">
        <v>592</v>
      </c>
      <c r="D39" s="98"/>
      <c r="E39" s="288" t="s">
        <v>592</v>
      </c>
      <c r="F39" s="98"/>
      <c r="G39" s="288" t="s">
        <v>592</v>
      </c>
      <c r="H39" s="98"/>
      <c r="I39" s="288" t="s">
        <v>592</v>
      </c>
      <c r="J39" s="98"/>
      <c r="M39" s="255"/>
    </row>
    <row r="40" spans="1:13" x14ac:dyDescent="0.25">
      <c r="A40" s="288" t="s">
        <v>593</v>
      </c>
      <c r="B40" s="98">
        <v>1.3731E-2</v>
      </c>
      <c r="C40" s="288" t="s">
        <v>593</v>
      </c>
      <c r="D40" s="98"/>
      <c r="E40" s="288" t="s">
        <v>593</v>
      </c>
      <c r="F40" s="98"/>
      <c r="G40" s="288" t="s">
        <v>593</v>
      </c>
      <c r="H40" s="98"/>
      <c r="I40" s="288" t="s">
        <v>593</v>
      </c>
      <c r="J40" s="98"/>
    </row>
    <row r="41" spans="1:13" x14ac:dyDescent="0.25">
      <c r="A41" s="288" t="s">
        <v>594</v>
      </c>
      <c r="B41" s="289">
        <f>2.7862*10^-8</f>
        <v>2.7862000000000002E-8</v>
      </c>
      <c r="C41" s="288" t="s">
        <v>594</v>
      </c>
      <c r="D41" s="289"/>
      <c r="E41" s="288" t="s">
        <v>594</v>
      </c>
      <c r="F41" s="98"/>
      <c r="G41" s="288" t="s">
        <v>594</v>
      </c>
      <c r="H41" s="98"/>
      <c r="I41" s="288" t="s">
        <v>594</v>
      </c>
      <c r="J41" s="98"/>
    </row>
    <row r="42" spans="1:13" x14ac:dyDescent="0.25">
      <c r="A42" s="288" t="s">
        <v>595</v>
      </c>
      <c r="B42" s="289">
        <f>7.5042*10^-5</f>
        <v>7.5042000000000004E-5</v>
      </c>
      <c r="C42" s="288" t="s">
        <v>595</v>
      </c>
      <c r="D42" s="294"/>
      <c r="E42" s="288" t="s">
        <v>595</v>
      </c>
      <c r="F42" s="98"/>
      <c r="G42" s="288" t="s">
        <v>595</v>
      </c>
      <c r="H42" s="98"/>
      <c r="I42" s="288" t="s">
        <v>595</v>
      </c>
      <c r="J42" s="98"/>
    </row>
    <row r="43" spans="1:13" x14ac:dyDescent="0.25">
      <c r="A43" s="288" t="s">
        <v>596</v>
      </c>
      <c r="B43" s="98">
        <v>-0.66942999999999997</v>
      </c>
      <c r="C43" s="288" t="s">
        <v>596</v>
      </c>
      <c r="D43" s="98"/>
      <c r="E43" s="288" t="s">
        <v>596</v>
      </c>
      <c r="F43" s="98"/>
      <c r="G43" s="288" t="s">
        <v>596</v>
      </c>
      <c r="H43" s="98"/>
      <c r="I43" s="288" t="s">
        <v>596</v>
      </c>
      <c r="J43" s="98"/>
    </row>
    <row r="44" spans="1:13" x14ac:dyDescent="0.25">
      <c r="A44" s="288" t="s">
        <v>226</v>
      </c>
      <c r="B44" s="98">
        <v>0.44452999999999998</v>
      </c>
      <c r="C44" s="288" t="s">
        <v>226</v>
      </c>
      <c r="D44" s="98"/>
      <c r="E44" s="288" t="s">
        <v>226</v>
      </c>
      <c r="F44" s="98"/>
      <c r="G44" s="288" t="s">
        <v>226</v>
      </c>
      <c r="H44" s="98"/>
      <c r="I44" s="288" t="s">
        <v>226</v>
      </c>
      <c r="J44" s="98"/>
    </row>
    <row r="45" spans="1:13" x14ac:dyDescent="0.25">
      <c r="A45" s="288" t="s">
        <v>597</v>
      </c>
      <c r="B45" s="98">
        <v>6.2519999999999998</v>
      </c>
      <c r="C45" s="288" t="s">
        <v>597</v>
      </c>
      <c r="D45" s="98"/>
      <c r="E45" s="288" t="s">
        <v>597</v>
      </c>
      <c r="F45" s="98"/>
      <c r="G45" s="288" t="s">
        <v>597</v>
      </c>
      <c r="H45" s="98"/>
      <c r="I45" s="288" t="s">
        <v>597</v>
      </c>
      <c r="J45" s="98"/>
    </row>
    <row r="46" spans="1:13" x14ac:dyDescent="0.25">
      <c r="A46" s="288" t="s">
        <v>613</v>
      </c>
      <c r="B46" s="98">
        <v>7.4422000000000002E-2</v>
      </c>
      <c r="C46" s="288" t="s">
        <v>613</v>
      </c>
      <c r="D46" s="98"/>
      <c r="E46" s="288" t="s">
        <v>613</v>
      </c>
      <c r="F46" s="98"/>
      <c r="G46" s="288" t="s">
        <v>613</v>
      </c>
      <c r="H46" s="98"/>
      <c r="I46" s="288" t="s">
        <v>613</v>
      </c>
      <c r="J46" s="98"/>
    </row>
    <row r="47" spans="1:13" x14ac:dyDescent="0.25">
      <c r="A47" s="288" t="s">
        <v>614</v>
      </c>
      <c r="B47" s="98">
        <v>1.3077E-4</v>
      </c>
      <c r="C47" s="288" t="s">
        <v>614</v>
      </c>
      <c r="D47" s="98"/>
      <c r="E47" s="288" t="s">
        <v>614</v>
      </c>
      <c r="F47" s="98"/>
      <c r="G47" s="288" t="s">
        <v>614</v>
      </c>
      <c r="H47" s="98"/>
      <c r="I47" s="288" t="s">
        <v>614</v>
      </c>
      <c r="J47" s="98"/>
    </row>
    <row r="48" spans="1:13" x14ac:dyDescent="0.25">
      <c r="A48" s="288" t="s">
        <v>615</v>
      </c>
      <c r="B48" s="98">
        <v>1.0735E-2</v>
      </c>
      <c r="C48" s="288" t="s">
        <v>615</v>
      </c>
      <c r="D48" s="98"/>
      <c r="E48" s="288" t="s">
        <v>615</v>
      </c>
      <c r="F48" s="98"/>
      <c r="G48" s="288" t="s">
        <v>615</v>
      </c>
      <c r="H48" s="98"/>
      <c r="I48" s="288" t="s">
        <v>615</v>
      </c>
      <c r="J48" s="98"/>
    </row>
    <row r="49" spans="1:19" x14ac:dyDescent="0.25">
      <c r="A49" s="288" t="s">
        <v>616</v>
      </c>
      <c r="B49" s="98">
        <v>5.7660000000000003E-4</v>
      </c>
      <c r="C49" s="288" t="s">
        <v>616</v>
      </c>
      <c r="D49" s="98"/>
      <c r="E49" s="288" t="s">
        <v>616</v>
      </c>
      <c r="F49" s="98"/>
      <c r="G49" s="288" t="s">
        <v>616</v>
      </c>
      <c r="H49" s="98"/>
      <c r="I49" s="288" t="s">
        <v>616</v>
      </c>
      <c r="J49" s="98"/>
    </row>
    <row r="50" spans="1:19" x14ac:dyDescent="0.25">
      <c r="A50" s="288" t="s">
        <v>617</v>
      </c>
      <c r="B50" s="98">
        <v>-0.50021000000000004</v>
      </c>
      <c r="C50" s="288" t="s">
        <v>617</v>
      </c>
      <c r="D50" s="98"/>
      <c r="E50" s="288" t="s">
        <v>617</v>
      </c>
      <c r="F50" s="98"/>
      <c r="G50" s="288" t="s">
        <v>617</v>
      </c>
      <c r="H50" s="98"/>
      <c r="I50" s="288" t="s">
        <v>617</v>
      </c>
      <c r="J50" s="98"/>
    </row>
    <row r="51" spans="1:19" x14ac:dyDescent="0.25">
      <c r="A51" s="288" t="s">
        <v>618</v>
      </c>
      <c r="B51" s="98">
        <v>1.3731E-2</v>
      </c>
      <c r="C51" s="288" t="s">
        <v>618</v>
      </c>
      <c r="D51" s="98"/>
      <c r="E51" s="288" t="s">
        <v>618</v>
      </c>
      <c r="F51" s="98"/>
      <c r="G51" s="288" t="s">
        <v>618</v>
      </c>
      <c r="H51" s="98"/>
      <c r="I51" s="288" t="s">
        <v>618</v>
      </c>
      <c r="J51" s="98"/>
    </row>
    <row r="52" spans="1:19" x14ac:dyDescent="0.25">
      <c r="A52" s="288" t="s">
        <v>619</v>
      </c>
      <c r="B52" s="289">
        <f>2.7862*10^-8</f>
        <v>2.7862000000000002E-8</v>
      </c>
      <c r="C52" s="288" t="s">
        <v>619</v>
      </c>
      <c r="D52" s="299"/>
      <c r="E52" s="288" t="s">
        <v>619</v>
      </c>
      <c r="F52" s="98"/>
      <c r="G52" s="288" t="s">
        <v>619</v>
      </c>
      <c r="H52" s="98"/>
      <c r="I52" s="288" t="s">
        <v>619</v>
      </c>
      <c r="J52" s="98"/>
    </row>
    <row r="53" spans="1:19" x14ac:dyDescent="0.25">
      <c r="A53" s="288" t="s">
        <v>620</v>
      </c>
      <c r="B53" s="289">
        <f>7.5042*10^-5</f>
        <v>7.5042000000000004E-5</v>
      </c>
      <c r="C53" s="288" t="s">
        <v>620</v>
      </c>
      <c r="D53" s="299"/>
      <c r="E53" s="288" t="s">
        <v>620</v>
      </c>
      <c r="F53" s="98"/>
      <c r="G53" s="288" t="s">
        <v>620</v>
      </c>
      <c r="H53" s="98"/>
      <c r="I53" s="288" t="s">
        <v>620</v>
      </c>
      <c r="J53" s="98"/>
    </row>
    <row r="54" spans="1:19" x14ac:dyDescent="0.25">
      <c r="A54" s="288" t="s">
        <v>621</v>
      </c>
      <c r="B54" s="98">
        <v>0.66942999999999997</v>
      </c>
      <c r="C54" s="288" t="s">
        <v>621</v>
      </c>
      <c r="D54" s="98"/>
      <c r="E54" s="288" t="s">
        <v>621</v>
      </c>
      <c r="F54" s="98"/>
      <c r="G54" s="288" t="s">
        <v>621</v>
      </c>
      <c r="H54" s="98"/>
      <c r="I54" s="288" t="s">
        <v>621</v>
      </c>
      <c r="J54" s="98"/>
    </row>
    <row r="55" spans="1:19" x14ac:dyDescent="0.25">
      <c r="A55" s="288" t="s">
        <v>597</v>
      </c>
      <c r="B55" s="98">
        <v>5.6772999999999998</v>
      </c>
      <c r="C55" s="288" t="s">
        <v>597</v>
      </c>
      <c r="D55" s="98"/>
      <c r="E55" s="288" t="s">
        <v>597</v>
      </c>
      <c r="F55" s="98"/>
      <c r="G55" s="288" t="s">
        <v>597</v>
      </c>
      <c r="H55" s="98"/>
      <c r="I55" s="221"/>
      <c r="J55" s="98"/>
    </row>
    <row r="56" spans="1:19" x14ac:dyDescent="0.25">
      <c r="A56" s="288" t="s">
        <v>622</v>
      </c>
      <c r="B56" s="98">
        <v>7.4422000000000002E-2</v>
      </c>
      <c r="C56" s="288" t="s">
        <v>622</v>
      </c>
      <c r="D56" s="98"/>
      <c r="E56" s="288" t="s">
        <v>622</v>
      </c>
      <c r="F56" s="98"/>
      <c r="G56" s="288" t="s">
        <v>622</v>
      </c>
      <c r="H56" s="98"/>
      <c r="I56" s="288" t="s">
        <v>622</v>
      </c>
      <c r="J56" s="98"/>
    </row>
    <row r="57" spans="1:19" x14ac:dyDescent="0.25">
      <c r="A57" s="288" t="s">
        <v>623</v>
      </c>
      <c r="B57" s="98">
        <v>1.3077E-4</v>
      </c>
      <c r="C57" s="288" t="s">
        <v>623</v>
      </c>
      <c r="D57" s="98"/>
      <c r="E57" s="288" t="s">
        <v>623</v>
      </c>
      <c r="F57" s="98"/>
      <c r="G57" s="288" t="s">
        <v>623</v>
      </c>
      <c r="H57" s="98"/>
      <c r="I57" s="288" t="s">
        <v>623</v>
      </c>
      <c r="J57" s="98"/>
    </row>
    <row r="58" spans="1:19" x14ac:dyDescent="0.25">
      <c r="A58" s="288" t="s">
        <v>624</v>
      </c>
      <c r="B58" s="98">
        <v>1.0735E-2</v>
      </c>
      <c r="C58" s="288" t="s">
        <v>624</v>
      </c>
      <c r="D58" s="98"/>
      <c r="E58" s="288" t="s">
        <v>624</v>
      </c>
      <c r="F58" s="98"/>
      <c r="G58" s="288" t="s">
        <v>624</v>
      </c>
      <c r="H58" s="98"/>
      <c r="I58" s="288" t="s">
        <v>624</v>
      </c>
      <c r="J58" s="98"/>
    </row>
    <row r="59" spans="1:19" x14ac:dyDescent="0.25">
      <c r="A59" s="288" t="s">
        <v>625</v>
      </c>
      <c r="B59" s="98">
        <v>5.7660000000000003E-4</v>
      </c>
      <c r="C59" s="288" t="s">
        <v>625</v>
      </c>
      <c r="D59" s="98"/>
      <c r="E59" s="288" t="s">
        <v>625</v>
      </c>
      <c r="F59" s="98"/>
      <c r="G59" s="288" t="s">
        <v>625</v>
      </c>
      <c r="H59" s="98"/>
      <c r="I59" s="288" t="s">
        <v>625</v>
      </c>
      <c r="J59" s="98"/>
      <c r="S59" s="174"/>
    </row>
    <row r="60" spans="1:19" x14ac:dyDescent="0.25">
      <c r="A60" s="288" t="s">
        <v>626</v>
      </c>
      <c r="B60" s="98">
        <v>-0.50021000000000004</v>
      </c>
      <c r="C60" s="288" t="s">
        <v>626</v>
      </c>
      <c r="D60" s="98"/>
      <c r="E60" s="288" t="s">
        <v>626</v>
      </c>
      <c r="F60" s="98"/>
      <c r="G60" s="288" t="s">
        <v>626</v>
      </c>
      <c r="H60" s="98"/>
      <c r="I60" s="288" t="s">
        <v>626</v>
      </c>
      <c r="J60" s="98"/>
      <c r="S60" s="174"/>
    </row>
    <row r="61" spans="1:19" x14ac:dyDescent="0.25">
      <c r="A61" s="288" t="s">
        <v>627</v>
      </c>
      <c r="B61" s="98">
        <v>1.3731E-2</v>
      </c>
      <c r="C61" s="288" t="s">
        <v>627</v>
      </c>
      <c r="D61" s="98"/>
      <c r="E61" s="288" t="s">
        <v>627</v>
      </c>
      <c r="F61" s="98"/>
      <c r="G61" s="288" t="s">
        <v>627</v>
      </c>
      <c r="H61" s="98"/>
      <c r="I61" s="288" t="s">
        <v>627</v>
      </c>
      <c r="J61" s="98"/>
      <c r="S61" s="174"/>
    </row>
    <row r="62" spans="1:19" x14ac:dyDescent="0.25">
      <c r="A62" s="288" t="s">
        <v>628</v>
      </c>
      <c r="B62" s="289">
        <f>2.7862*10^-8</f>
        <v>2.7862000000000002E-8</v>
      </c>
      <c r="C62" s="288" t="s">
        <v>628</v>
      </c>
      <c r="D62" s="299"/>
      <c r="E62" s="288" t="s">
        <v>628</v>
      </c>
      <c r="F62" s="98"/>
      <c r="G62" s="288" t="s">
        <v>628</v>
      </c>
      <c r="H62" s="98"/>
      <c r="I62" s="288" t="s">
        <v>628</v>
      </c>
      <c r="J62" s="98"/>
      <c r="S62" s="174"/>
    </row>
    <row r="63" spans="1:19" x14ac:dyDescent="0.25">
      <c r="A63" s="288" t="s">
        <v>629</v>
      </c>
      <c r="B63" s="289">
        <f>7.5042*10^-5</f>
        <v>7.5042000000000004E-5</v>
      </c>
      <c r="C63" s="288" t="s">
        <v>629</v>
      </c>
      <c r="D63" s="299"/>
      <c r="E63" s="288" t="s">
        <v>629</v>
      </c>
      <c r="F63" s="98"/>
      <c r="G63" s="288" t="s">
        <v>629</v>
      </c>
      <c r="H63" s="98"/>
      <c r="I63" s="288" t="s">
        <v>629</v>
      </c>
      <c r="J63" s="98"/>
      <c r="S63" s="174"/>
    </row>
    <row r="64" spans="1:19" ht="15.75" thickBot="1" x14ac:dyDescent="0.3">
      <c r="A64" s="297" t="s">
        <v>630</v>
      </c>
      <c r="B64" s="228">
        <v>0.66942999999999997</v>
      </c>
      <c r="C64" s="297" t="s">
        <v>630</v>
      </c>
      <c r="D64" s="228"/>
      <c r="E64" s="297" t="s">
        <v>630</v>
      </c>
      <c r="F64" s="228"/>
      <c r="G64" s="297" t="s">
        <v>630</v>
      </c>
      <c r="H64" s="228"/>
      <c r="I64" s="297" t="s">
        <v>630</v>
      </c>
      <c r="J64" s="228"/>
      <c r="S64" s="174"/>
    </row>
    <row r="65" spans="19:20" x14ac:dyDescent="0.25">
      <c r="S65" s="174"/>
    </row>
    <row r="66" spans="19:20" x14ac:dyDescent="0.25">
      <c r="S66" s="174"/>
    </row>
    <row r="67" spans="19:20" x14ac:dyDescent="0.25">
      <c r="S67" s="174"/>
    </row>
    <row r="68" spans="19:20" x14ac:dyDescent="0.25">
      <c r="S68" s="174"/>
    </row>
    <row r="69" spans="19:20" x14ac:dyDescent="0.25">
      <c r="S69" s="174"/>
    </row>
    <row r="70" spans="19:20" x14ac:dyDescent="0.25">
      <c r="S70" s="174"/>
    </row>
    <row r="71" spans="19:20" x14ac:dyDescent="0.25">
      <c r="S71" s="174"/>
    </row>
    <row r="72" spans="19:20" x14ac:dyDescent="0.25">
      <c r="S72" s="174"/>
    </row>
    <row r="73" spans="19:20" x14ac:dyDescent="0.25">
      <c r="S73" s="174"/>
    </row>
    <row r="74" spans="19:20" x14ac:dyDescent="0.25">
      <c r="S74" s="174"/>
    </row>
    <row r="75" spans="19:20" x14ac:dyDescent="0.25">
      <c r="S75" s="174"/>
    </row>
    <row r="76" spans="19:20" x14ac:dyDescent="0.25">
      <c r="S76" s="174"/>
    </row>
    <row r="77" spans="19:20" x14ac:dyDescent="0.25">
      <c r="S77" s="174"/>
      <c r="T77" s="256"/>
    </row>
    <row r="78" spans="19:20" x14ac:dyDescent="0.25">
      <c r="S78" s="174"/>
      <c r="T78" s="256"/>
    </row>
    <row r="79" spans="19:20" x14ac:dyDescent="0.25">
      <c r="S79" s="174"/>
    </row>
    <row r="80" spans="19:20" x14ac:dyDescent="0.25">
      <c r="S80" s="174"/>
    </row>
    <row r="81" spans="19:20" x14ac:dyDescent="0.25">
      <c r="S81" s="257"/>
      <c r="T81" s="258"/>
    </row>
    <row r="82" spans="19:20" x14ac:dyDescent="0.25">
      <c r="S82" s="174"/>
    </row>
    <row r="83" spans="19:20" x14ac:dyDescent="0.25">
      <c r="S83" s="174"/>
    </row>
    <row r="84" spans="19:20" x14ac:dyDescent="0.25">
      <c r="S84" s="257"/>
      <c r="T84" s="259"/>
    </row>
    <row r="85" spans="19:20" x14ac:dyDescent="0.25">
      <c r="S85" s="257"/>
    </row>
    <row r="86" spans="19:20" x14ac:dyDescent="0.25">
      <c r="S86" s="257"/>
      <c r="T86" s="260"/>
    </row>
    <row r="87" spans="19:20" x14ac:dyDescent="0.25">
      <c r="S87" s="257"/>
    </row>
    <row r="88" spans="19:20" x14ac:dyDescent="0.25">
      <c r="S88" s="257"/>
    </row>
    <row r="89" spans="19:20" x14ac:dyDescent="0.25">
      <c r="S89" s="257"/>
    </row>
    <row r="90" spans="19:20" x14ac:dyDescent="0.25">
      <c r="S90" s="257"/>
    </row>
    <row r="91" spans="19:20" x14ac:dyDescent="0.25">
      <c r="S91" s="174"/>
    </row>
    <row r="92" spans="19:20" x14ac:dyDescent="0.25">
      <c r="S92" s="174"/>
    </row>
    <row r="93" spans="19:20" x14ac:dyDescent="0.25">
      <c r="S93" s="257"/>
    </row>
    <row r="94" spans="19:20" x14ac:dyDescent="0.25">
      <c r="S94" s="257"/>
    </row>
    <row r="95" spans="19:20" x14ac:dyDescent="0.25">
      <c r="S95" s="174"/>
    </row>
    <row r="96" spans="19:20" x14ac:dyDescent="0.25">
      <c r="S96" s="174"/>
    </row>
    <row r="97" spans="19:20" x14ac:dyDescent="0.25">
      <c r="S97" s="174"/>
    </row>
    <row r="98" spans="19:20" x14ac:dyDescent="0.25">
      <c r="S98" s="174"/>
    </row>
    <row r="99" spans="19:20" x14ac:dyDescent="0.25">
      <c r="S99" s="174"/>
    </row>
    <row r="100" spans="19:20" x14ac:dyDescent="0.25">
      <c r="S100" s="174"/>
    </row>
    <row r="101" spans="19:20" x14ac:dyDescent="0.25">
      <c r="S101" s="174"/>
      <c r="T101" s="256"/>
    </row>
    <row r="102" spans="19:20" x14ac:dyDescent="0.25">
      <c r="S102" s="174"/>
      <c r="T102" s="256"/>
    </row>
    <row r="103" spans="19:20" x14ac:dyDescent="0.25">
      <c r="S103" s="174"/>
    </row>
    <row r="104" spans="19:20" x14ac:dyDescent="0.25">
      <c r="S104" s="174"/>
    </row>
    <row r="105" spans="19:20" x14ac:dyDescent="0.25">
      <c r="S105" s="257"/>
      <c r="T105" s="258"/>
    </row>
    <row r="106" spans="19:20" x14ac:dyDescent="0.25">
      <c r="S106" s="174"/>
    </row>
    <row r="107" spans="19:20" x14ac:dyDescent="0.25">
      <c r="S107" s="174"/>
    </row>
    <row r="108" spans="19:20" x14ac:dyDescent="0.25">
      <c r="S108" s="257"/>
      <c r="T108" s="259"/>
    </row>
    <row r="109" spans="19:20" x14ac:dyDescent="0.25">
      <c r="S109" s="257"/>
      <c r="T109" s="261"/>
    </row>
    <row r="110" spans="19:20" x14ac:dyDescent="0.25">
      <c r="S110" s="257"/>
      <c r="T110" s="262"/>
    </row>
    <row r="111" spans="19:20" x14ac:dyDescent="0.25">
      <c r="S111" s="257"/>
      <c r="T111" s="260"/>
    </row>
    <row r="112" spans="19:20" x14ac:dyDescent="0.25">
      <c r="S112" s="257"/>
    </row>
    <row r="113" spans="19:19" x14ac:dyDescent="0.25">
      <c r="S113" s="257"/>
    </row>
    <row r="114" spans="19:19" x14ac:dyDescent="0.25">
      <c r="S114" s="257"/>
    </row>
    <row r="115" spans="19:19" x14ac:dyDescent="0.25">
      <c r="S115" s="174"/>
    </row>
    <row r="116" spans="19:19" x14ac:dyDescent="0.25">
      <c r="S116" s="174"/>
    </row>
    <row r="117" spans="19:19" x14ac:dyDescent="0.25">
      <c r="S117" s="257"/>
    </row>
  </sheetData>
  <mergeCells count="5">
    <mergeCell ref="I1:J1"/>
    <mergeCell ref="G1:H1"/>
    <mergeCell ref="E1:F1"/>
    <mergeCell ref="C1:D1"/>
    <mergeCell ref="A1:B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82062-4133-41D6-A510-15DED7D77CB5}">
  <dimension ref="B1:T217"/>
  <sheetViews>
    <sheetView workbookViewId="0">
      <selection activeCell="G13" sqref="G13"/>
    </sheetView>
  </sheetViews>
  <sheetFormatPr defaultRowHeight="15" x14ac:dyDescent="0.25"/>
  <cols>
    <col min="3" max="3" width="29.7109375" bestFit="1" customWidth="1"/>
    <col min="4" max="4" width="13.28515625" bestFit="1" customWidth="1"/>
    <col min="5" max="5" width="12.28515625" customWidth="1"/>
    <col min="6" max="6" width="13.5703125" customWidth="1"/>
    <col min="7" max="7" width="12.7109375" customWidth="1"/>
    <col min="8" max="8" width="17.7109375" customWidth="1"/>
    <col min="9" max="9" width="23.7109375" customWidth="1"/>
    <col min="10" max="10" width="12" customWidth="1"/>
    <col min="13" max="13" width="9.7109375" bestFit="1" customWidth="1"/>
    <col min="14" max="14" width="32.28515625" bestFit="1" customWidth="1"/>
    <col min="15" max="15" width="13.28515625" bestFit="1" customWidth="1"/>
    <col min="16" max="16" width="13.5703125" customWidth="1"/>
    <col min="17" max="17" width="12.5703125" customWidth="1"/>
    <col min="18" max="18" width="12.42578125" customWidth="1"/>
    <col min="19" max="19" width="13.7109375" customWidth="1"/>
    <col min="20" max="20" width="12" customWidth="1"/>
  </cols>
  <sheetData>
    <row r="1" spans="2:20" ht="15.75" thickBot="1" x14ac:dyDescent="0.3">
      <c r="K1" s="146"/>
    </row>
    <row r="2" spans="2:20" x14ac:dyDescent="0.25">
      <c r="B2" s="478" t="s">
        <v>135</v>
      </c>
      <c r="C2" s="479"/>
      <c r="D2" s="143">
        <v>5</v>
      </c>
      <c r="K2" s="146"/>
    </row>
    <row r="3" spans="2:20" x14ac:dyDescent="0.25">
      <c r="B3" s="480" t="s">
        <v>136</v>
      </c>
      <c r="C3" s="384"/>
      <c r="D3" s="144">
        <v>4.75</v>
      </c>
      <c r="K3" s="146"/>
    </row>
    <row r="4" spans="2:20" x14ac:dyDescent="0.25">
      <c r="B4" s="456" t="s">
        <v>137</v>
      </c>
      <c r="C4" s="457"/>
      <c r="D4" s="144">
        <v>1</v>
      </c>
      <c r="K4" s="146"/>
    </row>
    <row r="5" spans="2:20" x14ac:dyDescent="0.25">
      <c r="B5" s="456" t="s">
        <v>138</v>
      </c>
      <c r="C5" s="457"/>
      <c r="D5" s="144">
        <f>D2*12+D4*12+9</f>
        <v>81</v>
      </c>
      <c r="K5" s="146"/>
    </row>
    <row r="6" spans="2:20" x14ac:dyDescent="0.25">
      <c r="B6" s="456" t="s">
        <v>139</v>
      </c>
      <c r="C6" s="457"/>
      <c r="D6" s="144">
        <f>D3*12+D4*12+9</f>
        <v>78</v>
      </c>
      <c r="K6" s="146"/>
    </row>
    <row r="7" spans="2:20" ht="15.75" thickBot="1" x14ac:dyDescent="0.3">
      <c r="K7" s="146"/>
    </row>
    <row r="8" spans="2:20" x14ac:dyDescent="0.25">
      <c r="B8" s="481" t="s">
        <v>140</v>
      </c>
      <c r="C8" s="482"/>
      <c r="D8" s="482"/>
      <c r="E8" s="482"/>
      <c r="F8" s="482"/>
      <c r="G8" s="482"/>
      <c r="H8" s="482"/>
      <c r="I8" s="483"/>
      <c r="K8" s="146"/>
      <c r="M8" s="481" t="s">
        <v>144</v>
      </c>
      <c r="N8" s="482"/>
      <c r="O8" s="482"/>
      <c r="P8" s="482"/>
      <c r="Q8" s="482"/>
      <c r="R8" s="482"/>
      <c r="S8" s="482"/>
      <c r="T8" s="483"/>
    </row>
    <row r="9" spans="2:20" ht="15.75" thickBot="1" x14ac:dyDescent="0.3">
      <c r="B9" s="466"/>
      <c r="C9" s="467"/>
      <c r="D9" s="467"/>
      <c r="E9" s="467"/>
      <c r="F9" s="467"/>
      <c r="G9" s="467"/>
      <c r="H9" s="467"/>
      <c r="I9" s="484"/>
      <c r="K9" s="146"/>
      <c r="M9" s="466"/>
      <c r="N9" s="467"/>
      <c r="O9" s="467"/>
      <c r="P9" s="467"/>
      <c r="Q9" s="467"/>
      <c r="R9" s="467"/>
      <c r="S9" s="467"/>
      <c r="T9" s="484"/>
    </row>
    <row r="10" spans="2:20" ht="60.75" thickBot="1" x14ac:dyDescent="0.3">
      <c r="B10" s="26" t="s">
        <v>3</v>
      </c>
      <c r="C10" s="26" t="s">
        <v>60</v>
      </c>
      <c r="D10" s="145" t="s">
        <v>13</v>
      </c>
      <c r="E10" s="44" t="s">
        <v>44</v>
      </c>
      <c r="F10" s="44" t="s">
        <v>4</v>
      </c>
      <c r="G10" s="44" t="s">
        <v>45</v>
      </c>
      <c r="H10" s="44" t="s">
        <v>47</v>
      </c>
      <c r="I10" s="45" t="s">
        <v>46</v>
      </c>
      <c r="K10" s="146"/>
      <c r="M10" s="26" t="s">
        <v>3</v>
      </c>
      <c r="N10" s="26" t="s">
        <v>60</v>
      </c>
      <c r="O10" s="145" t="s">
        <v>13</v>
      </c>
      <c r="P10" s="44" t="s">
        <v>44</v>
      </c>
      <c r="Q10" s="44" t="s">
        <v>4</v>
      </c>
      <c r="R10" s="44" t="s">
        <v>45</v>
      </c>
      <c r="S10" s="44" t="s">
        <v>47</v>
      </c>
      <c r="T10" s="45" t="s">
        <v>46</v>
      </c>
    </row>
    <row r="11" spans="2:20" x14ac:dyDescent="0.25">
      <c r="B11" s="29">
        <v>1</v>
      </c>
      <c r="C11" s="28" t="s">
        <v>0</v>
      </c>
      <c r="D11" s="47" t="s">
        <v>16</v>
      </c>
      <c r="E11" s="21">
        <f>'DRIVE REACTIONS Zone 1'!E12</f>
        <v>0</v>
      </c>
      <c r="F11" s="21">
        <f>'DRIVE REACTIONS Zone 1'!F12</f>
        <v>0</v>
      </c>
      <c r="G11" s="21">
        <f>'DRIVE REACTIONS Zone 1'!G12</f>
        <v>0</v>
      </c>
      <c r="H11" s="21">
        <f>'DRIVE REACTIONS Zone 1'!H12+(G11*$D$5)</f>
        <v>0</v>
      </c>
      <c r="I11" s="22">
        <f>'DRIVE REACTIONS Zone 1'!I12+(E11*$D$5)</f>
        <v>0</v>
      </c>
      <c r="K11" s="146"/>
      <c r="M11" s="29">
        <v>1</v>
      </c>
      <c r="N11" s="28" t="s">
        <v>0</v>
      </c>
      <c r="O11" s="35" t="s">
        <v>16</v>
      </c>
      <c r="P11" s="21">
        <f>'IDLER REACTIONS Zone 1'!E12</f>
        <v>0</v>
      </c>
      <c r="Q11" s="21">
        <f>'IDLER REACTIONS Zone 1'!F12</f>
        <v>0</v>
      </c>
      <c r="R11" s="21">
        <f>'IDLER REACTIONS Zone 1'!G12</f>
        <v>0</v>
      </c>
      <c r="S11" s="21">
        <f>'IDLER REACTIONS Zone 1'!H12+(R11*$D$6)</f>
        <v>0</v>
      </c>
      <c r="T11" s="22">
        <f>'IDLER REACTIONS Zone 1'!I12-(P11*$D$6)</f>
        <v>0</v>
      </c>
    </row>
    <row r="12" spans="2:20" x14ac:dyDescent="0.25">
      <c r="B12" s="10">
        <v>2</v>
      </c>
      <c r="C12" s="14" t="s">
        <v>20</v>
      </c>
      <c r="D12" s="48" t="s">
        <v>16</v>
      </c>
      <c r="E12" s="23">
        <f>'DRIVE REACTIONS Zone 1'!E13</f>
        <v>0</v>
      </c>
      <c r="F12" s="23">
        <f>'DRIVE REACTIONS Zone 1'!F13</f>
        <v>0</v>
      </c>
      <c r="G12" s="23">
        <f>'DRIVE REACTIONS Zone 1'!G13</f>
        <v>0</v>
      </c>
      <c r="H12" s="23">
        <f>'DRIVE REACTIONS Zone 1'!H13+(G12*$D$5)</f>
        <v>0</v>
      </c>
      <c r="I12" s="24">
        <f>'DRIVE REACTIONS Zone 1'!I13+(E12*$D$5)</f>
        <v>0</v>
      </c>
      <c r="K12" s="146"/>
      <c r="M12" s="10">
        <v>2</v>
      </c>
      <c r="N12" s="14" t="s">
        <v>20</v>
      </c>
      <c r="O12" s="34" t="s">
        <v>16</v>
      </c>
      <c r="P12" s="23">
        <f>'IDLER REACTIONS Zone 1'!E13</f>
        <v>0</v>
      </c>
      <c r="Q12" s="23">
        <f>'IDLER REACTIONS Zone 1'!F13</f>
        <v>0</v>
      </c>
      <c r="R12" s="23">
        <f>'IDLER REACTIONS Zone 1'!G13</f>
        <v>0</v>
      </c>
      <c r="S12" s="23">
        <f>'IDLER REACTIONS Zone 1'!H13+(R12*$D$6)</f>
        <v>0</v>
      </c>
      <c r="T12" s="24">
        <f>'IDLER REACTIONS Zone 1'!I13-(P12*$D$6)</f>
        <v>0</v>
      </c>
    </row>
    <row r="13" spans="2:20" x14ac:dyDescent="0.25">
      <c r="B13" s="10">
        <v>3</v>
      </c>
      <c r="C13" s="14" t="s">
        <v>21</v>
      </c>
      <c r="D13" s="48" t="s">
        <v>16</v>
      </c>
      <c r="E13" s="23">
        <f>'DRIVE REACTIONS Zone 1'!E14</f>
        <v>0</v>
      </c>
      <c r="F13" s="23">
        <f>'DRIVE REACTIONS Zone 1'!F14</f>
        <v>0</v>
      </c>
      <c r="G13" s="23">
        <f>'DRIVE REACTIONS Zone 1'!G14</f>
        <v>0</v>
      </c>
      <c r="H13" s="23">
        <f>'DRIVE REACTIONS Zone 1'!H14+(G13*$D$5)</f>
        <v>0</v>
      </c>
      <c r="I13" s="24">
        <f>'DRIVE REACTIONS Zone 1'!I14+(E13*$D$5)</f>
        <v>0</v>
      </c>
      <c r="K13" s="146"/>
      <c r="M13" s="10">
        <v>3</v>
      </c>
      <c r="N13" s="14" t="s">
        <v>21</v>
      </c>
      <c r="O13" s="34" t="s">
        <v>16</v>
      </c>
      <c r="P13" s="23">
        <f>'IDLER REACTIONS Zone 1'!E14</f>
        <v>0</v>
      </c>
      <c r="Q13" s="23">
        <f>'IDLER REACTIONS Zone 1'!F14</f>
        <v>0</v>
      </c>
      <c r="R13" s="23">
        <f>'IDLER REACTIONS Zone 1'!G14</f>
        <v>0</v>
      </c>
      <c r="S13" s="23">
        <f>'IDLER REACTIONS Zone 1'!H14+(R13*$D$6)</f>
        <v>0</v>
      </c>
      <c r="T13" s="24">
        <f>'IDLER REACTIONS Zone 1'!I14-(P13*$D$6)</f>
        <v>0</v>
      </c>
    </row>
    <row r="14" spans="2:20" x14ac:dyDescent="0.25">
      <c r="B14" s="10">
        <v>4</v>
      </c>
      <c r="C14" s="14" t="s">
        <v>22</v>
      </c>
      <c r="D14" s="48" t="s">
        <v>16</v>
      </c>
      <c r="E14" s="23">
        <f>'DRIVE REACTIONS Zone 1'!E15</f>
        <v>0</v>
      </c>
      <c r="F14" s="23">
        <f>'DRIVE REACTIONS Zone 1'!F15</f>
        <v>0</v>
      </c>
      <c r="G14" s="23">
        <f>'DRIVE REACTIONS Zone 1'!G15</f>
        <v>0</v>
      </c>
      <c r="H14" s="23">
        <f>'DRIVE REACTIONS Zone 1'!H15+(G14*$D$5)</f>
        <v>0</v>
      </c>
      <c r="I14" s="24">
        <f>'DRIVE REACTIONS Zone 1'!I15+(E14*$D$5)</f>
        <v>0</v>
      </c>
      <c r="K14" s="146"/>
      <c r="M14" s="10">
        <v>4</v>
      </c>
      <c r="N14" s="14" t="s">
        <v>22</v>
      </c>
      <c r="O14" s="34" t="s">
        <v>16</v>
      </c>
      <c r="P14" s="23">
        <f>'IDLER REACTIONS Zone 1'!E15</f>
        <v>0</v>
      </c>
      <c r="Q14" s="23">
        <f>'IDLER REACTIONS Zone 1'!F15</f>
        <v>0</v>
      </c>
      <c r="R14" s="23">
        <f>'IDLER REACTIONS Zone 1'!G15</f>
        <v>0</v>
      </c>
      <c r="S14" s="23">
        <f>'IDLER REACTIONS Zone 1'!H15+(R14*$D$6)</f>
        <v>0</v>
      </c>
      <c r="T14" s="24">
        <f>'IDLER REACTIONS Zone 1'!I15-(P14*$D$6)</f>
        <v>0</v>
      </c>
    </row>
    <row r="15" spans="2:20" x14ac:dyDescent="0.25">
      <c r="B15" s="10">
        <v>5</v>
      </c>
      <c r="C15" s="14" t="s">
        <v>35</v>
      </c>
      <c r="D15" s="48" t="s">
        <v>16</v>
      </c>
      <c r="E15" s="23">
        <f>'DRIVE REACTIONS Zone 1'!E16</f>
        <v>0</v>
      </c>
      <c r="F15" s="23">
        <f>'DRIVE REACTIONS Zone 1'!F16</f>
        <v>0</v>
      </c>
      <c r="G15" s="23">
        <f>'DRIVE REACTIONS Zone 1'!G16</f>
        <v>0</v>
      </c>
      <c r="H15" s="23">
        <f>'DRIVE REACTIONS Zone 1'!H16+(G15*$D$5)</f>
        <v>0</v>
      </c>
      <c r="I15" s="24">
        <f>'DRIVE REACTIONS Zone 1'!I16+(E15*$D$5)</f>
        <v>0</v>
      </c>
      <c r="K15" s="146"/>
      <c r="M15" s="10">
        <v>5</v>
      </c>
      <c r="N15" s="14" t="s">
        <v>35</v>
      </c>
      <c r="O15" s="34" t="s">
        <v>16</v>
      </c>
      <c r="P15" s="23">
        <f>'IDLER REACTIONS Zone 1'!E16</f>
        <v>0</v>
      </c>
      <c r="Q15" s="23">
        <f>'IDLER REACTIONS Zone 1'!F16</f>
        <v>0</v>
      </c>
      <c r="R15" s="23">
        <f>'IDLER REACTIONS Zone 1'!G16</f>
        <v>0</v>
      </c>
      <c r="S15" s="23">
        <f>'IDLER REACTIONS Zone 1'!H16+(R15*$D$6)</f>
        <v>0</v>
      </c>
      <c r="T15" s="24">
        <f>'IDLER REACTIONS Zone 1'!I16-(P15*$D$6)</f>
        <v>0</v>
      </c>
    </row>
    <row r="16" spans="2:20" x14ac:dyDescent="0.25">
      <c r="B16" s="10">
        <v>6</v>
      </c>
      <c r="C16" s="14" t="s">
        <v>36</v>
      </c>
      <c r="D16" s="48" t="s">
        <v>16</v>
      </c>
      <c r="E16" s="23">
        <f>'DRIVE REACTIONS Zone 1'!E17</f>
        <v>0</v>
      </c>
      <c r="F16" s="23">
        <f>'DRIVE REACTIONS Zone 1'!F17</f>
        <v>0</v>
      </c>
      <c r="G16" s="23">
        <f>'DRIVE REACTIONS Zone 1'!G17</f>
        <v>0</v>
      </c>
      <c r="H16" s="23">
        <f>'DRIVE REACTIONS Zone 1'!H17+(G16*$D$5)</f>
        <v>0</v>
      </c>
      <c r="I16" s="24">
        <f>'DRIVE REACTIONS Zone 1'!I17+(E16*$D$5)</f>
        <v>0</v>
      </c>
      <c r="K16" s="146"/>
      <c r="M16" s="10">
        <v>6</v>
      </c>
      <c r="N16" s="14" t="s">
        <v>36</v>
      </c>
      <c r="O16" s="34" t="s">
        <v>16</v>
      </c>
      <c r="P16" s="23">
        <f>'IDLER REACTIONS Zone 1'!E17</f>
        <v>0</v>
      </c>
      <c r="Q16" s="23">
        <f>'IDLER REACTIONS Zone 1'!F17</f>
        <v>0</v>
      </c>
      <c r="R16" s="23">
        <f>'IDLER REACTIONS Zone 1'!G17</f>
        <v>0</v>
      </c>
      <c r="S16" s="23">
        <f>'IDLER REACTIONS Zone 1'!H17+(R16*$D$6)</f>
        <v>0</v>
      </c>
      <c r="T16" s="24">
        <f>'IDLER REACTIONS Zone 1'!I17-(P16*$D$6)</f>
        <v>0</v>
      </c>
    </row>
    <row r="17" spans="2:20" x14ac:dyDescent="0.25">
      <c r="B17" s="10">
        <v>7</v>
      </c>
      <c r="C17" s="14" t="s">
        <v>33</v>
      </c>
      <c r="D17" s="48" t="s">
        <v>16</v>
      </c>
      <c r="E17" s="23">
        <f>'DRIVE REACTIONS Zone 1'!E18</f>
        <v>0</v>
      </c>
      <c r="F17" s="23">
        <f>'DRIVE REACTIONS Zone 1'!F18</f>
        <v>0</v>
      </c>
      <c r="G17" s="23">
        <f>'DRIVE REACTIONS Zone 1'!G18</f>
        <v>0</v>
      </c>
      <c r="H17" s="23">
        <f>'DRIVE REACTIONS Zone 1'!H18+(G17*$D$5)</f>
        <v>0</v>
      </c>
      <c r="I17" s="24">
        <f>'DRIVE REACTIONS Zone 1'!I18+(E17*$D$5)</f>
        <v>0</v>
      </c>
      <c r="K17" s="146"/>
      <c r="M17" s="10">
        <v>7</v>
      </c>
      <c r="N17" s="14" t="s">
        <v>33</v>
      </c>
      <c r="O17" s="34" t="s">
        <v>16</v>
      </c>
      <c r="P17" s="23">
        <f>'IDLER REACTIONS Zone 1'!E18</f>
        <v>0</v>
      </c>
      <c r="Q17" s="23">
        <f>'IDLER REACTIONS Zone 1'!F18</f>
        <v>0</v>
      </c>
      <c r="R17" s="23">
        <f>'IDLER REACTIONS Zone 1'!G18</f>
        <v>0</v>
      </c>
      <c r="S17" s="23">
        <f>'IDLER REACTIONS Zone 1'!H18+(R17*$D$6)</f>
        <v>0</v>
      </c>
      <c r="T17" s="24">
        <f>'IDLER REACTIONS Zone 1'!I18-(P17*$D$6)</f>
        <v>0</v>
      </c>
    </row>
    <row r="18" spans="2:20" x14ac:dyDescent="0.25">
      <c r="B18" s="10">
        <v>8</v>
      </c>
      <c r="C18" s="14" t="s">
        <v>34</v>
      </c>
      <c r="D18" s="48" t="s">
        <v>16</v>
      </c>
      <c r="E18" s="23">
        <f>'DRIVE REACTIONS Zone 1'!E19</f>
        <v>0</v>
      </c>
      <c r="F18" s="23">
        <f>'DRIVE REACTIONS Zone 1'!F19</f>
        <v>0</v>
      </c>
      <c r="G18" s="23">
        <f>'DRIVE REACTIONS Zone 1'!G19</f>
        <v>0</v>
      </c>
      <c r="H18" s="23">
        <f>'DRIVE REACTIONS Zone 1'!H19+(G18*$D$5)</f>
        <v>0</v>
      </c>
      <c r="I18" s="24">
        <f>'DRIVE REACTIONS Zone 1'!I19+(E18*$D$5)</f>
        <v>0</v>
      </c>
      <c r="K18" s="146"/>
      <c r="M18" s="10">
        <v>8</v>
      </c>
      <c r="N18" s="14" t="s">
        <v>34</v>
      </c>
      <c r="O18" s="34" t="s">
        <v>16</v>
      </c>
      <c r="P18" s="23">
        <f>'IDLER REACTIONS Zone 1'!E19</f>
        <v>0</v>
      </c>
      <c r="Q18" s="23">
        <f>'IDLER REACTIONS Zone 1'!F19</f>
        <v>0</v>
      </c>
      <c r="R18" s="23">
        <f>'IDLER REACTIONS Zone 1'!G19</f>
        <v>0</v>
      </c>
      <c r="S18" s="23">
        <f>'IDLER REACTIONS Zone 1'!H19+(R18*$D$6)</f>
        <v>0</v>
      </c>
      <c r="T18" s="24">
        <f>'IDLER REACTIONS Zone 1'!I19-(P18*$D$6)</f>
        <v>0</v>
      </c>
    </row>
    <row r="19" spans="2:20" x14ac:dyDescent="0.25">
      <c r="B19" s="10">
        <v>9</v>
      </c>
      <c r="C19" s="14" t="s">
        <v>23</v>
      </c>
      <c r="D19" s="48" t="s">
        <v>16</v>
      </c>
      <c r="E19" s="23">
        <f>'DRIVE REACTIONS Zone 1'!E20</f>
        <v>0</v>
      </c>
      <c r="F19" s="23">
        <f>'DRIVE REACTIONS Zone 1'!F20</f>
        <v>0</v>
      </c>
      <c r="G19" s="23">
        <f>'DRIVE REACTIONS Zone 1'!G20</f>
        <v>0</v>
      </c>
      <c r="H19" s="23">
        <f>'DRIVE REACTIONS Zone 1'!H20+(G19*$D$5)</f>
        <v>0</v>
      </c>
      <c r="I19" s="24">
        <f>'DRIVE REACTIONS Zone 1'!I20+(E19*$D$5)</f>
        <v>0</v>
      </c>
      <c r="K19" s="146"/>
      <c r="M19" s="10">
        <v>9</v>
      </c>
      <c r="N19" s="14" t="s">
        <v>23</v>
      </c>
      <c r="O19" s="34" t="s">
        <v>16</v>
      </c>
      <c r="P19" s="23">
        <f>'IDLER REACTIONS Zone 1'!E20</f>
        <v>0</v>
      </c>
      <c r="Q19" s="23">
        <f>'IDLER REACTIONS Zone 1'!F20</f>
        <v>0</v>
      </c>
      <c r="R19" s="23">
        <f>'IDLER REACTIONS Zone 1'!G20</f>
        <v>0</v>
      </c>
      <c r="S19" s="23">
        <f>'IDLER REACTIONS Zone 1'!H20+(R19*$D$6)</f>
        <v>0</v>
      </c>
      <c r="T19" s="24">
        <f>'IDLER REACTIONS Zone 1'!I20-(P19*$D$6)</f>
        <v>0</v>
      </c>
    </row>
    <row r="20" spans="2:20" x14ac:dyDescent="0.25">
      <c r="B20" s="10">
        <v>10</v>
      </c>
      <c r="C20" s="14" t="s">
        <v>24</v>
      </c>
      <c r="D20" s="48" t="s">
        <v>16</v>
      </c>
      <c r="E20" s="23">
        <f>'DRIVE REACTIONS Zone 1'!E21</f>
        <v>0</v>
      </c>
      <c r="F20" s="23">
        <f>'DRIVE REACTIONS Zone 1'!F21</f>
        <v>0</v>
      </c>
      <c r="G20" s="23">
        <f>'DRIVE REACTIONS Zone 1'!G21</f>
        <v>0</v>
      </c>
      <c r="H20" s="23">
        <f>'DRIVE REACTIONS Zone 1'!H21+(G20*$D$5)</f>
        <v>0</v>
      </c>
      <c r="I20" s="24">
        <f>'DRIVE REACTIONS Zone 1'!I21+(E20*$D$5)</f>
        <v>0</v>
      </c>
      <c r="K20" s="146"/>
      <c r="M20" s="10">
        <v>10</v>
      </c>
      <c r="N20" s="14" t="s">
        <v>24</v>
      </c>
      <c r="O20" s="34" t="s">
        <v>16</v>
      </c>
      <c r="P20" s="23">
        <f>'IDLER REACTIONS Zone 1'!E21</f>
        <v>0</v>
      </c>
      <c r="Q20" s="23">
        <f>'IDLER REACTIONS Zone 1'!F21</f>
        <v>0</v>
      </c>
      <c r="R20" s="23">
        <f>'IDLER REACTIONS Zone 1'!G21</f>
        <v>0</v>
      </c>
      <c r="S20" s="23">
        <f>'IDLER REACTIONS Zone 1'!H21+(R20*$D$6)</f>
        <v>0</v>
      </c>
      <c r="T20" s="24">
        <f>'IDLER REACTIONS Zone 1'!I21-(P20*$D$6)</f>
        <v>0</v>
      </c>
    </row>
    <row r="21" spans="2:20" x14ac:dyDescent="0.25">
      <c r="B21" s="10">
        <v>11</v>
      </c>
      <c r="C21" s="14" t="s">
        <v>25</v>
      </c>
      <c r="D21" s="48" t="s">
        <v>16</v>
      </c>
      <c r="E21" s="23">
        <f>'DRIVE REACTIONS Zone 1'!E22</f>
        <v>0</v>
      </c>
      <c r="F21" s="23">
        <f>'DRIVE REACTIONS Zone 1'!F22</f>
        <v>0</v>
      </c>
      <c r="G21" s="23">
        <f>'DRIVE REACTIONS Zone 1'!G22</f>
        <v>0</v>
      </c>
      <c r="H21" s="23">
        <f>'DRIVE REACTIONS Zone 1'!H22+(G21*$D$5)</f>
        <v>0</v>
      </c>
      <c r="I21" s="24">
        <f>'DRIVE REACTIONS Zone 1'!I22+(E21*$D$5)</f>
        <v>0</v>
      </c>
      <c r="K21" s="146"/>
      <c r="M21" s="10">
        <v>11</v>
      </c>
      <c r="N21" s="14" t="s">
        <v>25</v>
      </c>
      <c r="O21" s="34" t="s">
        <v>16</v>
      </c>
      <c r="P21" s="23">
        <f>'IDLER REACTIONS Zone 1'!E22</f>
        <v>0</v>
      </c>
      <c r="Q21" s="23">
        <f>'IDLER REACTIONS Zone 1'!F22</f>
        <v>0</v>
      </c>
      <c r="R21" s="23">
        <f>'IDLER REACTIONS Zone 1'!G22</f>
        <v>0</v>
      </c>
      <c r="S21" s="23">
        <f>'IDLER REACTIONS Zone 1'!H22+(R21*$D$6)</f>
        <v>0</v>
      </c>
      <c r="T21" s="24">
        <f>'IDLER REACTIONS Zone 1'!I22-(P21*$D$6)</f>
        <v>0</v>
      </c>
    </row>
    <row r="22" spans="2:20" x14ac:dyDescent="0.25">
      <c r="B22" s="10">
        <v>12</v>
      </c>
      <c r="C22" s="14" t="s">
        <v>26</v>
      </c>
      <c r="D22" s="48" t="s">
        <v>16</v>
      </c>
      <c r="E22" s="23">
        <f>'DRIVE REACTIONS Zone 1'!E23</f>
        <v>0</v>
      </c>
      <c r="F22" s="23">
        <f>'DRIVE REACTIONS Zone 1'!F23</f>
        <v>0</v>
      </c>
      <c r="G22" s="23">
        <f>'DRIVE REACTIONS Zone 1'!G23</f>
        <v>0</v>
      </c>
      <c r="H22" s="23">
        <f>'DRIVE REACTIONS Zone 1'!H23+(G22*$D$5)</f>
        <v>0</v>
      </c>
      <c r="I22" s="24">
        <f>'DRIVE REACTIONS Zone 1'!I23+(E22*$D$5)</f>
        <v>0</v>
      </c>
      <c r="K22" s="146"/>
      <c r="M22" s="10">
        <v>12</v>
      </c>
      <c r="N22" s="14" t="s">
        <v>26</v>
      </c>
      <c r="O22" s="34" t="s">
        <v>16</v>
      </c>
      <c r="P22" s="23">
        <f>'IDLER REACTIONS Zone 1'!E23</f>
        <v>0</v>
      </c>
      <c r="Q22" s="23">
        <f>'IDLER REACTIONS Zone 1'!F23</f>
        <v>0</v>
      </c>
      <c r="R22" s="23">
        <f>'IDLER REACTIONS Zone 1'!G23</f>
        <v>0</v>
      </c>
      <c r="S22" s="23">
        <f>'IDLER REACTIONS Zone 1'!H23+(R22*$D$6)</f>
        <v>0</v>
      </c>
      <c r="T22" s="24">
        <f>'IDLER REACTIONS Zone 1'!I23-(P22*$D$6)</f>
        <v>0</v>
      </c>
    </row>
    <row r="23" spans="2:20" x14ac:dyDescent="0.25">
      <c r="B23" s="10">
        <v>13</v>
      </c>
      <c r="C23" s="14" t="s">
        <v>27</v>
      </c>
      <c r="D23" s="48" t="s">
        <v>16</v>
      </c>
      <c r="E23" s="23">
        <f>'DRIVE REACTIONS Zone 1'!E24</f>
        <v>0</v>
      </c>
      <c r="F23" s="23">
        <f>'DRIVE REACTIONS Zone 1'!F24</f>
        <v>0</v>
      </c>
      <c r="G23" s="23">
        <f>'DRIVE REACTIONS Zone 1'!G24</f>
        <v>0</v>
      </c>
      <c r="H23" s="23">
        <f>'DRIVE REACTIONS Zone 1'!H24+(G23*$D$5)</f>
        <v>0</v>
      </c>
      <c r="I23" s="24">
        <f>'DRIVE REACTIONS Zone 1'!I24+(E23*$D$5)</f>
        <v>0</v>
      </c>
      <c r="K23" s="146"/>
      <c r="M23" s="10">
        <v>13</v>
      </c>
      <c r="N23" s="14" t="s">
        <v>27</v>
      </c>
      <c r="O23" s="34" t="s">
        <v>16</v>
      </c>
      <c r="P23" s="23">
        <f>'IDLER REACTIONS Zone 1'!E24</f>
        <v>0</v>
      </c>
      <c r="Q23" s="23">
        <f>'IDLER REACTIONS Zone 1'!F24</f>
        <v>0</v>
      </c>
      <c r="R23" s="23">
        <f>'IDLER REACTIONS Zone 1'!G24</f>
        <v>0</v>
      </c>
      <c r="S23" s="23">
        <f>'IDLER REACTIONS Zone 1'!H24+(R23*$D$6)</f>
        <v>0</v>
      </c>
      <c r="T23" s="24">
        <f>'IDLER REACTIONS Zone 1'!I24-(P23*$D$6)</f>
        <v>0</v>
      </c>
    </row>
    <row r="24" spans="2:20" x14ac:dyDescent="0.25">
      <c r="B24" s="10">
        <v>14</v>
      </c>
      <c r="C24" s="14" t="s">
        <v>28</v>
      </c>
      <c r="D24" s="48" t="s">
        <v>16</v>
      </c>
      <c r="E24" s="23">
        <f>'DRIVE REACTIONS Zone 1'!E25</f>
        <v>0</v>
      </c>
      <c r="F24" s="23">
        <f>'DRIVE REACTIONS Zone 1'!F25</f>
        <v>0</v>
      </c>
      <c r="G24" s="23">
        <f>'DRIVE REACTIONS Zone 1'!G25</f>
        <v>0</v>
      </c>
      <c r="H24" s="23">
        <f>'DRIVE REACTIONS Zone 1'!H25+(G24*$D$5)</f>
        <v>0</v>
      </c>
      <c r="I24" s="24">
        <f>'DRIVE REACTIONS Zone 1'!I25+(E24*$D$5)</f>
        <v>0</v>
      </c>
      <c r="K24" s="146"/>
      <c r="M24" s="10">
        <v>14</v>
      </c>
      <c r="N24" s="14" t="s">
        <v>28</v>
      </c>
      <c r="O24" s="34" t="s">
        <v>16</v>
      </c>
      <c r="P24" s="23">
        <f>'IDLER REACTIONS Zone 1'!E25</f>
        <v>0</v>
      </c>
      <c r="Q24" s="23">
        <f>'IDLER REACTIONS Zone 1'!F25</f>
        <v>0</v>
      </c>
      <c r="R24" s="23">
        <f>'IDLER REACTIONS Zone 1'!G25</f>
        <v>0</v>
      </c>
      <c r="S24" s="23">
        <f>'IDLER REACTIONS Zone 1'!H25+(R24*$D$6)</f>
        <v>0</v>
      </c>
      <c r="T24" s="24">
        <f>'IDLER REACTIONS Zone 1'!I25-(P24*$D$6)</f>
        <v>0</v>
      </c>
    </row>
    <row r="25" spans="2:20" x14ac:dyDescent="0.25">
      <c r="B25" s="10">
        <v>15</v>
      </c>
      <c r="C25" s="14" t="s">
        <v>29</v>
      </c>
      <c r="D25" s="48" t="s">
        <v>16</v>
      </c>
      <c r="E25" s="23">
        <f>'DRIVE REACTIONS Zone 1'!E26</f>
        <v>0</v>
      </c>
      <c r="F25" s="23">
        <f>'DRIVE REACTIONS Zone 1'!F26</f>
        <v>0</v>
      </c>
      <c r="G25" s="23">
        <f>'DRIVE REACTIONS Zone 1'!G26</f>
        <v>0</v>
      </c>
      <c r="H25" s="23">
        <f>'DRIVE REACTIONS Zone 1'!H26+(G25*$D$5)</f>
        <v>0</v>
      </c>
      <c r="I25" s="24">
        <f>'DRIVE REACTIONS Zone 1'!I26+(E25*$D$5)</f>
        <v>0</v>
      </c>
      <c r="K25" s="146"/>
      <c r="M25" s="10">
        <v>15</v>
      </c>
      <c r="N25" s="14" t="s">
        <v>29</v>
      </c>
      <c r="O25" s="34" t="s">
        <v>16</v>
      </c>
      <c r="P25" s="23">
        <f>'IDLER REACTIONS Zone 1'!E26</f>
        <v>0</v>
      </c>
      <c r="Q25" s="23">
        <f>'IDLER REACTIONS Zone 1'!F26</f>
        <v>0</v>
      </c>
      <c r="R25" s="23">
        <f>'IDLER REACTIONS Zone 1'!G26</f>
        <v>0</v>
      </c>
      <c r="S25" s="23">
        <f>'IDLER REACTIONS Zone 1'!H26+(R25*$D$6)</f>
        <v>0</v>
      </c>
      <c r="T25" s="24">
        <f>'IDLER REACTIONS Zone 1'!I26-(P25*$D$6)</f>
        <v>0</v>
      </c>
    </row>
    <row r="26" spans="2:20" x14ac:dyDescent="0.25">
      <c r="B26" s="10">
        <v>16</v>
      </c>
      <c r="C26" s="14" t="s">
        <v>30</v>
      </c>
      <c r="D26" s="48" t="s">
        <v>16</v>
      </c>
      <c r="E26" s="23">
        <f>'DRIVE REACTIONS Zone 1'!E27</f>
        <v>0</v>
      </c>
      <c r="F26" s="23">
        <f>'DRIVE REACTIONS Zone 1'!F27</f>
        <v>0</v>
      </c>
      <c r="G26" s="23">
        <f>'DRIVE REACTIONS Zone 1'!G27</f>
        <v>0</v>
      </c>
      <c r="H26" s="23">
        <f>'DRIVE REACTIONS Zone 1'!H27+(G26*$D$5)</f>
        <v>0</v>
      </c>
      <c r="I26" s="24">
        <f>'DRIVE REACTIONS Zone 1'!I27+(E26*$D$5)</f>
        <v>0</v>
      </c>
      <c r="K26" s="146"/>
      <c r="M26" s="10">
        <v>16</v>
      </c>
      <c r="N26" s="14" t="s">
        <v>30</v>
      </c>
      <c r="O26" s="34" t="s">
        <v>16</v>
      </c>
      <c r="P26" s="23">
        <f>'IDLER REACTIONS Zone 1'!E27</f>
        <v>0</v>
      </c>
      <c r="Q26" s="23">
        <f>'IDLER REACTIONS Zone 1'!F27</f>
        <v>0</v>
      </c>
      <c r="R26" s="23">
        <f>'IDLER REACTIONS Zone 1'!G27</f>
        <v>0</v>
      </c>
      <c r="S26" s="23">
        <f>'IDLER REACTIONS Zone 1'!H27+(R26*$D$6)</f>
        <v>0</v>
      </c>
      <c r="T26" s="24">
        <f>'IDLER REACTIONS Zone 1'!I27-(P26*$D$6)</f>
        <v>0</v>
      </c>
    </row>
    <row r="27" spans="2:20" x14ac:dyDescent="0.25">
      <c r="B27" s="10">
        <v>17</v>
      </c>
      <c r="C27" s="14" t="s">
        <v>31</v>
      </c>
      <c r="D27" s="48" t="s">
        <v>16</v>
      </c>
      <c r="E27" s="23">
        <f>'DRIVE REACTIONS Zone 1'!E28</f>
        <v>0</v>
      </c>
      <c r="F27" s="23">
        <f>'DRIVE REACTIONS Zone 1'!F28</f>
        <v>0</v>
      </c>
      <c r="G27" s="23">
        <f>'DRIVE REACTIONS Zone 1'!G28</f>
        <v>0</v>
      </c>
      <c r="H27" s="23">
        <f>'DRIVE REACTIONS Zone 1'!H28+(G27*$D$5)</f>
        <v>0</v>
      </c>
      <c r="I27" s="24">
        <f>'DRIVE REACTIONS Zone 1'!I28+(E27*$D$5)</f>
        <v>0</v>
      </c>
      <c r="K27" s="146"/>
      <c r="M27" s="10">
        <v>17</v>
      </c>
      <c r="N27" s="14" t="s">
        <v>31</v>
      </c>
      <c r="O27" s="34" t="s">
        <v>16</v>
      </c>
      <c r="P27" s="23">
        <f>'IDLER REACTIONS Zone 1'!E28</f>
        <v>0</v>
      </c>
      <c r="Q27" s="23">
        <f>'IDLER REACTIONS Zone 1'!F28</f>
        <v>0</v>
      </c>
      <c r="R27" s="23">
        <f>'IDLER REACTIONS Zone 1'!G28</f>
        <v>0</v>
      </c>
      <c r="S27" s="23">
        <f>'IDLER REACTIONS Zone 1'!H28+(R27*$D$6)</f>
        <v>0</v>
      </c>
      <c r="T27" s="24">
        <f>'IDLER REACTIONS Zone 1'!I28-(P27*$D$6)</f>
        <v>0</v>
      </c>
    </row>
    <row r="28" spans="2:20" x14ac:dyDescent="0.25">
      <c r="B28" s="10">
        <v>18</v>
      </c>
      <c r="C28" s="14" t="s">
        <v>32</v>
      </c>
      <c r="D28" s="48" t="s">
        <v>16</v>
      </c>
      <c r="E28" s="23">
        <f>'DRIVE REACTIONS Zone 1'!E29</f>
        <v>0</v>
      </c>
      <c r="F28" s="23">
        <f>'DRIVE REACTIONS Zone 1'!F29</f>
        <v>0</v>
      </c>
      <c r="G28" s="23">
        <f>'DRIVE REACTIONS Zone 1'!G29</f>
        <v>0</v>
      </c>
      <c r="H28" s="23">
        <f>'DRIVE REACTIONS Zone 1'!H29+(G28*$D$5)</f>
        <v>0</v>
      </c>
      <c r="I28" s="24">
        <f>'DRIVE REACTIONS Zone 1'!I29+(E28*$D$5)</f>
        <v>0</v>
      </c>
      <c r="K28" s="146"/>
      <c r="M28" s="10">
        <v>18</v>
      </c>
      <c r="N28" s="14" t="s">
        <v>32</v>
      </c>
      <c r="O28" s="34" t="s">
        <v>16</v>
      </c>
      <c r="P28" s="23">
        <f>'IDLER REACTIONS Zone 1'!E29</f>
        <v>0</v>
      </c>
      <c r="Q28" s="23">
        <f>'IDLER REACTIONS Zone 1'!F29</f>
        <v>0</v>
      </c>
      <c r="R28" s="23">
        <f>'IDLER REACTIONS Zone 1'!G29</f>
        <v>0</v>
      </c>
      <c r="S28" s="23">
        <f>'IDLER REACTIONS Zone 1'!H29+(R28*$D$6)</f>
        <v>0</v>
      </c>
      <c r="T28" s="24">
        <f>'IDLER REACTIONS Zone 1'!I29-(P28*$D$6)</f>
        <v>0</v>
      </c>
    </row>
    <row r="29" spans="2:20" x14ac:dyDescent="0.25">
      <c r="B29" s="10">
        <v>19</v>
      </c>
      <c r="C29" s="14" t="s">
        <v>37</v>
      </c>
      <c r="D29" s="48" t="s">
        <v>16</v>
      </c>
      <c r="E29" s="23">
        <f>'DRIVE REACTIONS Zone 1'!E30</f>
        <v>0</v>
      </c>
      <c r="F29" s="23">
        <f>'DRIVE REACTIONS Zone 1'!F30</f>
        <v>0</v>
      </c>
      <c r="G29" s="23">
        <f>'DRIVE REACTIONS Zone 1'!G30</f>
        <v>0</v>
      </c>
      <c r="H29" s="23">
        <f>'DRIVE REACTIONS Zone 1'!H30+(G29*$D$5)</f>
        <v>0</v>
      </c>
      <c r="I29" s="24">
        <f>'DRIVE REACTIONS Zone 1'!I30+(E29*$D$5)</f>
        <v>0</v>
      </c>
      <c r="K29" s="146"/>
      <c r="M29" s="10">
        <v>19</v>
      </c>
      <c r="N29" s="14" t="s">
        <v>37</v>
      </c>
      <c r="O29" s="34" t="s">
        <v>16</v>
      </c>
      <c r="P29" s="23">
        <f>'IDLER REACTIONS Zone 1'!E30</f>
        <v>0</v>
      </c>
      <c r="Q29" s="23">
        <f>'IDLER REACTIONS Zone 1'!F30</f>
        <v>0</v>
      </c>
      <c r="R29" s="23">
        <f>'IDLER REACTIONS Zone 1'!G30</f>
        <v>0</v>
      </c>
      <c r="S29" s="23">
        <f>'IDLER REACTIONS Zone 1'!H30+(R29*$D$6)</f>
        <v>0</v>
      </c>
      <c r="T29" s="24">
        <f>'IDLER REACTIONS Zone 1'!I30-(P29*$D$6)</f>
        <v>0</v>
      </c>
    </row>
    <row r="30" spans="2:20" x14ac:dyDescent="0.25">
      <c r="B30" s="10">
        <v>20</v>
      </c>
      <c r="C30" s="14" t="s">
        <v>38</v>
      </c>
      <c r="D30" s="48" t="s">
        <v>16</v>
      </c>
      <c r="E30" s="23">
        <f>'DRIVE REACTIONS Zone 1'!E31</f>
        <v>0</v>
      </c>
      <c r="F30" s="23">
        <f>'DRIVE REACTIONS Zone 1'!F31</f>
        <v>0</v>
      </c>
      <c r="G30" s="23">
        <f>'DRIVE REACTIONS Zone 1'!G31</f>
        <v>0</v>
      </c>
      <c r="H30" s="23">
        <f>'DRIVE REACTIONS Zone 1'!H31+(G30*$D$5)</f>
        <v>0</v>
      </c>
      <c r="I30" s="24">
        <f>'DRIVE REACTIONS Zone 1'!I31+(E30*$D$5)</f>
        <v>0</v>
      </c>
      <c r="K30" s="146"/>
      <c r="M30" s="10">
        <v>20</v>
      </c>
      <c r="N30" s="14" t="s">
        <v>38</v>
      </c>
      <c r="O30" s="34" t="s">
        <v>16</v>
      </c>
      <c r="P30" s="23">
        <f>'IDLER REACTIONS Zone 1'!E31</f>
        <v>0</v>
      </c>
      <c r="Q30" s="23">
        <f>'IDLER REACTIONS Zone 1'!F31</f>
        <v>0</v>
      </c>
      <c r="R30" s="23">
        <f>'IDLER REACTIONS Zone 1'!G31</f>
        <v>0</v>
      </c>
      <c r="S30" s="23">
        <f>'IDLER REACTIONS Zone 1'!H31+(R30*$D$6)</f>
        <v>0</v>
      </c>
      <c r="T30" s="24">
        <f>'IDLER REACTIONS Zone 1'!I31-(P30*$D$6)</f>
        <v>0</v>
      </c>
    </row>
    <row r="31" spans="2:20" x14ac:dyDescent="0.25">
      <c r="B31" s="10">
        <v>21</v>
      </c>
      <c r="C31" s="14" t="s">
        <v>39</v>
      </c>
      <c r="D31" s="48" t="s">
        <v>16</v>
      </c>
      <c r="E31" s="23">
        <f>'DRIVE REACTIONS Zone 1'!E32</f>
        <v>0</v>
      </c>
      <c r="F31" s="23">
        <f>'DRIVE REACTIONS Zone 1'!F32</f>
        <v>0</v>
      </c>
      <c r="G31" s="23">
        <f>'DRIVE REACTIONS Zone 1'!G32</f>
        <v>0</v>
      </c>
      <c r="H31" s="23">
        <f>'DRIVE REACTIONS Zone 1'!H32+(G31*$D$5)</f>
        <v>0</v>
      </c>
      <c r="I31" s="24">
        <f>'DRIVE REACTIONS Zone 1'!I32+(E31*$D$5)</f>
        <v>0</v>
      </c>
      <c r="K31" s="146"/>
      <c r="M31" s="10">
        <v>21</v>
      </c>
      <c r="N31" s="14" t="s">
        <v>39</v>
      </c>
      <c r="O31" s="34" t="s">
        <v>16</v>
      </c>
      <c r="P31" s="23">
        <f>'IDLER REACTIONS Zone 1'!E32</f>
        <v>0</v>
      </c>
      <c r="Q31" s="23">
        <f>'IDLER REACTIONS Zone 1'!F32</f>
        <v>0</v>
      </c>
      <c r="R31" s="23">
        <f>'IDLER REACTIONS Zone 1'!G32</f>
        <v>0</v>
      </c>
      <c r="S31" s="23">
        <f>'IDLER REACTIONS Zone 1'!H32+(R31*$D$6)</f>
        <v>0</v>
      </c>
      <c r="T31" s="24">
        <f>'IDLER REACTIONS Zone 1'!I32-(P31*$D$6)</f>
        <v>0</v>
      </c>
    </row>
    <row r="32" spans="2:20" ht="15.75" thickBot="1" x14ac:dyDescent="0.3">
      <c r="B32" s="13">
        <v>22</v>
      </c>
      <c r="C32" s="15" t="s">
        <v>40</v>
      </c>
      <c r="D32" s="49" t="s">
        <v>16</v>
      </c>
      <c r="E32" s="31">
        <f>'DRIVE REACTIONS Zone 1'!E33</f>
        <v>0</v>
      </c>
      <c r="F32" s="31">
        <f>'DRIVE REACTIONS Zone 1'!F33</f>
        <v>0</v>
      </c>
      <c r="G32" s="31">
        <f>'DRIVE REACTIONS Zone 1'!G33</f>
        <v>0</v>
      </c>
      <c r="H32" s="31">
        <f>'DRIVE REACTIONS Zone 1'!H33+(G32*$D$5)</f>
        <v>0</v>
      </c>
      <c r="I32" s="32">
        <f>'DRIVE REACTIONS Zone 1'!I33+(E32*$D$5)</f>
        <v>0</v>
      </c>
      <c r="K32" s="146"/>
      <c r="M32" s="13">
        <v>22</v>
      </c>
      <c r="N32" s="15" t="s">
        <v>40</v>
      </c>
      <c r="O32" s="36" t="s">
        <v>16</v>
      </c>
      <c r="P32" s="31">
        <f>'IDLER REACTIONS Zone 1'!E33</f>
        <v>0</v>
      </c>
      <c r="Q32" s="31">
        <f>'IDLER REACTIONS Zone 1'!F33</f>
        <v>0</v>
      </c>
      <c r="R32" s="31">
        <f>'IDLER REACTIONS Zone 1'!G33</f>
        <v>0</v>
      </c>
      <c r="S32" s="31">
        <f>'IDLER REACTIONS Zone 1'!H33+(R32*$D$6)</f>
        <v>0</v>
      </c>
      <c r="T32" s="32">
        <f>'IDLER REACTIONS Zone 1'!I33-(P32*$D$6)</f>
        <v>0</v>
      </c>
    </row>
    <row r="33" spans="2:20" ht="15.75" thickBot="1" x14ac:dyDescent="0.3">
      <c r="B33" s="8"/>
      <c r="C33" s="8"/>
      <c r="D33" s="9"/>
      <c r="E33" s="9"/>
      <c r="F33" s="9"/>
      <c r="G33" s="9"/>
      <c r="H33" s="9"/>
      <c r="I33" s="8"/>
      <c r="K33" s="146"/>
      <c r="M33" s="8"/>
      <c r="N33" s="8"/>
      <c r="O33" s="9"/>
      <c r="P33" s="9"/>
      <c r="Q33" s="9"/>
      <c r="R33" s="9"/>
      <c r="S33" s="9"/>
      <c r="T33" s="8"/>
    </row>
    <row r="34" spans="2:20" x14ac:dyDescent="0.25">
      <c r="B34" s="481" t="s">
        <v>141</v>
      </c>
      <c r="C34" s="482"/>
      <c r="D34" s="482"/>
      <c r="E34" s="482"/>
      <c r="F34" s="482"/>
      <c r="G34" s="482"/>
      <c r="H34" s="482"/>
      <c r="I34" s="483"/>
      <c r="K34" s="146"/>
      <c r="M34" s="481" t="s">
        <v>145</v>
      </c>
      <c r="N34" s="482"/>
      <c r="O34" s="482"/>
      <c r="P34" s="482"/>
      <c r="Q34" s="482"/>
      <c r="R34" s="482"/>
      <c r="S34" s="482"/>
      <c r="T34" s="483"/>
    </row>
    <row r="35" spans="2:20" ht="15.75" thickBot="1" x14ac:dyDescent="0.3">
      <c r="B35" s="466"/>
      <c r="C35" s="467"/>
      <c r="D35" s="467"/>
      <c r="E35" s="468"/>
      <c r="F35" s="468"/>
      <c r="G35" s="468"/>
      <c r="H35" s="468"/>
      <c r="I35" s="469"/>
      <c r="K35" s="146"/>
      <c r="M35" s="466"/>
      <c r="N35" s="467"/>
      <c r="O35" s="467"/>
      <c r="P35" s="468"/>
      <c r="Q35" s="468"/>
      <c r="R35" s="468"/>
      <c r="S35" s="468"/>
      <c r="T35" s="469"/>
    </row>
    <row r="36" spans="2:20" ht="60.75" thickBot="1" x14ac:dyDescent="0.3">
      <c r="B36" s="25" t="s">
        <v>3</v>
      </c>
      <c r="C36" s="26" t="s">
        <v>60</v>
      </c>
      <c r="D36" s="27" t="s">
        <v>13</v>
      </c>
      <c r="E36" s="46" t="s">
        <v>44</v>
      </c>
      <c r="F36" s="44" t="s">
        <v>4</v>
      </c>
      <c r="G36" s="44" t="s">
        <v>45</v>
      </c>
      <c r="H36" s="44" t="s">
        <v>47</v>
      </c>
      <c r="I36" s="45" t="s">
        <v>46</v>
      </c>
      <c r="K36" s="146"/>
      <c r="M36" s="25" t="s">
        <v>3</v>
      </c>
      <c r="N36" s="26" t="s">
        <v>60</v>
      </c>
      <c r="O36" s="27" t="s">
        <v>13</v>
      </c>
      <c r="P36" s="46" t="s">
        <v>44</v>
      </c>
      <c r="Q36" s="44" t="s">
        <v>4</v>
      </c>
      <c r="R36" s="44" t="s">
        <v>45</v>
      </c>
      <c r="S36" s="44" t="s">
        <v>47</v>
      </c>
      <c r="T36" s="45" t="s">
        <v>46</v>
      </c>
    </row>
    <row r="37" spans="2:20" x14ac:dyDescent="0.25">
      <c r="B37" s="29">
        <v>1</v>
      </c>
      <c r="C37" s="28" t="s">
        <v>0</v>
      </c>
      <c r="D37" s="47" t="s">
        <v>16</v>
      </c>
      <c r="E37" s="21">
        <f>'DRIVE REACTIONS Zone 1'!E38</f>
        <v>0</v>
      </c>
      <c r="F37" s="21">
        <f>'DRIVE REACTIONS Zone 1'!F38</f>
        <v>0</v>
      </c>
      <c r="G37" s="21">
        <f>'DRIVE REACTIONS Zone 1'!G38</f>
        <v>0</v>
      </c>
      <c r="H37" s="21">
        <f>'DRIVE REACTIONS Zone 1'!H38+(G11*$D$5)</f>
        <v>0</v>
      </c>
      <c r="I37" s="22">
        <f>'DRIVE REACTIONS Zone 1'!I38-(E37*$D$5)</f>
        <v>0</v>
      </c>
      <c r="K37" s="146"/>
      <c r="M37" s="29">
        <v>1</v>
      </c>
      <c r="N37" s="28" t="s">
        <v>0</v>
      </c>
      <c r="O37" s="35" t="s">
        <v>16</v>
      </c>
      <c r="P37" s="21">
        <f>'IDLER REACTIONS Zone 1'!E38</f>
        <v>0</v>
      </c>
      <c r="Q37" s="21">
        <f>'IDLER REACTIONS Zone 1'!F38</f>
        <v>0</v>
      </c>
      <c r="R37" s="21">
        <f>'IDLER REACTIONS Zone 1'!G38</f>
        <v>0</v>
      </c>
      <c r="S37" s="21">
        <f>'IDLER REACTIONS Zone 1'!H38+(R37*$D$6)</f>
        <v>0</v>
      </c>
      <c r="T37" s="22">
        <f>'IDLER REACTIONS Zone 1'!I38-(P37*$D$6)</f>
        <v>0</v>
      </c>
    </row>
    <row r="38" spans="2:20" x14ac:dyDescent="0.25">
      <c r="B38" s="10">
        <v>2</v>
      </c>
      <c r="C38" s="14" t="s">
        <v>20</v>
      </c>
      <c r="D38" s="48" t="s">
        <v>16</v>
      </c>
      <c r="E38" s="23">
        <f>'DRIVE REACTIONS Zone 1'!E39</f>
        <v>0</v>
      </c>
      <c r="F38" s="23">
        <f>'DRIVE REACTIONS Zone 1'!F39</f>
        <v>0</v>
      </c>
      <c r="G38" s="23">
        <f>'DRIVE REACTIONS Zone 1'!G39</f>
        <v>0</v>
      </c>
      <c r="H38" s="23">
        <f>'DRIVE REACTIONS Zone 1'!H39+(G12*$D$5)</f>
        <v>0</v>
      </c>
      <c r="I38" s="24">
        <f>'DRIVE REACTIONS Zone 1'!I39-(E38*$D$5)</f>
        <v>0</v>
      </c>
      <c r="K38" s="146"/>
      <c r="M38" s="10">
        <v>2</v>
      </c>
      <c r="N38" s="14" t="s">
        <v>20</v>
      </c>
      <c r="O38" s="34" t="s">
        <v>16</v>
      </c>
      <c r="P38" s="23">
        <f>'IDLER REACTIONS Zone 1'!E39</f>
        <v>0</v>
      </c>
      <c r="Q38" s="23">
        <f>'IDLER REACTIONS Zone 1'!F39</f>
        <v>0</v>
      </c>
      <c r="R38" s="23">
        <f>'IDLER REACTIONS Zone 1'!G39</f>
        <v>0</v>
      </c>
      <c r="S38" s="23">
        <f>'IDLER REACTIONS Zone 1'!H39+(R38*$D$6)</f>
        <v>0</v>
      </c>
      <c r="T38" s="24">
        <f>'IDLER REACTIONS Zone 1'!I39-(P38*$D$6)</f>
        <v>0</v>
      </c>
    </row>
    <row r="39" spans="2:20" x14ac:dyDescent="0.25">
      <c r="B39" s="10">
        <v>3</v>
      </c>
      <c r="C39" s="14" t="s">
        <v>21</v>
      </c>
      <c r="D39" s="48" t="s">
        <v>16</v>
      </c>
      <c r="E39" s="23">
        <f>'DRIVE REACTIONS Zone 1'!E40</f>
        <v>0</v>
      </c>
      <c r="F39" s="23">
        <f>'DRIVE REACTIONS Zone 1'!F40</f>
        <v>0</v>
      </c>
      <c r="G39" s="23">
        <f>'DRIVE REACTIONS Zone 1'!G40</f>
        <v>0</v>
      </c>
      <c r="H39" s="23">
        <f>'DRIVE REACTIONS Zone 1'!H40+(G13*$D$5)</f>
        <v>0</v>
      </c>
      <c r="I39" s="24">
        <f>'DRIVE REACTIONS Zone 1'!I40-(E39*$D$5)</f>
        <v>0</v>
      </c>
      <c r="K39" s="146"/>
      <c r="M39" s="10">
        <v>3</v>
      </c>
      <c r="N39" s="14" t="s">
        <v>21</v>
      </c>
      <c r="O39" s="34" t="s">
        <v>16</v>
      </c>
      <c r="P39" s="23">
        <f>'IDLER REACTIONS Zone 1'!E40</f>
        <v>0</v>
      </c>
      <c r="Q39" s="23">
        <f>'IDLER REACTIONS Zone 1'!F40</f>
        <v>0</v>
      </c>
      <c r="R39" s="23">
        <f>'IDLER REACTIONS Zone 1'!G40</f>
        <v>0</v>
      </c>
      <c r="S39" s="23">
        <f>'IDLER REACTIONS Zone 1'!H40+(R39*$D$6)</f>
        <v>0</v>
      </c>
      <c r="T39" s="24">
        <f>'IDLER REACTIONS Zone 1'!I40-(P39*$D$6)</f>
        <v>0</v>
      </c>
    </row>
    <row r="40" spans="2:20" x14ac:dyDescent="0.25">
      <c r="B40" s="10">
        <v>4</v>
      </c>
      <c r="C40" s="14" t="s">
        <v>22</v>
      </c>
      <c r="D40" s="48" t="s">
        <v>16</v>
      </c>
      <c r="E40" s="23">
        <f>'DRIVE REACTIONS Zone 1'!E41</f>
        <v>0</v>
      </c>
      <c r="F40" s="23">
        <f>'DRIVE REACTIONS Zone 1'!F41</f>
        <v>0</v>
      </c>
      <c r="G40" s="23">
        <f>'DRIVE REACTIONS Zone 1'!G41</f>
        <v>0</v>
      </c>
      <c r="H40" s="23">
        <f>'DRIVE REACTIONS Zone 1'!H41+(G14*$D$5)</f>
        <v>0</v>
      </c>
      <c r="I40" s="24">
        <f>'DRIVE REACTIONS Zone 1'!I41-(E40*$D$5)</f>
        <v>0</v>
      </c>
      <c r="K40" s="146"/>
      <c r="M40" s="10">
        <v>4</v>
      </c>
      <c r="N40" s="14" t="s">
        <v>22</v>
      </c>
      <c r="O40" s="34" t="s">
        <v>16</v>
      </c>
      <c r="P40" s="23">
        <f>'IDLER REACTIONS Zone 1'!E41</f>
        <v>0</v>
      </c>
      <c r="Q40" s="23">
        <f>'IDLER REACTIONS Zone 1'!F41</f>
        <v>0</v>
      </c>
      <c r="R40" s="23">
        <f>'IDLER REACTIONS Zone 1'!G41</f>
        <v>0</v>
      </c>
      <c r="S40" s="23">
        <f>'IDLER REACTIONS Zone 1'!H41+(R40*$D$6)</f>
        <v>0</v>
      </c>
      <c r="T40" s="24">
        <f>'IDLER REACTIONS Zone 1'!I41-(P40*$D$6)</f>
        <v>0</v>
      </c>
    </row>
    <row r="41" spans="2:20" x14ac:dyDescent="0.25">
      <c r="B41" s="10">
        <v>5</v>
      </c>
      <c r="C41" s="14" t="s">
        <v>35</v>
      </c>
      <c r="D41" s="48" t="s">
        <v>16</v>
      </c>
      <c r="E41" s="23">
        <f>'DRIVE REACTIONS Zone 1'!E42</f>
        <v>0</v>
      </c>
      <c r="F41" s="23">
        <f>'DRIVE REACTIONS Zone 1'!F42</f>
        <v>0</v>
      </c>
      <c r="G41" s="23">
        <f>'DRIVE REACTIONS Zone 1'!G42</f>
        <v>0</v>
      </c>
      <c r="H41" s="23">
        <f>'DRIVE REACTIONS Zone 1'!H42+(G15*$D$5)</f>
        <v>0</v>
      </c>
      <c r="I41" s="24">
        <f>'DRIVE REACTIONS Zone 1'!I42-(E41*$D$5)</f>
        <v>0</v>
      </c>
      <c r="K41" s="146"/>
      <c r="M41" s="10">
        <v>5</v>
      </c>
      <c r="N41" s="14" t="s">
        <v>35</v>
      </c>
      <c r="O41" s="34" t="s">
        <v>16</v>
      </c>
      <c r="P41" s="23">
        <f>'IDLER REACTIONS Zone 1'!E42</f>
        <v>0</v>
      </c>
      <c r="Q41" s="23">
        <f>'IDLER REACTIONS Zone 1'!F42</f>
        <v>0</v>
      </c>
      <c r="R41" s="23">
        <f>'IDLER REACTIONS Zone 1'!G42</f>
        <v>0</v>
      </c>
      <c r="S41" s="23">
        <f>'IDLER REACTIONS Zone 1'!H42+(R41*$D$6)</f>
        <v>0</v>
      </c>
      <c r="T41" s="24">
        <f>'IDLER REACTIONS Zone 1'!I42-(P41*$D$6)</f>
        <v>0</v>
      </c>
    </row>
    <row r="42" spans="2:20" x14ac:dyDescent="0.25">
      <c r="B42" s="10">
        <v>6</v>
      </c>
      <c r="C42" s="14" t="s">
        <v>36</v>
      </c>
      <c r="D42" s="48" t="s">
        <v>16</v>
      </c>
      <c r="E42" s="23">
        <f>'DRIVE REACTIONS Zone 1'!E43</f>
        <v>0</v>
      </c>
      <c r="F42" s="23">
        <f>'DRIVE REACTIONS Zone 1'!F43</f>
        <v>0</v>
      </c>
      <c r="G42" s="23">
        <f>'DRIVE REACTIONS Zone 1'!G43</f>
        <v>0</v>
      </c>
      <c r="H42" s="23">
        <f>'DRIVE REACTIONS Zone 1'!H43+(G16*$D$5)</f>
        <v>0</v>
      </c>
      <c r="I42" s="24">
        <f>'DRIVE REACTIONS Zone 1'!I43-(E42*$D$5)</f>
        <v>0</v>
      </c>
      <c r="K42" s="146"/>
      <c r="M42" s="10">
        <v>6</v>
      </c>
      <c r="N42" s="14" t="s">
        <v>36</v>
      </c>
      <c r="O42" s="34" t="s">
        <v>16</v>
      </c>
      <c r="P42" s="23">
        <f>'IDLER REACTIONS Zone 1'!E43</f>
        <v>0</v>
      </c>
      <c r="Q42" s="23">
        <f>'IDLER REACTIONS Zone 1'!F43</f>
        <v>0</v>
      </c>
      <c r="R42" s="23">
        <f>'IDLER REACTIONS Zone 1'!G43</f>
        <v>0</v>
      </c>
      <c r="S42" s="23">
        <f>'IDLER REACTIONS Zone 1'!H43+(R42*$D$6)</f>
        <v>0</v>
      </c>
      <c r="T42" s="24">
        <f>'IDLER REACTIONS Zone 1'!I43-(P42*$D$6)</f>
        <v>0</v>
      </c>
    </row>
    <row r="43" spans="2:20" x14ac:dyDescent="0.25">
      <c r="B43" s="10">
        <v>7</v>
      </c>
      <c r="C43" s="14" t="s">
        <v>33</v>
      </c>
      <c r="D43" s="48" t="s">
        <v>16</v>
      </c>
      <c r="E43" s="23">
        <f>'DRIVE REACTIONS Zone 1'!E44</f>
        <v>0</v>
      </c>
      <c r="F43" s="23">
        <f>'DRIVE REACTIONS Zone 1'!F44</f>
        <v>0</v>
      </c>
      <c r="G43" s="23">
        <f>'DRIVE REACTIONS Zone 1'!G44</f>
        <v>0</v>
      </c>
      <c r="H43" s="23">
        <f>'DRIVE REACTIONS Zone 1'!H44+(G17*$D$5)</f>
        <v>0</v>
      </c>
      <c r="I43" s="24">
        <f>'DRIVE REACTIONS Zone 1'!I44-(E43*$D$5)</f>
        <v>0</v>
      </c>
      <c r="K43" s="146"/>
      <c r="M43" s="10">
        <v>7</v>
      </c>
      <c r="N43" s="14" t="s">
        <v>33</v>
      </c>
      <c r="O43" s="34" t="s">
        <v>16</v>
      </c>
      <c r="P43" s="23">
        <f>'IDLER REACTIONS Zone 1'!E44</f>
        <v>0</v>
      </c>
      <c r="Q43" s="23">
        <f>'IDLER REACTIONS Zone 1'!F44</f>
        <v>0</v>
      </c>
      <c r="R43" s="23">
        <f>'IDLER REACTIONS Zone 1'!G44</f>
        <v>0</v>
      </c>
      <c r="S43" s="23">
        <f>'IDLER REACTIONS Zone 1'!H44+(R43*$D$6)</f>
        <v>0</v>
      </c>
      <c r="T43" s="24">
        <f>'IDLER REACTIONS Zone 1'!I44-(P43*$D$6)</f>
        <v>0</v>
      </c>
    </row>
    <row r="44" spans="2:20" x14ac:dyDescent="0.25">
      <c r="B44" s="10">
        <v>8</v>
      </c>
      <c r="C44" s="14" t="s">
        <v>34</v>
      </c>
      <c r="D44" s="48" t="s">
        <v>16</v>
      </c>
      <c r="E44" s="23">
        <f>'DRIVE REACTIONS Zone 1'!E45</f>
        <v>0</v>
      </c>
      <c r="F44" s="23">
        <f>'DRIVE REACTIONS Zone 1'!F45</f>
        <v>0</v>
      </c>
      <c r="G44" s="23">
        <f>'DRIVE REACTIONS Zone 1'!G45</f>
        <v>0</v>
      </c>
      <c r="H44" s="23">
        <f>'DRIVE REACTIONS Zone 1'!H45+(G18*$D$5)</f>
        <v>0</v>
      </c>
      <c r="I44" s="24">
        <f>'DRIVE REACTIONS Zone 1'!I45-(E44*$D$5)</f>
        <v>0</v>
      </c>
      <c r="K44" s="146"/>
      <c r="M44" s="10">
        <v>8</v>
      </c>
      <c r="N44" s="14" t="s">
        <v>34</v>
      </c>
      <c r="O44" s="34" t="s">
        <v>16</v>
      </c>
      <c r="P44" s="23">
        <f>'IDLER REACTIONS Zone 1'!E45</f>
        <v>0</v>
      </c>
      <c r="Q44" s="23">
        <f>'IDLER REACTIONS Zone 1'!F45</f>
        <v>0</v>
      </c>
      <c r="R44" s="23">
        <f>'IDLER REACTIONS Zone 1'!G45</f>
        <v>0</v>
      </c>
      <c r="S44" s="23">
        <f>'IDLER REACTIONS Zone 1'!H45+(R44*$D$6)</f>
        <v>0</v>
      </c>
      <c r="T44" s="24">
        <f>'IDLER REACTIONS Zone 1'!I45-(P44*$D$6)</f>
        <v>0</v>
      </c>
    </row>
    <row r="45" spans="2:20" x14ac:dyDescent="0.25">
      <c r="B45" s="10">
        <v>9</v>
      </c>
      <c r="C45" s="14" t="s">
        <v>23</v>
      </c>
      <c r="D45" s="48" t="s">
        <v>16</v>
      </c>
      <c r="E45" s="23">
        <f>'DRIVE REACTIONS Zone 1'!E46</f>
        <v>0</v>
      </c>
      <c r="F45" s="23">
        <f>'DRIVE REACTIONS Zone 1'!F46</f>
        <v>0</v>
      </c>
      <c r="G45" s="23">
        <f>'DRIVE REACTIONS Zone 1'!G46</f>
        <v>0</v>
      </c>
      <c r="H45" s="23">
        <f>'DRIVE REACTIONS Zone 1'!H46+(G19*$D$5)</f>
        <v>0</v>
      </c>
      <c r="I45" s="24">
        <f>'DRIVE REACTIONS Zone 1'!I46-(E45*$D$5)</f>
        <v>0</v>
      </c>
      <c r="K45" s="146"/>
      <c r="M45" s="10">
        <v>9</v>
      </c>
      <c r="N45" s="14" t="s">
        <v>23</v>
      </c>
      <c r="O45" s="34" t="s">
        <v>16</v>
      </c>
      <c r="P45" s="23">
        <f>'IDLER REACTIONS Zone 1'!E46</f>
        <v>0</v>
      </c>
      <c r="Q45" s="23">
        <f>'IDLER REACTIONS Zone 1'!F46</f>
        <v>0</v>
      </c>
      <c r="R45" s="23">
        <f>'IDLER REACTIONS Zone 1'!G46</f>
        <v>0</v>
      </c>
      <c r="S45" s="23">
        <f>'IDLER REACTIONS Zone 1'!H46+(R45*$D$6)</f>
        <v>0</v>
      </c>
      <c r="T45" s="24">
        <f>'IDLER REACTIONS Zone 1'!I46-(P45*$D$6)</f>
        <v>0</v>
      </c>
    </row>
    <row r="46" spans="2:20" x14ac:dyDescent="0.25">
      <c r="B46" s="10">
        <v>10</v>
      </c>
      <c r="C46" s="14" t="s">
        <v>24</v>
      </c>
      <c r="D46" s="48" t="s">
        <v>16</v>
      </c>
      <c r="E46" s="23">
        <f>'DRIVE REACTIONS Zone 1'!E47</f>
        <v>0</v>
      </c>
      <c r="F46" s="23">
        <f>'DRIVE REACTIONS Zone 1'!F47</f>
        <v>0</v>
      </c>
      <c r="G46" s="23">
        <f>'DRIVE REACTIONS Zone 1'!G47</f>
        <v>0</v>
      </c>
      <c r="H46" s="23">
        <f>'DRIVE REACTIONS Zone 1'!H47+(G20*$D$5)</f>
        <v>0</v>
      </c>
      <c r="I46" s="24">
        <f>'DRIVE REACTIONS Zone 1'!I47-(E46*$D$5)</f>
        <v>0</v>
      </c>
      <c r="K46" s="146"/>
      <c r="M46" s="10">
        <v>10</v>
      </c>
      <c r="N46" s="14" t="s">
        <v>24</v>
      </c>
      <c r="O46" s="34" t="s">
        <v>16</v>
      </c>
      <c r="P46" s="23">
        <f>'IDLER REACTIONS Zone 1'!E47</f>
        <v>0</v>
      </c>
      <c r="Q46" s="23">
        <f>'IDLER REACTIONS Zone 1'!F47</f>
        <v>0</v>
      </c>
      <c r="R46" s="23">
        <f>'IDLER REACTIONS Zone 1'!G47</f>
        <v>0</v>
      </c>
      <c r="S46" s="23">
        <f>'IDLER REACTIONS Zone 1'!H47+(R46*$D$6)</f>
        <v>0</v>
      </c>
      <c r="T46" s="24">
        <f>'IDLER REACTIONS Zone 1'!I47-(P46*$D$6)</f>
        <v>0</v>
      </c>
    </row>
    <row r="47" spans="2:20" x14ac:dyDescent="0.25">
      <c r="B47" s="10">
        <v>11</v>
      </c>
      <c r="C47" s="14" t="s">
        <v>25</v>
      </c>
      <c r="D47" s="48" t="s">
        <v>16</v>
      </c>
      <c r="E47" s="23">
        <f>'DRIVE REACTIONS Zone 1'!E48</f>
        <v>0</v>
      </c>
      <c r="F47" s="23">
        <f>'DRIVE REACTIONS Zone 1'!F48</f>
        <v>0</v>
      </c>
      <c r="G47" s="23">
        <f>'DRIVE REACTIONS Zone 1'!G48</f>
        <v>0</v>
      </c>
      <c r="H47" s="23">
        <f>'DRIVE REACTIONS Zone 1'!H48+(G21*$D$5)</f>
        <v>0</v>
      </c>
      <c r="I47" s="24">
        <f>'DRIVE REACTIONS Zone 1'!I48-(E47*$D$5)</f>
        <v>0</v>
      </c>
      <c r="K47" s="146"/>
      <c r="M47" s="10">
        <v>11</v>
      </c>
      <c r="N47" s="14" t="s">
        <v>25</v>
      </c>
      <c r="O47" s="34" t="s">
        <v>16</v>
      </c>
      <c r="P47" s="23">
        <f>'IDLER REACTIONS Zone 1'!E48</f>
        <v>0</v>
      </c>
      <c r="Q47" s="23">
        <f>'IDLER REACTIONS Zone 1'!F48</f>
        <v>0</v>
      </c>
      <c r="R47" s="23">
        <f>'IDLER REACTIONS Zone 1'!G48</f>
        <v>0</v>
      </c>
      <c r="S47" s="23">
        <f>'IDLER REACTIONS Zone 1'!H48+(R47*$D$6)</f>
        <v>0</v>
      </c>
      <c r="T47" s="24">
        <f>'IDLER REACTIONS Zone 1'!I48-(P47*$D$6)</f>
        <v>0</v>
      </c>
    </row>
    <row r="48" spans="2:20" x14ac:dyDescent="0.25">
      <c r="B48" s="10">
        <v>12</v>
      </c>
      <c r="C48" s="14" t="s">
        <v>26</v>
      </c>
      <c r="D48" s="48" t="s">
        <v>16</v>
      </c>
      <c r="E48" s="23">
        <f>'DRIVE REACTIONS Zone 1'!E49</f>
        <v>0</v>
      </c>
      <c r="F48" s="23">
        <f>'DRIVE REACTIONS Zone 1'!F49</f>
        <v>0</v>
      </c>
      <c r="G48" s="23">
        <f>'DRIVE REACTIONS Zone 1'!G49</f>
        <v>0</v>
      </c>
      <c r="H48" s="23">
        <f>'DRIVE REACTIONS Zone 1'!H49+(G22*$D$5)</f>
        <v>0</v>
      </c>
      <c r="I48" s="24">
        <f>'DRIVE REACTIONS Zone 1'!I49-(E48*$D$5)</f>
        <v>0</v>
      </c>
      <c r="K48" s="146"/>
      <c r="M48" s="10">
        <v>12</v>
      </c>
      <c r="N48" s="14" t="s">
        <v>26</v>
      </c>
      <c r="O48" s="34" t="s">
        <v>16</v>
      </c>
      <c r="P48" s="23">
        <f>'IDLER REACTIONS Zone 1'!E49</f>
        <v>0</v>
      </c>
      <c r="Q48" s="23">
        <f>'IDLER REACTIONS Zone 1'!F49</f>
        <v>0</v>
      </c>
      <c r="R48" s="23">
        <f>'IDLER REACTIONS Zone 1'!G49</f>
        <v>0</v>
      </c>
      <c r="S48" s="23">
        <f>'IDLER REACTIONS Zone 1'!H49+(R48*$D$6)</f>
        <v>0</v>
      </c>
      <c r="T48" s="24">
        <f>'IDLER REACTIONS Zone 1'!I49-(P48*$D$6)</f>
        <v>0</v>
      </c>
    </row>
    <row r="49" spans="2:20" x14ac:dyDescent="0.25">
      <c r="B49" s="10">
        <v>13</v>
      </c>
      <c r="C49" s="14" t="s">
        <v>27</v>
      </c>
      <c r="D49" s="48" t="s">
        <v>16</v>
      </c>
      <c r="E49" s="23">
        <f>'DRIVE REACTIONS Zone 1'!E50</f>
        <v>0</v>
      </c>
      <c r="F49" s="23">
        <f>'DRIVE REACTIONS Zone 1'!F50</f>
        <v>0</v>
      </c>
      <c r="G49" s="23">
        <f>'DRIVE REACTIONS Zone 1'!G50</f>
        <v>0</v>
      </c>
      <c r="H49" s="23">
        <f>'DRIVE REACTIONS Zone 1'!H50+(G23*$D$5)</f>
        <v>0</v>
      </c>
      <c r="I49" s="24">
        <f>'DRIVE REACTIONS Zone 1'!I50-(E49*$D$5)</f>
        <v>0</v>
      </c>
      <c r="K49" s="146"/>
      <c r="M49" s="10">
        <v>13</v>
      </c>
      <c r="N49" s="14" t="s">
        <v>27</v>
      </c>
      <c r="O49" s="34" t="s">
        <v>16</v>
      </c>
      <c r="P49" s="23">
        <f>'IDLER REACTIONS Zone 1'!E50</f>
        <v>0</v>
      </c>
      <c r="Q49" s="23">
        <f>'IDLER REACTIONS Zone 1'!F50</f>
        <v>0</v>
      </c>
      <c r="R49" s="23">
        <f>'IDLER REACTIONS Zone 1'!G50</f>
        <v>0</v>
      </c>
      <c r="S49" s="23">
        <f>'IDLER REACTIONS Zone 1'!H50+(R49*$D$6)</f>
        <v>0</v>
      </c>
      <c r="T49" s="24">
        <f>'IDLER REACTIONS Zone 1'!I50-(P49*$D$6)</f>
        <v>0</v>
      </c>
    </row>
    <row r="50" spans="2:20" x14ac:dyDescent="0.25">
      <c r="B50" s="10">
        <v>14</v>
      </c>
      <c r="C50" s="14" t="s">
        <v>28</v>
      </c>
      <c r="D50" s="48" t="s">
        <v>16</v>
      </c>
      <c r="E50" s="23">
        <f>'DRIVE REACTIONS Zone 1'!E51</f>
        <v>0</v>
      </c>
      <c r="F50" s="23">
        <f>'DRIVE REACTIONS Zone 1'!F51</f>
        <v>0</v>
      </c>
      <c r="G50" s="23">
        <f>'DRIVE REACTIONS Zone 1'!G51</f>
        <v>0</v>
      </c>
      <c r="H50" s="23">
        <f>'DRIVE REACTIONS Zone 1'!H51+(G24*$D$5)</f>
        <v>0</v>
      </c>
      <c r="I50" s="24">
        <f>'DRIVE REACTIONS Zone 1'!I51-(E50*$D$5)</f>
        <v>0</v>
      </c>
      <c r="K50" s="146"/>
      <c r="M50" s="10">
        <v>14</v>
      </c>
      <c r="N50" s="14" t="s">
        <v>28</v>
      </c>
      <c r="O50" s="34" t="s">
        <v>16</v>
      </c>
      <c r="P50" s="23">
        <f>'IDLER REACTIONS Zone 1'!E51</f>
        <v>0</v>
      </c>
      <c r="Q50" s="23">
        <f>'IDLER REACTIONS Zone 1'!F51</f>
        <v>0</v>
      </c>
      <c r="R50" s="23">
        <f>'IDLER REACTIONS Zone 1'!G51</f>
        <v>0</v>
      </c>
      <c r="S50" s="23">
        <f>'IDLER REACTIONS Zone 1'!H51+(R50*$D$6)</f>
        <v>0</v>
      </c>
      <c r="T50" s="24">
        <f>'IDLER REACTIONS Zone 1'!I51-(P50*$D$6)</f>
        <v>0</v>
      </c>
    </row>
    <row r="51" spans="2:20" x14ac:dyDescent="0.25">
      <c r="B51" s="10">
        <v>15</v>
      </c>
      <c r="C51" s="14" t="s">
        <v>29</v>
      </c>
      <c r="D51" s="48" t="s">
        <v>16</v>
      </c>
      <c r="E51" s="23">
        <f>'DRIVE REACTIONS Zone 1'!E52</f>
        <v>0</v>
      </c>
      <c r="F51" s="23">
        <f>'DRIVE REACTIONS Zone 1'!F52</f>
        <v>0</v>
      </c>
      <c r="G51" s="23">
        <f>'DRIVE REACTIONS Zone 1'!G52</f>
        <v>0</v>
      </c>
      <c r="H51" s="23">
        <f>'DRIVE REACTIONS Zone 1'!H52+(G25*$D$5)</f>
        <v>0</v>
      </c>
      <c r="I51" s="24">
        <f>'DRIVE REACTIONS Zone 1'!I52-(E51*$D$5)</f>
        <v>0</v>
      </c>
      <c r="K51" s="146"/>
      <c r="M51" s="10">
        <v>15</v>
      </c>
      <c r="N51" s="14" t="s">
        <v>29</v>
      </c>
      <c r="O51" s="34" t="s">
        <v>16</v>
      </c>
      <c r="P51" s="23">
        <f>'IDLER REACTIONS Zone 1'!E52</f>
        <v>0</v>
      </c>
      <c r="Q51" s="23">
        <f>'IDLER REACTIONS Zone 1'!F52</f>
        <v>0</v>
      </c>
      <c r="R51" s="23">
        <f>'IDLER REACTIONS Zone 1'!G52</f>
        <v>0</v>
      </c>
      <c r="S51" s="23">
        <f>'IDLER REACTIONS Zone 1'!H52+(R51*$D$6)</f>
        <v>0</v>
      </c>
      <c r="T51" s="24">
        <f>'IDLER REACTIONS Zone 1'!I52-(P51*$D$6)</f>
        <v>0</v>
      </c>
    </row>
    <row r="52" spans="2:20" x14ac:dyDescent="0.25">
      <c r="B52" s="10">
        <v>16</v>
      </c>
      <c r="C52" s="14" t="s">
        <v>30</v>
      </c>
      <c r="D52" s="48" t="s">
        <v>16</v>
      </c>
      <c r="E52" s="23">
        <f>'DRIVE REACTIONS Zone 1'!E53</f>
        <v>0</v>
      </c>
      <c r="F52" s="23">
        <f>'DRIVE REACTIONS Zone 1'!F53</f>
        <v>0</v>
      </c>
      <c r="G52" s="23">
        <f>'DRIVE REACTIONS Zone 1'!G53</f>
        <v>0</v>
      </c>
      <c r="H52" s="23">
        <f>'DRIVE REACTIONS Zone 1'!H53+(G26*$D$5)</f>
        <v>0</v>
      </c>
      <c r="I52" s="24">
        <f>'DRIVE REACTIONS Zone 1'!I53-(E52*$D$5)</f>
        <v>0</v>
      </c>
      <c r="K52" s="146"/>
      <c r="M52" s="10">
        <v>16</v>
      </c>
      <c r="N52" s="14" t="s">
        <v>30</v>
      </c>
      <c r="O52" s="34" t="s">
        <v>16</v>
      </c>
      <c r="P52" s="23">
        <f>'IDLER REACTIONS Zone 1'!E53</f>
        <v>0</v>
      </c>
      <c r="Q52" s="23">
        <f>'IDLER REACTIONS Zone 1'!F53</f>
        <v>0</v>
      </c>
      <c r="R52" s="23">
        <f>'IDLER REACTIONS Zone 1'!G53</f>
        <v>0</v>
      </c>
      <c r="S52" s="23">
        <f>'IDLER REACTIONS Zone 1'!H53+(R52*$D$6)</f>
        <v>0</v>
      </c>
      <c r="T52" s="24">
        <f>'IDLER REACTIONS Zone 1'!I53-(P52*$D$6)</f>
        <v>0</v>
      </c>
    </row>
    <row r="53" spans="2:20" x14ac:dyDescent="0.25">
      <c r="B53" s="10">
        <v>17</v>
      </c>
      <c r="C53" s="14" t="s">
        <v>31</v>
      </c>
      <c r="D53" s="48" t="s">
        <v>16</v>
      </c>
      <c r="E53" s="23">
        <f>'DRIVE REACTIONS Zone 1'!E54</f>
        <v>0</v>
      </c>
      <c r="F53" s="23">
        <f>'DRIVE REACTIONS Zone 1'!F54</f>
        <v>0</v>
      </c>
      <c r="G53" s="23">
        <f>'DRIVE REACTIONS Zone 1'!G54</f>
        <v>0</v>
      </c>
      <c r="H53" s="23">
        <f>'DRIVE REACTIONS Zone 1'!H54+(G27*$D$5)</f>
        <v>0</v>
      </c>
      <c r="I53" s="24">
        <f>'DRIVE REACTIONS Zone 1'!I54-(E53*$D$5)</f>
        <v>0</v>
      </c>
      <c r="K53" s="146"/>
      <c r="M53" s="10">
        <v>17</v>
      </c>
      <c r="N53" s="14" t="s">
        <v>31</v>
      </c>
      <c r="O53" s="34" t="s">
        <v>16</v>
      </c>
      <c r="P53" s="23">
        <f>'IDLER REACTIONS Zone 1'!E54</f>
        <v>0</v>
      </c>
      <c r="Q53" s="23">
        <f>'IDLER REACTIONS Zone 1'!F54</f>
        <v>0</v>
      </c>
      <c r="R53" s="23">
        <f>'IDLER REACTIONS Zone 1'!G54</f>
        <v>0</v>
      </c>
      <c r="S53" s="23">
        <f>'IDLER REACTIONS Zone 1'!H54+(R53*$D$6)</f>
        <v>0</v>
      </c>
      <c r="T53" s="24">
        <f>'IDLER REACTIONS Zone 1'!I54-(P53*$D$6)</f>
        <v>0</v>
      </c>
    </row>
    <row r="54" spans="2:20" x14ac:dyDescent="0.25">
      <c r="B54" s="10">
        <v>18</v>
      </c>
      <c r="C54" s="14" t="s">
        <v>32</v>
      </c>
      <c r="D54" s="48" t="s">
        <v>16</v>
      </c>
      <c r="E54" s="23">
        <f>'DRIVE REACTIONS Zone 1'!E55</f>
        <v>0</v>
      </c>
      <c r="F54" s="23">
        <f>'DRIVE REACTIONS Zone 1'!F55</f>
        <v>0</v>
      </c>
      <c r="G54" s="23">
        <f>'DRIVE REACTIONS Zone 1'!G55</f>
        <v>0</v>
      </c>
      <c r="H54" s="23">
        <f>'DRIVE REACTIONS Zone 1'!H55+(G28*$D$5)</f>
        <v>0</v>
      </c>
      <c r="I54" s="24">
        <f>'DRIVE REACTIONS Zone 1'!I55-(E54*$D$5)</f>
        <v>0</v>
      </c>
      <c r="K54" s="146"/>
      <c r="M54" s="10">
        <v>18</v>
      </c>
      <c r="N54" s="14" t="s">
        <v>32</v>
      </c>
      <c r="O54" s="34" t="s">
        <v>16</v>
      </c>
      <c r="P54" s="23">
        <f>'IDLER REACTIONS Zone 1'!E55</f>
        <v>0</v>
      </c>
      <c r="Q54" s="23">
        <f>'IDLER REACTIONS Zone 1'!F55</f>
        <v>0</v>
      </c>
      <c r="R54" s="23">
        <f>'IDLER REACTIONS Zone 1'!G55</f>
        <v>0</v>
      </c>
      <c r="S54" s="23">
        <f>'IDLER REACTIONS Zone 1'!H55+(R54*$D$6)</f>
        <v>0</v>
      </c>
      <c r="T54" s="24">
        <f>'IDLER REACTIONS Zone 1'!I55-(P54*$D$6)</f>
        <v>0</v>
      </c>
    </row>
    <row r="55" spans="2:20" x14ac:dyDescent="0.25">
      <c r="B55" s="10">
        <v>19</v>
      </c>
      <c r="C55" s="14" t="s">
        <v>37</v>
      </c>
      <c r="D55" s="48" t="s">
        <v>16</v>
      </c>
      <c r="E55" s="23">
        <f>'DRIVE REACTIONS Zone 1'!E56</f>
        <v>0</v>
      </c>
      <c r="F55" s="23">
        <f>'DRIVE REACTIONS Zone 1'!F56</f>
        <v>0</v>
      </c>
      <c r="G55" s="23">
        <f>'DRIVE REACTIONS Zone 1'!G56</f>
        <v>0</v>
      </c>
      <c r="H55" s="23">
        <f>'DRIVE REACTIONS Zone 1'!H56+(G29*$D$5)</f>
        <v>0</v>
      </c>
      <c r="I55" s="24">
        <f>'DRIVE REACTIONS Zone 1'!I56-(E55*$D$5)</f>
        <v>0</v>
      </c>
      <c r="K55" s="146"/>
      <c r="M55" s="10">
        <v>19</v>
      </c>
      <c r="N55" s="14" t="s">
        <v>37</v>
      </c>
      <c r="O55" s="34" t="s">
        <v>16</v>
      </c>
      <c r="P55" s="23">
        <f>'IDLER REACTIONS Zone 1'!E56</f>
        <v>0</v>
      </c>
      <c r="Q55" s="23">
        <f>'IDLER REACTIONS Zone 1'!F56</f>
        <v>0</v>
      </c>
      <c r="R55" s="23">
        <f>'IDLER REACTIONS Zone 1'!G56</f>
        <v>0</v>
      </c>
      <c r="S55" s="23">
        <f>'IDLER REACTIONS Zone 1'!H56+(R55*$D$6)</f>
        <v>0</v>
      </c>
      <c r="T55" s="24">
        <f>'IDLER REACTIONS Zone 1'!I56-(P55*$D$6)</f>
        <v>0</v>
      </c>
    </row>
    <row r="56" spans="2:20" x14ac:dyDescent="0.25">
      <c r="B56" s="10">
        <v>20</v>
      </c>
      <c r="C56" s="14" t="s">
        <v>38</v>
      </c>
      <c r="D56" s="48" t="s">
        <v>16</v>
      </c>
      <c r="E56" s="23">
        <f>'DRIVE REACTIONS Zone 1'!E57</f>
        <v>0</v>
      </c>
      <c r="F56" s="23">
        <f>'DRIVE REACTIONS Zone 1'!F57</f>
        <v>0</v>
      </c>
      <c r="G56" s="23">
        <f>'DRIVE REACTIONS Zone 1'!G57</f>
        <v>0</v>
      </c>
      <c r="H56" s="23">
        <f>'DRIVE REACTIONS Zone 1'!H57+(G30*$D$5)</f>
        <v>0</v>
      </c>
      <c r="I56" s="24">
        <f>'DRIVE REACTIONS Zone 1'!I57-(E56*$D$5)</f>
        <v>0</v>
      </c>
      <c r="K56" s="146"/>
      <c r="M56" s="10">
        <v>20</v>
      </c>
      <c r="N56" s="14" t="s">
        <v>38</v>
      </c>
      <c r="O56" s="34" t="s">
        <v>16</v>
      </c>
      <c r="P56" s="23">
        <f>'IDLER REACTIONS Zone 1'!E57</f>
        <v>0</v>
      </c>
      <c r="Q56" s="23">
        <f>'IDLER REACTIONS Zone 1'!F57</f>
        <v>0</v>
      </c>
      <c r="R56" s="23">
        <f>'IDLER REACTIONS Zone 1'!G57</f>
        <v>0</v>
      </c>
      <c r="S56" s="23">
        <f>'IDLER REACTIONS Zone 1'!H57+(R56*$D$6)</f>
        <v>0</v>
      </c>
      <c r="T56" s="24">
        <f>'IDLER REACTIONS Zone 1'!I57-(P56*$D$6)</f>
        <v>0</v>
      </c>
    </row>
    <row r="57" spans="2:20" x14ac:dyDescent="0.25">
      <c r="B57" s="10">
        <v>21</v>
      </c>
      <c r="C57" s="14" t="s">
        <v>39</v>
      </c>
      <c r="D57" s="48" t="s">
        <v>16</v>
      </c>
      <c r="E57" s="23">
        <f>'DRIVE REACTIONS Zone 1'!E58</f>
        <v>0</v>
      </c>
      <c r="F57" s="23">
        <f>'DRIVE REACTIONS Zone 1'!F58</f>
        <v>0</v>
      </c>
      <c r="G57" s="23">
        <f>'DRIVE REACTIONS Zone 1'!G58</f>
        <v>0</v>
      </c>
      <c r="H57" s="23">
        <f>'DRIVE REACTIONS Zone 1'!H58+(G31*$D$5)</f>
        <v>0</v>
      </c>
      <c r="I57" s="24">
        <f>'DRIVE REACTIONS Zone 1'!I58-(E57*$D$5)</f>
        <v>0</v>
      </c>
      <c r="K57" s="146"/>
      <c r="M57" s="10">
        <v>21</v>
      </c>
      <c r="N57" s="14" t="s">
        <v>39</v>
      </c>
      <c r="O57" s="34" t="s">
        <v>16</v>
      </c>
      <c r="P57" s="23">
        <f>'IDLER REACTIONS Zone 1'!E58</f>
        <v>0</v>
      </c>
      <c r="Q57" s="23">
        <f>'IDLER REACTIONS Zone 1'!F58</f>
        <v>0</v>
      </c>
      <c r="R57" s="23">
        <f>'IDLER REACTIONS Zone 1'!G58</f>
        <v>0</v>
      </c>
      <c r="S57" s="23">
        <f>'IDLER REACTIONS Zone 1'!H58+(R57*$D$6)</f>
        <v>0</v>
      </c>
      <c r="T57" s="24">
        <f>'IDLER REACTIONS Zone 1'!I58-(P57*$D$6)</f>
        <v>0</v>
      </c>
    </row>
    <row r="58" spans="2:20" ht="15.75" thickBot="1" x14ac:dyDescent="0.3">
      <c r="B58" s="13">
        <v>22</v>
      </c>
      <c r="C58" s="15" t="s">
        <v>40</v>
      </c>
      <c r="D58" s="49" t="s">
        <v>16</v>
      </c>
      <c r="E58" s="31">
        <f>'DRIVE REACTIONS Zone 1'!E59</f>
        <v>0</v>
      </c>
      <c r="F58" s="31">
        <f>'DRIVE REACTIONS Zone 1'!F59</f>
        <v>0</v>
      </c>
      <c r="G58" s="31">
        <f>'DRIVE REACTIONS Zone 1'!G59</f>
        <v>0</v>
      </c>
      <c r="H58" s="31">
        <f>'DRIVE REACTIONS Zone 1'!H59+(G32*$D$5)</f>
        <v>0</v>
      </c>
      <c r="I58" s="32">
        <f>'DRIVE REACTIONS Zone 1'!I59-(E58*$D$5)</f>
        <v>0</v>
      </c>
      <c r="K58" s="146"/>
      <c r="M58" s="13">
        <v>22</v>
      </c>
      <c r="N58" s="15" t="s">
        <v>40</v>
      </c>
      <c r="O58" s="36" t="s">
        <v>16</v>
      </c>
      <c r="P58" s="31">
        <f>'IDLER REACTIONS Zone 1'!E59</f>
        <v>0</v>
      </c>
      <c r="Q58" s="31">
        <f>'IDLER REACTIONS Zone 1'!F59</f>
        <v>0</v>
      </c>
      <c r="R58" s="31">
        <f>'IDLER REACTIONS Zone 1'!G59</f>
        <v>0</v>
      </c>
      <c r="S58" s="31">
        <f>'IDLER REACTIONS Zone 1'!H59+(R58*$D$6)</f>
        <v>0</v>
      </c>
      <c r="T58" s="32">
        <f>'IDLER REACTIONS Zone 1'!I59-(P58*$D$6)</f>
        <v>0</v>
      </c>
    </row>
    <row r="59" spans="2:20" x14ac:dyDescent="0.25">
      <c r="K59" s="146"/>
    </row>
    <row r="60" spans="2:20" ht="15.75" thickBot="1" x14ac:dyDescent="0.3">
      <c r="K60" s="146"/>
    </row>
    <row r="61" spans="2:20" x14ac:dyDescent="0.25">
      <c r="B61" s="458" t="s">
        <v>142</v>
      </c>
      <c r="C61" s="459"/>
      <c r="D61" s="459"/>
      <c r="E61" s="459"/>
      <c r="F61" s="459"/>
      <c r="G61" s="459"/>
      <c r="H61" s="459"/>
      <c r="I61" s="460"/>
      <c r="K61" s="146"/>
      <c r="M61" s="473" t="s">
        <v>146</v>
      </c>
      <c r="N61" s="474"/>
      <c r="O61" s="474"/>
      <c r="P61" s="474"/>
      <c r="Q61" s="474"/>
      <c r="R61" s="474"/>
      <c r="S61" s="474"/>
      <c r="T61" s="475"/>
    </row>
    <row r="62" spans="2:20" ht="15.75" thickBot="1" x14ac:dyDescent="0.3">
      <c r="B62" s="461"/>
      <c r="C62" s="462"/>
      <c r="D62" s="462"/>
      <c r="E62" s="462"/>
      <c r="F62" s="462"/>
      <c r="G62" s="462"/>
      <c r="H62" s="462"/>
      <c r="I62" s="463"/>
      <c r="K62" s="146"/>
      <c r="M62" s="470"/>
      <c r="N62" s="471"/>
      <c r="O62" s="471"/>
      <c r="P62" s="471"/>
      <c r="Q62" s="471"/>
      <c r="R62" s="471"/>
      <c r="S62" s="471"/>
      <c r="T62" s="472"/>
    </row>
    <row r="63" spans="2:20" ht="60.75" thickBot="1" x14ac:dyDescent="0.3">
      <c r="B63" s="26" t="s">
        <v>3</v>
      </c>
      <c r="C63" s="26" t="s">
        <v>60</v>
      </c>
      <c r="D63" s="145" t="s">
        <v>13</v>
      </c>
      <c r="E63" s="44" t="s">
        <v>44</v>
      </c>
      <c r="F63" s="44" t="s">
        <v>4</v>
      </c>
      <c r="G63" s="44" t="s">
        <v>45</v>
      </c>
      <c r="H63" s="44" t="s">
        <v>47</v>
      </c>
      <c r="I63" s="45" t="s">
        <v>46</v>
      </c>
      <c r="K63" s="146"/>
      <c r="M63" s="26" t="s">
        <v>3</v>
      </c>
      <c r="N63" s="26" t="s">
        <v>60</v>
      </c>
      <c r="O63" s="145" t="s">
        <v>13</v>
      </c>
      <c r="P63" s="44" t="s">
        <v>44</v>
      </c>
      <c r="Q63" s="44" t="s">
        <v>4</v>
      </c>
      <c r="R63" s="44" t="s">
        <v>45</v>
      </c>
      <c r="S63" s="44" t="s">
        <v>47</v>
      </c>
      <c r="T63" s="45" t="s">
        <v>46</v>
      </c>
    </row>
    <row r="64" spans="2:20" x14ac:dyDescent="0.25">
      <c r="B64" s="29">
        <v>1</v>
      </c>
      <c r="C64" s="28" t="s">
        <v>0</v>
      </c>
      <c r="D64" s="35" t="s">
        <v>16</v>
      </c>
      <c r="E64" s="21">
        <f>'DRIVE REACTIONS Zone 4'!E12</f>
        <v>0</v>
      </c>
      <c r="F64" s="21">
        <f>'DRIVE REACTIONS Zone 4'!F12</f>
        <v>0</v>
      </c>
      <c r="G64" s="21">
        <f>'DRIVE REACTIONS Zone 4'!G12</f>
        <v>0</v>
      </c>
      <c r="H64" s="21">
        <f>'DRIVE REACTIONS Zone 4'!H12+(G64*$D$5)</f>
        <v>0</v>
      </c>
      <c r="I64" s="22">
        <f>'DRIVE REACTIONS Zone 4'!I12+(E64*$D$5)</f>
        <v>0</v>
      </c>
      <c r="K64" s="146"/>
      <c r="M64" s="29">
        <v>1</v>
      </c>
      <c r="N64" s="28" t="s">
        <v>0</v>
      </c>
      <c r="O64" s="35" t="s">
        <v>16</v>
      </c>
      <c r="P64" s="21">
        <f>'IDLER REACTIONS Zone 2'!E12</f>
        <v>0</v>
      </c>
      <c r="Q64" s="21">
        <f>'IDLER REACTIONS Zone 2'!F12</f>
        <v>0</v>
      </c>
      <c r="R64" s="21">
        <f>'IDLER REACTIONS Zone 2'!G12</f>
        <v>0</v>
      </c>
      <c r="S64" s="21">
        <f>'IDLER REACTIONS Zone 2'!H12+(R64*$D$6)</f>
        <v>0</v>
      </c>
      <c r="T64" s="22">
        <f>'IDLER REACTIONS Zone 2'!I12-(P64*$D$6)</f>
        <v>0</v>
      </c>
    </row>
    <row r="65" spans="2:20" x14ac:dyDescent="0.25">
      <c r="B65" s="10">
        <v>2</v>
      </c>
      <c r="C65" s="14" t="s">
        <v>20</v>
      </c>
      <c r="D65" s="34" t="s">
        <v>16</v>
      </c>
      <c r="E65" s="23">
        <f>'DRIVE REACTIONS Zone 4'!E13</f>
        <v>0</v>
      </c>
      <c r="F65" s="23">
        <f>'DRIVE REACTIONS Zone 4'!F13</f>
        <v>0</v>
      </c>
      <c r="G65" s="23">
        <f>'DRIVE REACTIONS Zone 4'!G13</f>
        <v>0</v>
      </c>
      <c r="H65" s="23">
        <f>'DRIVE REACTIONS Zone 4'!H13+(G65*$D$5)</f>
        <v>0</v>
      </c>
      <c r="I65" s="24">
        <f>'DRIVE REACTIONS Zone 4'!I13+(E65*$D$5)</f>
        <v>0</v>
      </c>
      <c r="K65" s="146"/>
      <c r="M65" s="10">
        <v>2</v>
      </c>
      <c r="N65" s="14" t="s">
        <v>20</v>
      </c>
      <c r="O65" s="34" t="s">
        <v>16</v>
      </c>
      <c r="P65" s="23">
        <f>'IDLER REACTIONS Zone 2'!E13</f>
        <v>0</v>
      </c>
      <c r="Q65" s="23">
        <f>'IDLER REACTIONS Zone 2'!F13</f>
        <v>0</v>
      </c>
      <c r="R65" s="23">
        <f>'IDLER REACTIONS Zone 2'!G13</f>
        <v>0</v>
      </c>
      <c r="S65" s="23">
        <f>'IDLER REACTIONS Zone 2'!H13+(R65*$D$6)</f>
        <v>0</v>
      </c>
      <c r="T65" s="24">
        <f>'IDLER REACTIONS Zone 2'!I13-(P65*$D$6)</f>
        <v>0</v>
      </c>
    </row>
    <row r="66" spans="2:20" x14ac:dyDescent="0.25">
      <c r="B66" s="10">
        <v>3</v>
      </c>
      <c r="C66" s="14" t="s">
        <v>21</v>
      </c>
      <c r="D66" s="34" t="s">
        <v>16</v>
      </c>
      <c r="E66" s="23">
        <f>'DRIVE REACTIONS Zone 4'!E14</f>
        <v>0</v>
      </c>
      <c r="F66" s="23">
        <f>'DRIVE REACTIONS Zone 4'!F14</f>
        <v>0</v>
      </c>
      <c r="G66" s="23">
        <f>'DRIVE REACTIONS Zone 4'!G14</f>
        <v>0</v>
      </c>
      <c r="H66" s="23">
        <f>'DRIVE REACTIONS Zone 4'!H14+(G66*$D$5)</f>
        <v>0</v>
      </c>
      <c r="I66" s="24">
        <f>'DRIVE REACTIONS Zone 4'!I14+(E66*$D$5)</f>
        <v>0</v>
      </c>
      <c r="K66" s="146"/>
      <c r="M66" s="10">
        <v>3</v>
      </c>
      <c r="N66" s="14" t="s">
        <v>21</v>
      </c>
      <c r="O66" s="34" t="s">
        <v>16</v>
      </c>
      <c r="P66" s="23">
        <f>'IDLER REACTIONS Zone 2'!E14</f>
        <v>0</v>
      </c>
      <c r="Q66" s="23">
        <f>'IDLER REACTIONS Zone 2'!F14</f>
        <v>0</v>
      </c>
      <c r="R66" s="23">
        <f>'IDLER REACTIONS Zone 2'!G14</f>
        <v>0</v>
      </c>
      <c r="S66" s="23">
        <f>'IDLER REACTIONS Zone 2'!H14+(R66*$D$6)</f>
        <v>0</v>
      </c>
      <c r="T66" s="24">
        <f>'IDLER REACTIONS Zone 2'!I14-(P66*$D$6)</f>
        <v>0</v>
      </c>
    </row>
    <row r="67" spans="2:20" x14ac:dyDescent="0.25">
      <c r="B67" s="10">
        <v>4</v>
      </c>
      <c r="C67" s="14" t="s">
        <v>22</v>
      </c>
      <c r="D67" s="34" t="s">
        <v>16</v>
      </c>
      <c r="E67" s="23">
        <f>'DRIVE REACTIONS Zone 4'!E15</f>
        <v>0</v>
      </c>
      <c r="F67" s="23">
        <f>'DRIVE REACTIONS Zone 4'!F15</f>
        <v>0</v>
      </c>
      <c r="G67" s="23">
        <f>'DRIVE REACTIONS Zone 4'!G15</f>
        <v>0</v>
      </c>
      <c r="H67" s="23">
        <f>'DRIVE REACTIONS Zone 4'!H15+(G67*$D$5)</f>
        <v>0</v>
      </c>
      <c r="I67" s="24">
        <f>'DRIVE REACTIONS Zone 4'!I15+(E67*$D$5)</f>
        <v>0</v>
      </c>
      <c r="K67" s="146"/>
      <c r="M67" s="10">
        <v>4</v>
      </c>
      <c r="N67" s="14" t="s">
        <v>22</v>
      </c>
      <c r="O67" s="34" t="s">
        <v>16</v>
      </c>
      <c r="P67" s="23">
        <f>'IDLER REACTIONS Zone 2'!E15</f>
        <v>0</v>
      </c>
      <c r="Q67" s="23">
        <f>'IDLER REACTIONS Zone 2'!F15</f>
        <v>0</v>
      </c>
      <c r="R67" s="23">
        <f>'IDLER REACTIONS Zone 2'!G15</f>
        <v>0</v>
      </c>
      <c r="S67" s="23">
        <f>'IDLER REACTIONS Zone 2'!H15+(R67*$D$6)</f>
        <v>0</v>
      </c>
      <c r="T67" s="24">
        <f>'IDLER REACTIONS Zone 2'!I15-(P67*$D$6)</f>
        <v>0</v>
      </c>
    </row>
    <row r="68" spans="2:20" x14ac:dyDescent="0.25">
      <c r="B68" s="10">
        <v>5</v>
      </c>
      <c r="C68" s="14" t="s">
        <v>35</v>
      </c>
      <c r="D68" s="34" t="s">
        <v>16</v>
      </c>
      <c r="E68" s="23">
        <f>'DRIVE REACTIONS Zone 4'!E16</f>
        <v>0</v>
      </c>
      <c r="F68" s="23">
        <f>'DRIVE REACTIONS Zone 4'!F16</f>
        <v>0</v>
      </c>
      <c r="G68" s="23">
        <f>'DRIVE REACTIONS Zone 4'!G16</f>
        <v>0</v>
      </c>
      <c r="H68" s="23">
        <f>'DRIVE REACTIONS Zone 4'!H16+(G68*$D$5)</f>
        <v>0</v>
      </c>
      <c r="I68" s="24">
        <f>'DRIVE REACTIONS Zone 4'!I16+(E68*$D$5)</f>
        <v>0</v>
      </c>
      <c r="K68" s="146"/>
      <c r="M68" s="10">
        <v>5</v>
      </c>
      <c r="N68" s="14" t="s">
        <v>35</v>
      </c>
      <c r="O68" s="34" t="s">
        <v>16</v>
      </c>
      <c r="P68" s="23">
        <f>'IDLER REACTIONS Zone 2'!E16</f>
        <v>0</v>
      </c>
      <c r="Q68" s="23">
        <f>'IDLER REACTIONS Zone 2'!F16</f>
        <v>0</v>
      </c>
      <c r="R68" s="23">
        <f>'IDLER REACTIONS Zone 2'!G16</f>
        <v>0</v>
      </c>
      <c r="S68" s="23">
        <f>'IDLER REACTIONS Zone 2'!H16+(R68*$D$6)</f>
        <v>0</v>
      </c>
      <c r="T68" s="24">
        <f>'IDLER REACTIONS Zone 2'!I16-(P68*$D$6)</f>
        <v>0</v>
      </c>
    </row>
    <row r="69" spans="2:20" x14ac:dyDescent="0.25">
      <c r="B69" s="10">
        <v>6</v>
      </c>
      <c r="C69" s="14" t="s">
        <v>36</v>
      </c>
      <c r="D69" s="34" t="s">
        <v>16</v>
      </c>
      <c r="E69" s="23">
        <f>'DRIVE REACTIONS Zone 4'!E17</f>
        <v>0</v>
      </c>
      <c r="F69" s="23">
        <f>'DRIVE REACTIONS Zone 4'!F17</f>
        <v>0</v>
      </c>
      <c r="G69" s="23">
        <f>'DRIVE REACTIONS Zone 4'!G17</f>
        <v>0</v>
      </c>
      <c r="H69" s="23">
        <f>'DRIVE REACTIONS Zone 4'!H17+(G69*$D$5)</f>
        <v>0</v>
      </c>
      <c r="I69" s="24">
        <f>'DRIVE REACTIONS Zone 4'!I17+(E69*$D$5)</f>
        <v>0</v>
      </c>
      <c r="K69" s="146"/>
      <c r="M69" s="10">
        <v>6</v>
      </c>
      <c r="N69" s="14" t="s">
        <v>36</v>
      </c>
      <c r="O69" s="34" t="s">
        <v>16</v>
      </c>
      <c r="P69" s="23">
        <f>'IDLER REACTIONS Zone 2'!E17</f>
        <v>0</v>
      </c>
      <c r="Q69" s="23">
        <f>'IDLER REACTIONS Zone 2'!F17</f>
        <v>0</v>
      </c>
      <c r="R69" s="23">
        <f>'IDLER REACTIONS Zone 2'!G17</f>
        <v>0</v>
      </c>
      <c r="S69" s="23">
        <f>'IDLER REACTIONS Zone 2'!H17+(R69*$D$6)</f>
        <v>0</v>
      </c>
      <c r="T69" s="24">
        <f>'IDLER REACTIONS Zone 2'!I17-(P69*$D$6)</f>
        <v>0</v>
      </c>
    </row>
    <row r="70" spans="2:20" x14ac:dyDescent="0.25">
      <c r="B70" s="10">
        <v>7</v>
      </c>
      <c r="C70" s="14" t="s">
        <v>33</v>
      </c>
      <c r="D70" s="34" t="s">
        <v>16</v>
      </c>
      <c r="E70" s="23">
        <f>'DRIVE REACTIONS Zone 4'!E18</f>
        <v>0</v>
      </c>
      <c r="F70" s="23">
        <f>'DRIVE REACTIONS Zone 4'!F18</f>
        <v>0</v>
      </c>
      <c r="G70" s="23">
        <f>'DRIVE REACTIONS Zone 4'!G18</f>
        <v>0</v>
      </c>
      <c r="H70" s="23">
        <f>'DRIVE REACTIONS Zone 4'!H18+(G70*$D$5)</f>
        <v>0</v>
      </c>
      <c r="I70" s="24">
        <f>'DRIVE REACTIONS Zone 4'!I18+(E70*$D$5)</f>
        <v>0</v>
      </c>
      <c r="K70" s="146"/>
      <c r="M70" s="10">
        <v>7</v>
      </c>
      <c r="N70" s="14" t="s">
        <v>33</v>
      </c>
      <c r="O70" s="34" t="s">
        <v>16</v>
      </c>
      <c r="P70" s="23">
        <f>'IDLER REACTIONS Zone 2'!E18</f>
        <v>0</v>
      </c>
      <c r="Q70" s="23">
        <f>'IDLER REACTIONS Zone 2'!F18</f>
        <v>0</v>
      </c>
      <c r="R70" s="23">
        <f>'IDLER REACTIONS Zone 2'!G18</f>
        <v>0</v>
      </c>
      <c r="S70" s="23">
        <f>'IDLER REACTIONS Zone 2'!H18+(R70*$D$6)</f>
        <v>0</v>
      </c>
      <c r="T70" s="24">
        <f>'IDLER REACTIONS Zone 2'!I18-(P70*$D$6)</f>
        <v>0</v>
      </c>
    </row>
    <row r="71" spans="2:20" x14ac:dyDescent="0.25">
      <c r="B71" s="10">
        <v>8</v>
      </c>
      <c r="C71" s="14" t="s">
        <v>34</v>
      </c>
      <c r="D71" s="34" t="s">
        <v>16</v>
      </c>
      <c r="E71" s="23">
        <f>'DRIVE REACTIONS Zone 4'!E19</f>
        <v>0</v>
      </c>
      <c r="F71" s="23">
        <f>'DRIVE REACTIONS Zone 4'!F19</f>
        <v>0</v>
      </c>
      <c r="G71" s="23">
        <f>'DRIVE REACTIONS Zone 4'!G19</f>
        <v>0</v>
      </c>
      <c r="H71" s="23">
        <f>'DRIVE REACTIONS Zone 4'!H19+(G71*$D$5)</f>
        <v>0</v>
      </c>
      <c r="I71" s="24">
        <f>'DRIVE REACTIONS Zone 4'!I19+(E71*$D$5)</f>
        <v>0</v>
      </c>
      <c r="K71" s="146"/>
      <c r="M71" s="10">
        <v>8</v>
      </c>
      <c r="N71" s="14" t="s">
        <v>34</v>
      </c>
      <c r="O71" s="34" t="s">
        <v>16</v>
      </c>
      <c r="P71" s="23">
        <f>'IDLER REACTIONS Zone 2'!E19</f>
        <v>0</v>
      </c>
      <c r="Q71" s="23">
        <f>'IDLER REACTIONS Zone 2'!F19</f>
        <v>0</v>
      </c>
      <c r="R71" s="23">
        <f>'IDLER REACTIONS Zone 2'!G19</f>
        <v>0</v>
      </c>
      <c r="S71" s="23">
        <f>'IDLER REACTIONS Zone 2'!H19+(R71*$D$6)</f>
        <v>0</v>
      </c>
      <c r="T71" s="24">
        <f>'IDLER REACTIONS Zone 2'!I19-(P71*$D$6)</f>
        <v>0</v>
      </c>
    </row>
    <row r="72" spans="2:20" x14ac:dyDescent="0.25">
      <c r="B72" s="10">
        <v>9</v>
      </c>
      <c r="C72" s="14" t="s">
        <v>23</v>
      </c>
      <c r="D72" s="34" t="s">
        <v>16</v>
      </c>
      <c r="E72" s="23">
        <f>'DRIVE REACTIONS Zone 4'!E20</f>
        <v>0</v>
      </c>
      <c r="F72" s="23">
        <f>'DRIVE REACTIONS Zone 4'!F20</f>
        <v>0</v>
      </c>
      <c r="G72" s="23">
        <f>'DRIVE REACTIONS Zone 4'!G20</f>
        <v>0</v>
      </c>
      <c r="H72" s="23">
        <f>'DRIVE REACTIONS Zone 4'!H20+(G72*$D$5)</f>
        <v>0</v>
      </c>
      <c r="I72" s="24">
        <f>'DRIVE REACTIONS Zone 4'!I20+(E72*$D$5)</f>
        <v>0</v>
      </c>
      <c r="K72" s="146"/>
      <c r="M72" s="10">
        <v>9</v>
      </c>
      <c r="N72" s="14" t="s">
        <v>23</v>
      </c>
      <c r="O72" s="34" t="s">
        <v>16</v>
      </c>
      <c r="P72" s="23">
        <f>'IDLER REACTIONS Zone 2'!E20</f>
        <v>0</v>
      </c>
      <c r="Q72" s="23">
        <f>'IDLER REACTIONS Zone 2'!F20</f>
        <v>0</v>
      </c>
      <c r="R72" s="23">
        <f>'IDLER REACTIONS Zone 2'!G20</f>
        <v>0</v>
      </c>
      <c r="S72" s="23">
        <f>'IDLER REACTIONS Zone 2'!H20+(R72*$D$6)</f>
        <v>0</v>
      </c>
      <c r="T72" s="24">
        <f>'IDLER REACTIONS Zone 2'!I20-(P72*$D$6)</f>
        <v>0</v>
      </c>
    </row>
    <row r="73" spans="2:20" x14ac:dyDescent="0.25">
      <c r="B73" s="10">
        <v>10</v>
      </c>
      <c r="C73" s="14" t="s">
        <v>24</v>
      </c>
      <c r="D73" s="34" t="s">
        <v>16</v>
      </c>
      <c r="E73" s="23">
        <f>'DRIVE REACTIONS Zone 4'!E21</f>
        <v>0</v>
      </c>
      <c r="F73" s="23">
        <f>'DRIVE REACTIONS Zone 4'!F21</f>
        <v>0</v>
      </c>
      <c r="G73" s="23">
        <f>'DRIVE REACTIONS Zone 4'!G21</f>
        <v>0</v>
      </c>
      <c r="H73" s="23">
        <f>'DRIVE REACTIONS Zone 4'!H21+(G73*$D$5)</f>
        <v>0</v>
      </c>
      <c r="I73" s="24">
        <f>'DRIVE REACTIONS Zone 4'!I21+(E73*$D$5)</f>
        <v>0</v>
      </c>
      <c r="K73" s="146"/>
      <c r="M73" s="10">
        <v>10</v>
      </c>
      <c r="N73" s="14" t="s">
        <v>24</v>
      </c>
      <c r="O73" s="34" t="s">
        <v>16</v>
      </c>
      <c r="P73" s="23">
        <f>'IDLER REACTIONS Zone 2'!E21</f>
        <v>0</v>
      </c>
      <c r="Q73" s="23">
        <f>'IDLER REACTIONS Zone 2'!F21</f>
        <v>0</v>
      </c>
      <c r="R73" s="23">
        <f>'IDLER REACTIONS Zone 2'!G21</f>
        <v>0</v>
      </c>
      <c r="S73" s="23">
        <f>'IDLER REACTIONS Zone 2'!H21+(R73*$D$6)</f>
        <v>0</v>
      </c>
      <c r="T73" s="24">
        <f>'IDLER REACTIONS Zone 2'!I21-(P73*$D$6)</f>
        <v>0</v>
      </c>
    </row>
    <row r="74" spans="2:20" x14ac:dyDescent="0.25">
      <c r="B74" s="10">
        <v>11</v>
      </c>
      <c r="C74" s="14" t="s">
        <v>25</v>
      </c>
      <c r="D74" s="34" t="s">
        <v>16</v>
      </c>
      <c r="E74" s="23">
        <f>'DRIVE REACTIONS Zone 4'!E22</f>
        <v>0</v>
      </c>
      <c r="F74" s="23">
        <f>'DRIVE REACTIONS Zone 4'!F22</f>
        <v>0</v>
      </c>
      <c r="G74" s="23">
        <f>'DRIVE REACTIONS Zone 4'!G22</f>
        <v>0</v>
      </c>
      <c r="H74" s="23">
        <f>'DRIVE REACTIONS Zone 4'!H22+(G74*$D$5)</f>
        <v>0</v>
      </c>
      <c r="I74" s="24">
        <f>'DRIVE REACTIONS Zone 4'!I22+(E74*$D$5)</f>
        <v>0</v>
      </c>
      <c r="K74" s="146"/>
      <c r="M74" s="10">
        <v>11</v>
      </c>
      <c r="N74" s="14" t="s">
        <v>25</v>
      </c>
      <c r="O74" s="34" t="s">
        <v>16</v>
      </c>
      <c r="P74" s="23">
        <f>'IDLER REACTIONS Zone 2'!E22</f>
        <v>0</v>
      </c>
      <c r="Q74" s="23">
        <f>'IDLER REACTIONS Zone 2'!F22</f>
        <v>0</v>
      </c>
      <c r="R74" s="23">
        <f>'IDLER REACTIONS Zone 2'!G22</f>
        <v>0</v>
      </c>
      <c r="S74" s="23">
        <f>'IDLER REACTIONS Zone 2'!H22+(R74*$D$6)</f>
        <v>0</v>
      </c>
      <c r="T74" s="24">
        <f>'IDLER REACTIONS Zone 2'!I22-(P74*$D$6)</f>
        <v>0</v>
      </c>
    </row>
    <row r="75" spans="2:20" x14ac:dyDescent="0.25">
      <c r="B75" s="10">
        <v>12</v>
      </c>
      <c r="C75" s="14" t="s">
        <v>26</v>
      </c>
      <c r="D75" s="34" t="s">
        <v>16</v>
      </c>
      <c r="E75" s="23">
        <f>'DRIVE REACTIONS Zone 4'!E23</f>
        <v>0</v>
      </c>
      <c r="F75" s="23">
        <f>'DRIVE REACTIONS Zone 4'!F23</f>
        <v>0</v>
      </c>
      <c r="G75" s="23">
        <f>'DRIVE REACTIONS Zone 4'!G23</f>
        <v>0</v>
      </c>
      <c r="H75" s="23">
        <f>'DRIVE REACTIONS Zone 4'!H23+(G75*$D$5)</f>
        <v>0</v>
      </c>
      <c r="I75" s="24">
        <f>'DRIVE REACTIONS Zone 4'!I23+(E75*$D$5)</f>
        <v>0</v>
      </c>
      <c r="K75" s="146"/>
      <c r="M75" s="10">
        <v>12</v>
      </c>
      <c r="N75" s="14" t="s">
        <v>26</v>
      </c>
      <c r="O75" s="34" t="s">
        <v>16</v>
      </c>
      <c r="P75" s="23">
        <f>'IDLER REACTIONS Zone 2'!E23</f>
        <v>0</v>
      </c>
      <c r="Q75" s="23">
        <f>'IDLER REACTIONS Zone 2'!F23</f>
        <v>0</v>
      </c>
      <c r="R75" s="23">
        <f>'IDLER REACTIONS Zone 2'!G23</f>
        <v>0</v>
      </c>
      <c r="S75" s="23">
        <f>'IDLER REACTIONS Zone 2'!H23+(R75*$D$6)</f>
        <v>0</v>
      </c>
      <c r="T75" s="24">
        <f>'IDLER REACTIONS Zone 2'!I23-(P75*$D$6)</f>
        <v>0</v>
      </c>
    </row>
    <row r="76" spans="2:20" x14ac:dyDescent="0.25">
      <c r="B76" s="10">
        <v>13</v>
      </c>
      <c r="C76" s="14" t="s">
        <v>27</v>
      </c>
      <c r="D76" s="34" t="s">
        <v>16</v>
      </c>
      <c r="E76" s="23">
        <f>'DRIVE REACTIONS Zone 4'!E24</f>
        <v>0</v>
      </c>
      <c r="F76" s="23">
        <f>'DRIVE REACTIONS Zone 4'!F24</f>
        <v>0</v>
      </c>
      <c r="G76" s="23">
        <f>'DRIVE REACTIONS Zone 4'!G24</f>
        <v>0</v>
      </c>
      <c r="H76" s="23">
        <f>'DRIVE REACTIONS Zone 4'!H24+(G76*$D$5)</f>
        <v>0</v>
      </c>
      <c r="I76" s="24">
        <f>'DRIVE REACTIONS Zone 4'!I24+(E76*$D$5)</f>
        <v>0</v>
      </c>
      <c r="K76" s="146"/>
      <c r="M76" s="10">
        <v>13</v>
      </c>
      <c r="N76" s="14" t="s">
        <v>27</v>
      </c>
      <c r="O76" s="34" t="s">
        <v>16</v>
      </c>
      <c r="P76" s="23">
        <f>'IDLER REACTIONS Zone 2'!E24</f>
        <v>0</v>
      </c>
      <c r="Q76" s="23">
        <f>'IDLER REACTIONS Zone 2'!F24</f>
        <v>0</v>
      </c>
      <c r="R76" s="23">
        <f>'IDLER REACTIONS Zone 2'!G24</f>
        <v>0</v>
      </c>
      <c r="S76" s="23">
        <f>'IDLER REACTIONS Zone 2'!H24+(R76*$D$6)</f>
        <v>0</v>
      </c>
      <c r="T76" s="24">
        <f>'IDLER REACTIONS Zone 2'!I24-(P76*$D$6)</f>
        <v>0</v>
      </c>
    </row>
    <row r="77" spans="2:20" x14ac:dyDescent="0.25">
      <c r="B77" s="10">
        <v>14</v>
      </c>
      <c r="C77" s="14" t="s">
        <v>28</v>
      </c>
      <c r="D77" s="34" t="s">
        <v>16</v>
      </c>
      <c r="E77" s="23">
        <f>'DRIVE REACTIONS Zone 4'!E25</f>
        <v>0</v>
      </c>
      <c r="F77" s="23">
        <f>'DRIVE REACTIONS Zone 4'!F25</f>
        <v>0</v>
      </c>
      <c r="G77" s="23">
        <f>'DRIVE REACTIONS Zone 4'!G25</f>
        <v>0</v>
      </c>
      <c r="H77" s="23">
        <f>'DRIVE REACTIONS Zone 4'!H25+(G77*$D$5)</f>
        <v>0</v>
      </c>
      <c r="I77" s="24">
        <f>'DRIVE REACTIONS Zone 4'!I25+(E77*$D$5)</f>
        <v>0</v>
      </c>
      <c r="K77" s="146"/>
      <c r="M77" s="10">
        <v>14</v>
      </c>
      <c r="N77" s="14" t="s">
        <v>28</v>
      </c>
      <c r="O77" s="34" t="s">
        <v>16</v>
      </c>
      <c r="P77" s="23">
        <f>'IDLER REACTIONS Zone 2'!E25</f>
        <v>0</v>
      </c>
      <c r="Q77" s="23">
        <f>'IDLER REACTIONS Zone 2'!F25</f>
        <v>0</v>
      </c>
      <c r="R77" s="23">
        <f>'IDLER REACTIONS Zone 2'!G25</f>
        <v>0</v>
      </c>
      <c r="S77" s="23">
        <f>'IDLER REACTIONS Zone 2'!H25+(R77*$D$6)</f>
        <v>0</v>
      </c>
      <c r="T77" s="24">
        <f>'IDLER REACTIONS Zone 2'!I25-(P77*$D$6)</f>
        <v>0</v>
      </c>
    </row>
    <row r="78" spans="2:20" x14ac:dyDescent="0.25">
      <c r="B78" s="10">
        <v>15</v>
      </c>
      <c r="C78" s="14" t="s">
        <v>29</v>
      </c>
      <c r="D78" s="34" t="s">
        <v>16</v>
      </c>
      <c r="E78" s="23">
        <f>'DRIVE REACTIONS Zone 4'!E26</f>
        <v>0</v>
      </c>
      <c r="F78" s="23">
        <f>'DRIVE REACTIONS Zone 4'!F26</f>
        <v>0</v>
      </c>
      <c r="G78" s="23">
        <f>'DRIVE REACTIONS Zone 4'!G26</f>
        <v>0</v>
      </c>
      <c r="H78" s="23">
        <f>'DRIVE REACTIONS Zone 4'!H26+(G78*$D$5)</f>
        <v>0</v>
      </c>
      <c r="I78" s="24">
        <f>'DRIVE REACTIONS Zone 4'!I26+(E78*$D$5)</f>
        <v>0</v>
      </c>
      <c r="K78" s="146"/>
      <c r="M78" s="10">
        <v>15</v>
      </c>
      <c r="N78" s="14" t="s">
        <v>29</v>
      </c>
      <c r="O78" s="34" t="s">
        <v>16</v>
      </c>
      <c r="P78" s="23">
        <f>'IDLER REACTIONS Zone 2'!E26</f>
        <v>0</v>
      </c>
      <c r="Q78" s="23">
        <f>'IDLER REACTIONS Zone 2'!F26</f>
        <v>0</v>
      </c>
      <c r="R78" s="23">
        <f>'IDLER REACTIONS Zone 2'!G26</f>
        <v>0</v>
      </c>
      <c r="S78" s="23">
        <f>'IDLER REACTIONS Zone 2'!H26+(R78*$D$6)</f>
        <v>0</v>
      </c>
      <c r="T78" s="24">
        <f>'IDLER REACTIONS Zone 2'!I26-(P78*$D$6)</f>
        <v>0</v>
      </c>
    </row>
    <row r="79" spans="2:20" x14ac:dyDescent="0.25">
      <c r="B79" s="10">
        <v>16</v>
      </c>
      <c r="C79" s="14" t="s">
        <v>30</v>
      </c>
      <c r="D79" s="34" t="s">
        <v>16</v>
      </c>
      <c r="E79" s="23">
        <f>'DRIVE REACTIONS Zone 4'!E27</f>
        <v>0</v>
      </c>
      <c r="F79" s="23">
        <f>'DRIVE REACTIONS Zone 4'!F27</f>
        <v>0</v>
      </c>
      <c r="G79" s="23">
        <f>'DRIVE REACTIONS Zone 4'!G27</f>
        <v>0</v>
      </c>
      <c r="H79" s="23">
        <f>'DRIVE REACTIONS Zone 4'!H27+(G79*$D$5)</f>
        <v>0</v>
      </c>
      <c r="I79" s="24">
        <f>'DRIVE REACTIONS Zone 4'!I27+(E79*$D$5)</f>
        <v>0</v>
      </c>
      <c r="K79" s="146"/>
      <c r="M79" s="10">
        <v>16</v>
      </c>
      <c r="N79" s="14" t="s">
        <v>30</v>
      </c>
      <c r="O79" s="34" t="s">
        <v>16</v>
      </c>
      <c r="P79" s="23">
        <f>'IDLER REACTIONS Zone 2'!E27</f>
        <v>0</v>
      </c>
      <c r="Q79" s="23">
        <f>'IDLER REACTIONS Zone 2'!F27</f>
        <v>0</v>
      </c>
      <c r="R79" s="23">
        <f>'IDLER REACTIONS Zone 2'!G27</f>
        <v>0</v>
      </c>
      <c r="S79" s="23">
        <f>'IDLER REACTIONS Zone 2'!H27+(R79*$D$6)</f>
        <v>0</v>
      </c>
      <c r="T79" s="24">
        <f>'IDLER REACTIONS Zone 2'!I27-(P79*$D$6)</f>
        <v>0</v>
      </c>
    </row>
    <row r="80" spans="2:20" x14ac:dyDescent="0.25">
      <c r="B80" s="10">
        <v>17</v>
      </c>
      <c r="C80" s="14" t="s">
        <v>31</v>
      </c>
      <c r="D80" s="34" t="s">
        <v>16</v>
      </c>
      <c r="E80" s="23">
        <f>'DRIVE REACTIONS Zone 4'!E28</f>
        <v>0</v>
      </c>
      <c r="F80" s="23">
        <f>'DRIVE REACTIONS Zone 4'!F28</f>
        <v>0</v>
      </c>
      <c r="G80" s="23">
        <f>'DRIVE REACTIONS Zone 4'!G28</f>
        <v>0</v>
      </c>
      <c r="H80" s="23">
        <f>'DRIVE REACTIONS Zone 4'!H28+(G80*$D$5)</f>
        <v>0</v>
      </c>
      <c r="I80" s="24">
        <f>'DRIVE REACTIONS Zone 4'!I28+(E80*$D$5)</f>
        <v>0</v>
      </c>
      <c r="K80" s="146"/>
      <c r="M80" s="10">
        <v>17</v>
      </c>
      <c r="N80" s="14" t="s">
        <v>31</v>
      </c>
      <c r="O80" s="34" t="s">
        <v>16</v>
      </c>
      <c r="P80" s="23">
        <f>'IDLER REACTIONS Zone 2'!E28</f>
        <v>0</v>
      </c>
      <c r="Q80" s="23">
        <f>'IDLER REACTIONS Zone 2'!F28</f>
        <v>0</v>
      </c>
      <c r="R80" s="23">
        <f>'IDLER REACTIONS Zone 2'!G28</f>
        <v>0</v>
      </c>
      <c r="S80" s="23">
        <f>'IDLER REACTIONS Zone 2'!H28+(R80*$D$6)</f>
        <v>0</v>
      </c>
      <c r="T80" s="24">
        <f>'IDLER REACTIONS Zone 2'!I28-(P80*$D$6)</f>
        <v>0</v>
      </c>
    </row>
    <row r="81" spans="2:20" x14ac:dyDescent="0.25">
      <c r="B81" s="10">
        <v>18</v>
      </c>
      <c r="C81" s="14" t="s">
        <v>32</v>
      </c>
      <c r="D81" s="34" t="s">
        <v>16</v>
      </c>
      <c r="E81" s="23">
        <f>'DRIVE REACTIONS Zone 4'!E29</f>
        <v>0</v>
      </c>
      <c r="F81" s="23">
        <f>'DRIVE REACTIONS Zone 4'!F29</f>
        <v>0</v>
      </c>
      <c r="G81" s="23">
        <f>'DRIVE REACTIONS Zone 4'!G29</f>
        <v>0</v>
      </c>
      <c r="H81" s="23">
        <f>'DRIVE REACTIONS Zone 4'!H29+(G81*$D$5)</f>
        <v>0</v>
      </c>
      <c r="I81" s="24">
        <f>'DRIVE REACTIONS Zone 4'!I29+(E81*$D$5)</f>
        <v>0</v>
      </c>
      <c r="K81" s="146"/>
      <c r="M81" s="10">
        <v>18</v>
      </c>
      <c r="N81" s="14" t="s">
        <v>32</v>
      </c>
      <c r="O81" s="34" t="s">
        <v>16</v>
      </c>
      <c r="P81" s="23">
        <f>'IDLER REACTIONS Zone 2'!E29</f>
        <v>0</v>
      </c>
      <c r="Q81" s="23">
        <f>'IDLER REACTIONS Zone 2'!F29</f>
        <v>0</v>
      </c>
      <c r="R81" s="23">
        <f>'IDLER REACTIONS Zone 2'!G29</f>
        <v>0</v>
      </c>
      <c r="S81" s="23">
        <f>'IDLER REACTIONS Zone 2'!H29+(R81*$D$6)</f>
        <v>0</v>
      </c>
      <c r="T81" s="24">
        <f>'IDLER REACTIONS Zone 2'!I29-(P81*$D$6)</f>
        <v>0</v>
      </c>
    </row>
    <row r="82" spans="2:20" x14ac:dyDescent="0.25">
      <c r="B82" s="10">
        <v>19</v>
      </c>
      <c r="C82" s="14" t="s">
        <v>37</v>
      </c>
      <c r="D82" s="34" t="s">
        <v>16</v>
      </c>
      <c r="E82" s="23">
        <f>'DRIVE REACTIONS Zone 4'!E30</f>
        <v>0</v>
      </c>
      <c r="F82" s="23">
        <f>'DRIVE REACTIONS Zone 4'!F30</f>
        <v>0</v>
      </c>
      <c r="G82" s="23">
        <f>'DRIVE REACTIONS Zone 4'!G30</f>
        <v>0</v>
      </c>
      <c r="H82" s="23">
        <f>'DRIVE REACTIONS Zone 4'!H30+(G82*$D$5)</f>
        <v>0</v>
      </c>
      <c r="I82" s="24">
        <f>'DRIVE REACTIONS Zone 4'!I30+(E82*$D$5)</f>
        <v>0</v>
      </c>
      <c r="K82" s="146"/>
      <c r="M82" s="10">
        <v>19</v>
      </c>
      <c r="N82" s="14" t="s">
        <v>37</v>
      </c>
      <c r="O82" s="34" t="s">
        <v>16</v>
      </c>
      <c r="P82" s="23">
        <f>'IDLER REACTIONS Zone 2'!E30</f>
        <v>0</v>
      </c>
      <c r="Q82" s="23">
        <f>'IDLER REACTIONS Zone 2'!F30</f>
        <v>0</v>
      </c>
      <c r="R82" s="23">
        <f>'IDLER REACTIONS Zone 2'!G30</f>
        <v>0</v>
      </c>
      <c r="S82" s="23">
        <f>'IDLER REACTIONS Zone 2'!H30+(R82*$D$6)</f>
        <v>0</v>
      </c>
      <c r="T82" s="24">
        <f>'IDLER REACTIONS Zone 2'!I30-(P82*$D$6)</f>
        <v>0</v>
      </c>
    </row>
    <row r="83" spans="2:20" x14ac:dyDescent="0.25">
      <c r="B83" s="10">
        <v>20</v>
      </c>
      <c r="C83" s="14" t="s">
        <v>38</v>
      </c>
      <c r="D83" s="34" t="s">
        <v>16</v>
      </c>
      <c r="E83" s="23">
        <f>'DRIVE REACTIONS Zone 4'!E31</f>
        <v>0</v>
      </c>
      <c r="F83" s="23">
        <f>'DRIVE REACTIONS Zone 4'!F31</f>
        <v>0</v>
      </c>
      <c r="G83" s="23">
        <f>'DRIVE REACTIONS Zone 4'!G31</f>
        <v>0</v>
      </c>
      <c r="H83" s="23">
        <f>'DRIVE REACTIONS Zone 4'!H31+(G83*$D$5)</f>
        <v>0</v>
      </c>
      <c r="I83" s="24">
        <f>'DRIVE REACTIONS Zone 4'!I31+(E83*$D$5)</f>
        <v>0</v>
      </c>
      <c r="K83" s="146"/>
      <c r="M83" s="10">
        <v>20</v>
      </c>
      <c r="N83" s="14" t="s">
        <v>38</v>
      </c>
      <c r="O83" s="34" t="s">
        <v>16</v>
      </c>
      <c r="P83" s="23">
        <f>'IDLER REACTIONS Zone 2'!E31</f>
        <v>0</v>
      </c>
      <c r="Q83" s="23">
        <f>'IDLER REACTIONS Zone 2'!F31</f>
        <v>0</v>
      </c>
      <c r="R83" s="23">
        <f>'IDLER REACTIONS Zone 2'!G31</f>
        <v>0</v>
      </c>
      <c r="S83" s="23">
        <f>'IDLER REACTIONS Zone 2'!H31+(R83*$D$6)</f>
        <v>0</v>
      </c>
      <c r="T83" s="24">
        <f>'IDLER REACTIONS Zone 2'!I31-(P83*$D$6)</f>
        <v>0</v>
      </c>
    </row>
    <row r="84" spans="2:20" x14ac:dyDescent="0.25">
      <c r="B84" s="10">
        <v>21</v>
      </c>
      <c r="C84" s="14" t="s">
        <v>39</v>
      </c>
      <c r="D84" s="34" t="s">
        <v>16</v>
      </c>
      <c r="E84" s="23">
        <f>'DRIVE REACTIONS Zone 4'!E32</f>
        <v>0</v>
      </c>
      <c r="F84" s="23">
        <f>'DRIVE REACTIONS Zone 4'!F32</f>
        <v>0</v>
      </c>
      <c r="G84" s="23">
        <f>'DRIVE REACTIONS Zone 4'!G32</f>
        <v>0</v>
      </c>
      <c r="H84" s="23">
        <f>'DRIVE REACTIONS Zone 4'!H32+(G84*$D$5)</f>
        <v>0</v>
      </c>
      <c r="I84" s="24">
        <f>'DRIVE REACTIONS Zone 4'!I32+(E84*$D$5)</f>
        <v>0</v>
      </c>
      <c r="K84" s="146"/>
      <c r="M84" s="10">
        <v>21</v>
      </c>
      <c r="N84" s="14" t="s">
        <v>39</v>
      </c>
      <c r="O84" s="34" t="s">
        <v>16</v>
      </c>
      <c r="P84" s="23">
        <f>'IDLER REACTIONS Zone 2'!E32</f>
        <v>0</v>
      </c>
      <c r="Q84" s="23">
        <f>'IDLER REACTIONS Zone 2'!F32</f>
        <v>0</v>
      </c>
      <c r="R84" s="23">
        <f>'IDLER REACTIONS Zone 2'!G32</f>
        <v>0</v>
      </c>
      <c r="S84" s="23">
        <f>'IDLER REACTIONS Zone 2'!H32+(R84*$D$6)</f>
        <v>0</v>
      </c>
      <c r="T84" s="24">
        <f>'IDLER REACTIONS Zone 2'!I32-(P84*$D$6)</f>
        <v>0</v>
      </c>
    </row>
    <row r="85" spans="2:20" ht="15.75" thickBot="1" x14ac:dyDescent="0.3">
      <c r="B85" s="13">
        <v>22</v>
      </c>
      <c r="C85" s="15" t="s">
        <v>40</v>
      </c>
      <c r="D85" s="36" t="s">
        <v>16</v>
      </c>
      <c r="E85" s="31">
        <f>'DRIVE REACTIONS Zone 4'!E33</f>
        <v>0</v>
      </c>
      <c r="F85" s="31">
        <f>'DRIVE REACTIONS Zone 4'!F33</f>
        <v>0</v>
      </c>
      <c r="G85" s="31">
        <f>'DRIVE REACTIONS Zone 4'!G33</f>
        <v>0</v>
      </c>
      <c r="H85" s="31">
        <f>'DRIVE REACTIONS Zone 4'!H33+(G85*$D$5)</f>
        <v>0</v>
      </c>
      <c r="I85" s="32">
        <f>'DRIVE REACTIONS Zone 4'!I33+(E85*$D$5)</f>
        <v>0</v>
      </c>
      <c r="K85" s="146"/>
      <c r="M85" s="13">
        <v>22</v>
      </c>
      <c r="N85" s="15" t="s">
        <v>40</v>
      </c>
      <c r="O85" s="36" t="s">
        <v>16</v>
      </c>
      <c r="P85" s="31">
        <f>'IDLER REACTIONS Zone 2'!E33</f>
        <v>0</v>
      </c>
      <c r="Q85" s="31">
        <f>'IDLER REACTIONS Zone 2'!F33</f>
        <v>0</v>
      </c>
      <c r="R85" s="31">
        <f>'IDLER REACTIONS Zone 2'!G33</f>
        <v>0</v>
      </c>
      <c r="S85" s="31">
        <f>'IDLER REACTIONS Zone 2'!H33+(R85*$D$6)</f>
        <v>0</v>
      </c>
      <c r="T85" s="32">
        <f>'IDLER REACTIONS Zone 2'!I33-(P85*$D$6)</f>
        <v>0</v>
      </c>
    </row>
    <row r="86" spans="2:20" ht="15.75" thickBot="1" x14ac:dyDescent="0.3">
      <c r="B86" s="8"/>
      <c r="C86" s="8"/>
      <c r="D86" s="9"/>
      <c r="E86" s="9"/>
      <c r="F86" s="9"/>
      <c r="G86" s="9"/>
      <c r="H86" s="9"/>
      <c r="I86" s="8"/>
      <c r="K86" s="146"/>
      <c r="M86" s="8"/>
      <c r="N86" s="8"/>
      <c r="O86" s="9"/>
      <c r="P86" s="9"/>
      <c r="Q86" s="9"/>
      <c r="R86" s="9"/>
      <c r="S86" s="9"/>
      <c r="T86" s="8"/>
    </row>
    <row r="87" spans="2:20" x14ac:dyDescent="0.25">
      <c r="B87" s="458" t="s">
        <v>143</v>
      </c>
      <c r="C87" s="459"/>
      <c r="D87" s="459"/>
      <c r="E87" s="459"/>
      <c r="F87" s="459"/>
      <c r="G87" s="459"/>
      <c r="H87" s="459"/>
      <c r="I87" s="460"/>
      <c r="K87" s="146"/>
      <c r="M87" s="473" t="s">
        <v>147</v>
      </c>
      <c r="N87" s="474"/>
      <c r="O87" s="474"/>
      <c r="P87" s="474"/>
      <c r="Q87" s="474"/>
      <c r="R87" s="474"/>
      <c r="S87" s="474"/>
      <c r="T87" s="475"/>
    </row>
    <row r="88" spans="2:20" ht="15.75" thickBot="1" x14ac:dyDescent="0.3">
      <c r="B88" s="461"/>
      <c r="C88" s="462"/>
      <c r="D88" s="462"/>
      <c r="E88" s="464"/>
      <c r="F88" s="464"/>
      <c r="G88" s="464"/>
      <c r="H88" s="464"/>
      <c r="I88" s="465"/>
      <c r="K88" s="146"/>
      <c r="M88" s="470"/>
      <c r="N88" s="471"/>
      <c r="O88" s="471"/>
      <c r="P88" s="476"/>
      <c r="Q88" s="476"/>
      <c r="R88" s="476"/>
      <c r="S88" s="476"/>
      <c r="T88" s="477"/>
    </row>
    <row r="89" spans="2:20" ht="60.75" thickBot="1" x14ac:dyDescent="0.3">
      <c r="B89" s="25" t="s">
        <v>3</v>
      </c>
      <c r="C89" s="26" t="s">
        <v>60</v>
      </c>
      <c r="D89" s="27" t="s">
        <v>13</v>
      </c>
      <c r="E89" s="46" t="s">
        <v>44</v>
      </c>
      <c r="F89" s="44" t="s">
        <v>4</v>
      </c>
      <c r="G89" s="44" t="s">
        <v>45</v>
      </c>
      <c r="H89" s="44" t="s">
        <v>47</v>
      </c>
      <c r="I89" s="45" t="s">
        <v>46</v>
      </c>
      <c r="K89" s="146"/>
      <c r="M89" s="25" t="s">
        <v>3</v>
      </c>
      <c r="N89" s="26" t="s">
        <v>60</v>
      </c>
      <c r="O89" s="27" t="s">
        <v>13</v>
      </c>
      <c r="P89" s="46" t="s">
        <v>44</v>
      </c>
      <c r="Q89" s="44" t="s">
        <v>4</v>
      </c>
      <c r="R89" s="44" t="s">
        <v>45</v>
      </c>
      <c r="S89" s="44" t="s">
        <v>47</v>
      </c>
      <c r="T89" s="45" t="s">
        <v>46</v>
      </c>
    </row>
    <row r="90" spans="2:20" x14ac:dyDescent="0.25">
      <c r="B90" s="29">
        <v>1</v>
      </c>
      <c r="C90" s="28" t="s">
        <v>0</v>
      </c>
      <c r="D90" s="35" t="s">
        <v>16</v>
      </c>
      <c r="E90" s="21">
        <f>'DRIVE REACTIONS Zone 4'!E38</f>
        <v>0</v>
      </c>
      <c r="F90" s="21">
        <f>'DRIVE REACTIONS Zone 4'!F38</f>
        <v>0</v>
      </c>
      <c r="G90" s="21">
        <f>'DRIVE REACTIONS Zone 4'!G38</f>
        <v>0</v>
      </c>
      <c r="H90" s="21">
        <f>'DRIVE REACTIONS Zone 4'!H38+(G90*$D$5)</f>
        <v>0</v>
      </c>
      <c r="I90" s="22">
        <f>'DRIVE REACTIONS Zone 4'!I38-(E90*$D$5)</f>
        <v>0</v>
      </c>
      <c r="K90" s="146"/>
      <c r="M90" s="29">
        <v>1</v>
      </c>
      <c r="N90" s="28" t="s">
        <v>0</v>
      </c>
      <c r="O90" s="35" t="s">
        <v>16</v>
      </c>
      <c r="P90" s="21">
        <f>'IDLER REACTIONS Zone 2'!E38</f>
        <v>0</v>
      </c>
      <c r="Q90" s="21">
        <f>'IDLER REACTIONS Zone 2'!F38</f>
        <v>0</v>
      </c>
      <c r="R90" s="21">
        <f>'IDLER REACTIONS Zone 2'!G38</f>
        <v>0</v>
      </c>
      <c r="S90" s="21">
        <f>'IDLER REACTIONS Zone 2'!H38</f>
        <v>0</v>
      </c>
      <c r="T90" s="22">
        <f>'IDLER REACTIONS Zone 2'!I38</f>
        <v>0</v>
      </c>
    </row>
    <row r="91" spans="2:20" x14ac:dyDescent="0.25">
      <c r="B91" s="10">
        <v>2</v>
      </c>
      <c r="C91" s="14" t="s">
        <v>20</v>
      </c>
      <c r="D91" s="34" t="s">
        <v>16</v>
      </c>
      <c r="E91" s="23">
        <f>'DRIVE REACTIONS Zone 4'!E39</f>
        <v>0</v>
      </c>
      <c r="F91" s="23">
        <f>'DRIVE REACTIONS Zone 4'!F39</f>
        <v>0</v>
      </c>
      <c r="G91" s="23">
        <f>'DRIVE REACTIONS Zone 4'!G39</f>
        <v>0</v>
      </c>
      <c r="H91" s="23">
        <f>'DRIVE REACTIONS Zone 4'!H39+(G91*$D$5)</f>
        <v>0</v>
      </c>
      <c r="I91" s="24">
        <f>'DRIVE REACTIONS Zone 4'!I39-(E91*$D$5)</f>
        <v>0</v>
      </c>
      <c r="K91" s="146"/>
      <c r="M91" s="10">
        <v>2</v>
      </c>
      <c r="N91" s="14" t="s">
        <v>20</v>
      </c>
      <c r="O91" s="34" t="s">
        <v>16</v>
      </c>
      <c r="P91" s="23">
        <f>'IDLER REACTIONS Zone 2'!E39</f>
        <v>0</v>
      </c>
      <c r="Q91" s="23">
        <f>'IDLER REACTIONS Zone 2'!F39</f>
        <v>0</v>
      </c>
      <c r="R91" s="23">
        <f>'IDLER REACTIONS Zone 2'!G39</f>
        <v>0</v>
      </c>
      <c r="S91" s="23">
        <f>'IDLER REACTIONS Zone 2'!H39</f>
        <v>0</v>
      </c>
      <c r="T91" s="24">
        <f>'IDLER REACTIONS Zone 2'!I39</f>
        <v>0</v>
      </c>
    </row>
    <row r="92" spans="2:20" x14ac:dyDescent="0.25">
      <c r="B92" s="10">
        <v>3</v>
      </c>
      <c r="C92" s="14" t="s">
        <v>21</v>
      </c>
      <c r="D92" s="34" t="s">
        <v>16</v>
      </c>
      <c r="E92" s="23">
        <f>'DRIVE REACTIONS Zone 4'!E40</f>
        <v>0</v>
      </c>
      <c r="F92" s="23">
        <f>'DRIVE REACTIONS Zone 4'!F40</f>
        <v>0</v>
      </c>
      <c r="G92" s="23">
        <f>'DRIVE REACTIONS Zone 4'!G40</f>
        <v>0</v>
      </c>
      <c r="H92" s="23">
        <f>'DRIVE REACTIONS Zone 4'!H40+(G92*$D$5)</f>
        <v>0</v>
      </c>
      <c r="I92" s="24">
        <f>'DRIVE REACTIONS Zone 4'!I40-(E92*$D$5)</f>
        <v>0</v>
      </c>
      <c r="K92" s="146"/>
      <c r="M92" s="10">
        <v>3</v>
      </c>
      <c r="N92" s="14" t="s">
        <v>21</v>
      </c>
      <c r="O92" s="34" t="s">
        <v>16</v>
      </c>
      <c r="P92" s="23">
        <f>'IDLER REACTIONS Zone 2'!E40</f>
        <v>0</v>
      </c>
      <c r="Q92" s="23">
        <f>'IDLER REACTIONS Zone 2'!F40</f>
        <v>0</v>
      </c>
      <c r="R92" s="23">
        <f>'IDLER REACTIONS Zone 2'!G40</f>
        <v>0</v>
      </c>
      <c r="S92" s="23">
        <f>'IDLER REACTIONS Zone 2'!H40</f>
        <v>0</v>
      </c>
      <c r="T92" s="24">
        <f>'IDLER REACTIONS Zone 2'!I40</f>
        <v>0</v>
      </c>
    </row>
    <row r="93" spans="2:20" x14ac:dyDescent="0.25">
      <c r="B93" s="10">
        <v>4</v>
      </c>
      <c r="C93" s="14" t="s">
        <v>22</v>
      </c>
      <c r="D93" s="34" t="s">
        <v>16</v>
      </c>
      <c r="E93" s="23">
        <f>'DRIVE REACTIONS Zone 4'!E41</f>
        <v>0</v>
      </c>
      <c r="F93" s="23">
        <f>'DRIVE REACTIONS Zone 4'!F41</f>
        <v>0</v>
      </c>
      <c r="G93" s="23">
        <f>'DRIVE REACTIONS Zone 4'!G41</f>
        <v>0</v>
      </c>
      <c r="H93" s="23">
        <f>'DRIVE REACTIONS Zone 4'!H41+(G93*$D$5)</f>
        <v>0</v>
      </c>
      <c r="I93" s="24">
        <f>'DRIVE REACTIONS Zone 4'!I41-(E93*$D$5)</f>
        <v>0</v>
      </c>
      <c r="K93" s="146"/>
      <c r="M93" s="10">
        <v>4</v>
      </c>
      <c r="N93" s="14" t="s">
        <v>22</v>
      </c>
      <c r="O93" s="34" t="s">
        <v>16</v>
      </c>
      <c r="P93" s="23">
        <f>'IDLER REACTIONS Zone 2'!E41</f>
        <v>0</v>
      </c>
      <c r="Q93" s="23">
        <f>'IDLER REACTIONS Zone 2'!F41</f>
        <v>0</v>
      </c>
      <c r="R93" s="23">
        <f>'IDLER REACTIONS Zone 2'!G41</f>
        <v>0</v>
      </c>
      <c r="S93" s="23">
        <f>'IDLER REACTIONS Zone 2'!H41</f>
        <v>0</v>
      </c>
      <c r="T93" s="24">
        <f>'IDLER REACTIONS Zone 2'!I41</f>
        <v>0</v>
      </c>
    </row>
    <row r="94" spans="2:20" x14ac:dyDescent="0.25">
      <c r="B94" s="10">
        <v>5</v>
      </c>
      <c r="C94" s="14" t="s">
        <v>35</v>
      </c>
      <c r="D94" s="34" t="s">
        <v>16</v>
      </c>
      <c r="E94" s="23">
        <f>'DRIVE REACTIONS Zone 4'!E42</f>
        <v>0</v>
      </c>
      <c r="F94" s="23">
        <f>'DRIVE REACTIONS Zone 4'!F42</f>
        <v>0</v>
      </c>
      <c r="G94" s="23">
        <f>'DRIVE REACTIONS Zone 4'!G42</f>
        <v>0</v>
      </c>
      <c r="H94" s="23">
        <f>'DRIVE REACTIONS Zone 4'!H42+(G94*$D$5)</f>
        <v>0</v>
      </c>
      <c r="I94" s="24">
        <f>'DRIVE REACTIONS Zone 4'!I42-(E94*$D$5)</f>
        <v>0</v>
      </c>
      <c r="K94" s="146"/>
      <c r="M94" s="10">
        <v>5</v>
      </c>
      <c r="N94" s="14" t="s">
        <v>35</v>
      </c>
      <c r="O94" s="34" t="s">
        <v>16</v>
      </c>
      <c r="P94" s="23">
        <f>'IDLER REACTIONS Zone 2'!E42</f>
        <v>0</v>
      </c>
      <c r="Q94" s="23">
        <f>'IDLER REACTIONS Zone 2'!F42</f>
        <v>0</v>
      </c>
      <c r="R94" s="23">
        <f>'IDLER REACTIONS Zone 2'!G42</f>
        <v>0</v>
      </c>
      <c r="S94" s="23">
        <f>'IDLER REACTIONS Zone 2'!H42</f>
        <v>0</v>
      </c>
      <c r="T94" s="24">
        <f>'IDLER REACTIONS Zone 2'!I42</f>
        <v>0</v>
      </c>
    </row>
    <row r="95" spans="2:20" x14ac:dyDescent="0.25">
      <c r="B95" s="10">
        <v>6</v>
      </c>
      <c r="C95" s="14" t="s">
        <v>36</v>
      </c>
      <c r="D95" s="34" t="s">
        <v>16</v>
      </c>
      <c r="E95" s="23">
        <f>'DRIVE REACTIONS Zone 4'!E43</f>
        <v>0</v>
      </c>
      <c r="F95" s="23">
        <f>'DRIVE REACTIONS Zone 4'!F43</f>
        <v>0</v>
      </c>
      <c r="G95" s="23">
        <f>'DRIVE REACTIONS Zone 4'!G43</f>
        <v>0</v>
      </c>
      <c r="H95" s="23">
        <f>'DRIVE REACTIONS Zone 4'!H43+(G95*$D$5)</f>
        <v>0</v>
      </c>
      <c r="I95" s="24">
        <f>'DRIVE REACTIONS Zone 4'!I43-(E95*$D$5)</f>
        <v>0</v>
      </c>
      <c r="K95" s="146"/>
      <c r="M95" s="10">
        <v>6</v>
      </c>
      <c r="N95" s="14" t="s">
        <v>36</v>
      </c>
      <c r="O95" s="34" t="s">
        <v>16</v>
      </c>
      <c r="P95" s="23">
        <f>'IDLER REACTIONS Zone 2'!E43</f>
        <v>0</v>
      </c>
      <c r="Q95" s="23">
        <f>'IDLER REACTIONS Zone 2'!F43</f>
        <v>0</v>
      </c>
      <c r="R95" s="23">
        <f>'IDLER REACTIONS Zone 2'!G43</f>
        <v>0</v>
      </c>
      <c r="S95" s="23">
        <f>'IDLER REACTIONS Zone 2'!H43</f>
        <v>0</v>
      </c>
      <c r="T95" s="24">
        <f>'IDLER REACTIONS Zone 2'!I43</f>
        <v>0</v>
      </c>
    </row>
    <row r="96" spans="2:20" x14ac:dyDescent="0.25">
      <c r="B96" s="10">
        <v>7</v>
      </c>
      <c r="C96" s="14" t="s">
        <v>33</v>
      </c>
      <c r="D96" s="34" t="s">
        <v>16</v>
      </c>
      <c r="E96" s="23">
        <f>'DRIVE REACTIONS Zone 4'!E44</f>
        <v>0</v>
      </c>
      <c r="F96" s="23">
        <f>'DRIVE REACTIONS Zone 4'!F44</f>
        <v>0</v>
      </c>
      <c r="G96" s="23">
        <f>'DRIVE REACTIONS Zone 4'!G44</f>
        <v>0</v>
      </c>
      <c r="H96" s="23">
        <f>'DRIVE REACTIONS Zone 4'!H44+(G96*$D$5)</f>
        <v>0</v>
      </c>
      <c r="I96" s="24">
        <f>'DRIVE REACTIONS Zone 4'!I44-(E96*$D$5)</f>
        <v>0</v>
      </c>
      <c r="K96" s="146"/>
      <c r="M96" s="10">
        <v>7</v>
      </c>
      <c r="N96" s="14" t="s">
        <v>33</v>
      </c>
      <c r="O96" s="34" t="s">
        <v>16</v>
      </c>
      <c r="P96" s="23">
        <f>'IDLER REACTIONS Zone 2'!E44</f>
        <v>0</v>
      </c>
      <c r="Q96" s="23">
        <f>'IDLER REACTIONS Zone 2'!F44</f>
        <v>0</v>
      </c>
      <c r="R96" s="23">
        <f>'IDLER REACTIONS Zone 2'!G44</f>
        <v>0</v>
      </c>
      <c r="S96" s="23">
        <f>'IDLER REACTIONS Zone 2'!H44</f>
        <v>0</v>
      </c>
      <c r="T96" s="24">
        <f>'IDLER REACTIONS Zone 2'!I44</f>
        <v>0</v>
      </c>
    </row>
    <row r="97" spans="2:20" x14ac:dyDescent="0.25">
      <c r="B97" s="10">
        <v>8</v>
      </c>
      <c r="C97" s="14" t="s">
        <v>34</v>
      </c>
      <c r="D97" s="34" t="s">
        <v>16</v>
      </c>
      <c r="E97" s="23">
        <f>'DRIVE REACTIONS Zone 4'!E45</f>
        <v>0</v>
      </c>
      <c r="F97" s="23">
        <f>'DRIVE REACTIONS Zone 4'!F45</f>
        <v>0</v>
      </c>
      <c r="G97" s="23">
        <f>'DRIVE REACTIONS Zone 4'!G45</f>
        <v>0</v>
      </c>
      <c r="H97" s="23">
        <f>'DRIVE REACTIONS Zone 4'!H45+(G97*$D$5)</f>
        <v>0</v>
      </c>
      <c r="I97" s="24">
        <f>'DRIVE REACTIONS Zone 4'!I45-(E97*$D$5)</f>
        <v>0</v>
      </c>
      <c r="K97" s="146"/>
      <c r="M97" s="10">
        <v>8</v>
      </c>
      <c r="N97" s="14" t="s">
        <v>34</v>
      </c>
      <c r="O97" s="34" t="s">
        <v>16</v>
      </c>
      <c r="P97" s="23">
        <f>'IDLER REACTIONS Zone 2'!E45</f>
        <v>0</v>
      </c>
      <c r="Q97" s="23">
        <f>'IDLER REACTIONS Zone 2'!F45</f>
        <v>0</v>
      </c>
      <c r="R97" s="23">
        <f>'IDLER REACTIONS Zone 2'!G45</f>
        <v>0</v>
      </c>
      <c r="S97" s="23">
        <f>'IDLER REACTIONS Zone 2'!H45</f>
        <v>0</v>
      </c>
      <c r="T97" s="24">
        <f>'IDLER REACTIONS Zone 2'!I45</f>
        <v>0</v>
      </c>
    </row>
    <row r="98" spans="2:20" x14ac:dyDescent="0.25">
      <c r="B98" s="10">
        <v>9</v>
      </c>
      <c r="C98" s="14" t="s">
        <v>23</v>
      </c>
      <c r="D98" s="34" t="s">
        <v>16</v>
      </c>
      <c r="E98" s="23">
        <f>'DRIVE REACTIONS Zone 4'!E46</f>
        <v>0</v>
      </c>
      <c r="F98" s="23">
        <f>'DRIVE REACTIONS Zone 4'!F46</f>
        <v>0</v>
      </c>
      <c r="G98" s="23">
        <f>'DRIVE REACTIONS Zone 4'!G46</f>
        <v>0</v>
      </c>
      <c r="H98" s="23">
        <f>'DRIVE REACTIONS Zone 4'!H46+(G98*$D$5)</f>
        <v>0</v>
      </c>
      <c r="I98" s="24">
        <f>'DRIVE REACTIONS Zone 4'!I46-(E98*$D$5)</f>
        <v>0</v>
      </c>
      <c r="K98" s="146"/>
      <c r="M98" s="10">
        <v>9</v>
      </c>
      <c r="N98" s="14" t="s">
        <v>23</v>
      </c>
      <c r="O98" s="34" t="s">
        <v>16</v>
      </c>
      <c r="P98" s="23">
        <f>'IDLER REACTIONS Zone 2'!E46</f>
        <v>0</v>
      </c>
      <c r="Q98" s="23">
        <f>'IDLER REACTIONS Zone 2'!F46</f>
        <v>0</v>
      </c>
      <c r="R98" s="23">
        <f>'IDLER REACTIONS Zone 2'!G46</f>
        <v>0</v>
      </c>
      <c r="S98" s="23">
        <f>'IDLER REACTIONS Zone 2'!H46</f>
        <v>0</v>
      </c>
      <c r="T98" s="24">
        <f>'IDLER REACTIONS Zone 2'!I46</f>
        <v>0</v>
      </c>
    </row>
    <row r="99" spans="2:20" x14ac:dyDescent="0.25">
      <c r="B99" s="10">
        <v>10</v>
      </c>
      <c r="C99" s="14" t="s">
        <v>24</v>
      </c>
      <c r="D99" s="34" t="s">
        <v>16</v>
      </c>
      <c r="E99" s="23">
        <f>'DRIVE REACTIONS Zone 4'!E47</f>
        <v>0</v>
      </c>
      <c r="F99" s="23">
        <f>'DRIVE REACTIONS Zone 4'!F47</f>
        <v>0</v>
      </c>
      <c r="G99" s="23">
        <f>'DRIVE REACTIONS Zone 4'!G47</f>
        <v>0</v>
      </c>
      <c r="H99" s="23">
        <f>'DRIVE REACTIONS Zone 4'!H47+(G99*$D$5)</f>
        <v>0</v>
      </c>
      <c r="I99" s="24">
        <f>'DRIVE REACTIONS Zone 4'!I47-(E99*$D$5)</f>
        <v>0</v>
      </c>
      <c r="K99" s="146"/>
      <c r="M99" s="10">
        <v>10</v>
      </c>
      <c r="N99" s="14" t="s">
        <v>24</v>
      </c>
      <c r="O99" s="34" t="s">
        <v>16</v>
      </c>
      <c r="P99" s="23">
        <f>'IDLER REACTIONS Zone 2'!E47</f>
        <v>0</v>
      </c>
      <c r="Q99" s="23">
        <f>'IDLER REACTIONS Zone 2'!F47</f>
        <v>0</v>
      </c>
      <c r="R99" s="23">
        <f>'IDLER REACTIONS Zone 2'!G47</f>
        <v>0</v>
      </c>
      <c r="S99" s="23">
        <f>'IDLER REACTIONS Zone 2'!H47</f>
        <v>0</v>
      </c>
      <c r="T99" s="24">
        <f>'IDLER REACTIONS Zone 2'!I47</f>
        <v>0</v>
      </c>
    </row>
    <row r="100" spans="2:20" x14ac:dyDescent="0.25">
      <c r="B100" s="10">
        <v>11</v>
      </c>
      <c r="C100" s="14" t="s">
        <v>25</v>
      </c>
      <c r="D100" s="34" t="s">
        <v>16</v>
      </c>
      <c r="E100" s="23">
        <f>'DRIVE REACTIONS Zone 4'!E48</f>
        <v>0</v>
      </c>
      <c r="F100" s="23">
        <f>'DRIVE REACTIONS Zone 4'!F48</f>
        <v>0</v>
      </c>
      <c r="G100" s="23">
        <f>'DRIVE REACTIONS Zone 4'!G48</f>
        <v>0</v>
      </c>
      <c r="H100" s="23">
        <f>'DRIVE REACTIONS Zone 4'!H48+(G100*$D$5)</f>
        <v>0</v>
      </c>
      <c r="I100" s="24">
        <f>'DRIVE REACTIONS Zone 4'!I48-(E100*$D$5)</f>
        <v>0</v>
      </c>
      <c r="K100" s="146"/>
      <c r="M100" s="10">
        <v>11</v>
      </c>
      <c r="N100" s="14" t="s">
        <v>25</v>
      </c>
      <c r="O100" s="34" t="s">
        <v>16</v>
      </c>
      <c r="P100" s="23">
        <f>'IDLER REACTIONS Zone 2'!E48</f>
        <v>0</v>
      </c>
      <c r="Q100" s="23">
        <f>'IDLER REACTIONS Zone 2'!F48</f>
        <v>0</v>
      </c>
      <c r="R100" s="23">
        <f>'IDLER REACTIONS Zone 2'!G48</f>
        <v>0</v>
      </c>
      <c r="S100" s="23">
        <f>'IDLER REACTIONS Zone 2'!H48</f>
        <v>0</v>
      </c>
      <c r="T100" s="24">
        <f>'IDLER REACTIONS Zone 2'!I48</f>
        <v>0</v>
      </c>
    </row>
    <row r="101" spans="2:20" x14ac:dyDescent="0.25">
      <c r="B101" s="10">
        <v>12</v>
      </c>
      <c r="C101" s="14" t="s">
        <v>26</v>
      </c>
      <c r="D101" s="34" t="s">
        <v>16</v>
      </c>
      <c r="E101" s="23">
        <f>'DRIVE REACTIONS Zone 4'!E49</f>
        <v>0</v>
      </c>
      <c r="F101" s="23">
        <f>'DRIVE REACTIONS Zone 4'!F49</f>
        <v>0</v>
      </c>
      <c r="G101" s="23">
        <f>'DRIVE REACTIONS Zone 4'!G49</f>
        <v>0</v>
      </c>
      <c r="H101" s="23">
        <f>'DRIVE REACTIONS Zone 4'!H49+(G101*$D$5)</f>
        <v>0</v>
      </c>
      <c r="I101" s="24">
        <f>'DRIVE REACTIONS Zone 4'!I49-(E101*$D$5)</f>
        <v>0</v>
      </c>
      <c r="K101" s="146"/>
      <c r="M101" s="10">
        <v>12</v>
      </c>
      <c r="N101" s="14" t="s">
        <v>26</v>
      </c>
      <c r="O101" s="34" t="s">
        <v>16</v>
      </c>
      <c r="P101" s="23">
        <f>'IDLER REACTIONS Zone 2'!E49</f>
        <v>0</v>
      </c>
      <c r="Q101" s="23">
        <f>'IDLER REACTIONS Zone 2'!F49</f>
        <v>0</v>
      </c>
      <c r="R101" s="23">
        <f>'IDLER REACTIONS Zone 2'!G49</f>
        <v>0</v>
      </c>
      <c r="S101" s="23">
        <f>'IDLER REACTIONS Zone 2'!H49</f>
        <v>0</v>
      </c>
      <c r="T101" s="24">
        <f>'IDLER REACTIONS Zone 2'!I49</f>
        <v>0</v>
      </c>
    </row>
    <row r="102" spans="2:20" x14ac:dyDescent="0.25">
      <c r="B102" s="10">
        <v>13</v>
      </c>
      <c r="C102" s="14" t="s">
        <v>27</v>
      </c>
      <c r="D102" s="34" t="s">
        <v>16</v>
      </c>
      <c r="E102" s="23">
        <f>'DRIVE REACTIONS Zone 4'!E50</f>
        <v>0</v>
      </c>
      <c r="F102" s="23">
        <f>'DRIVE REACTIONS Zone 4'!F50</f>
        <v>0</v>
      </c>
      <c r="G102" s="23">
        <f>'DRIVE REACTIONS Zone 4'!G50</f>
        <v>0</v>
      </c>
      <c r="H102" s="23">
        <f>'DRIVE REACTIONS Zone 4'!H50+(G102*$D$5)</f>
        <v>0</v>
      </c>
      <c r="I102" s="24">
        <f>'DRIVE REACTIONS Zone 4'!I50-(E102*$D$5)</f>
        <v>0</v>
      </c>
      <c r="K102" s="146"/>
      <c r="M102" s="10">
        <v>13</v>
      </c>
      <c r="N102" s="14" t="s">
        <v>27</v>
      </c>
      <c r="O102" s="34" t="s">
        <v>16</v>
      </c>
      <c r="P102" s="23">
        <f>'IDLER REACTIONS Zone 2'!E50</f>
        <v>0</v>
      </c>
      <c r="Q102" s="23">
        <f>'IDLER REACTIONS Zone 2'!F50</f>
        <v>0</v>
      </c>
      <c r="R102" s="23">
        <f>'IDLER REACTIONS Zone 2'!G50</f>
        <v>0</v>
      </c>
      <c r="S102" s="23">
        <f>'IDLER REACTIONS Zone 2'!H50</f>
        <v>0</v>
      </c>
      <c r="T102" s="24">
        <f>'IDLER REACTIONS Zone 2'!I50</f>
        <v>0</v>
      </c>
    </row>
    <row r="103" spans="2:20" x14ac:dyDescent="0.25">
      <c r="B103" s="10">
        <v>14</v>
      </c>
      <c r="C103" s="14" t="s">
        <v>28</v>
      </c>
      <c r="D103" s="34" t="s">
        <v>16</v>
      </c>
      <c r="E103" s="23">
        <f>'DRIVE REACTIONS Zone 4'!E51</f>
        <v>0</v>
      </c>
      <c r="F103" s="23">
        <f>'DRIVE REACTIONS Zone 4'!F51</f>
        <v>0</v>
      </c>
      <c r="G103" s="23">
        <f>'DRIVE REACTIONS Zone 4'!G51</f>
        <v>0</v>
      </c>
      <c r="H103" s="23">
        <f>'DRIVE REACTIONS Zone 4'!H51+(G103*$D$5)</f>
        <v>0</v>
      </c>
      <c r="I103" s="24">
        <f>'DRIVE REACTIONS Zone 4'!I51-(E103*$D$5)</f>
        <v>0</v>
      </c>
      <c r="K103" s="146"/>
      <c r="M103" s="10">
        <v>14</v>
      </c>
      <c r="N103" s="14" t="s">
        <v>28</v>
      </c>
      <c r="O103" s="34" t="s">
        <v>16</v>
      </c>
      <c r="P103" s="23">
        <f>'IDLER REACTIONS Zone 2'!E51</f>
        <v>0</v>
      </c>
      <c r="Q103" s="23">
        <f>'IDLER REACTIONS Zone 2'!F51</f>
        <v>0</v>
      </c>
      <c r="R103" s="23">
        <f>'IDLER REACTIONS Zone 2'!G51</f>
        <v>0</v>
      </c>
      <c r="S103" s="23">
        <f>'IDLER REACTIONS Zone 2'!H51</f>
        <v>0</v>
      </c>
      <c r="T103" s="24">
        <f>'IDLER REACTIONS Zone 2'!I51</f>
        <v>0</v>
      </c>
    </row>
    <row r="104" spans="2:20" x14ac:dyDescent="0.25">
      <c r="B104" s="10">
        <v>15</v>
      </c>
      <c r="C104" s="14" t="s">
        <v>29</v>
      </c>
      <c r="D104" s="34" t="s">
        <v>16</v>
      </c>
      <c r="E104" s="23">
        <f>'DRIVE REACTIONS Zone 4'!E52</f>
        <v>0</v>
      </c>
      <c r="F104" s="23">
        <f>'DRIVE REACTIONS Zone 4'!F52</f>
        <v>0</v>
      </c>
      <c r="G104" s="23">
        <f>'DRIVE REACTIONS Zone 4'!G52</f>
        <v>0</v>
      </c>
      <c r="H104" s="23">
        <f>'DRIVE REACTIONS Zone 4'!H52+(G104*$D$5)</f>
        <v>0</v>
      </c>
      <c r="I104" s="24">
        <f>'DRIVE REACTIONS Zone 4'!I52-(E104*$D$5)</f>
        <v>0</v>
      </c>
      <c r="K104" s="146"/>
      <c r="M104" s="10">
        <v>15</v>
      </c>
      <c r="N104" s="14" t="s">
        <v>29</v>
      </c>
      <c r="O104" s="34" t="s">
        <v>16</v>
      </c>
      <c r="P104" s="23">
        <f>'IDLER REACTIONS Zone 2'!E52</f>
        <v>0</v>
      </c>
      <c r="Q104" s="23">
        <f>'IDLER REACTIONS Zone 2'!F52</f>
        <v>0</v>
      </c>
      <c r="R104" s="23">
        <f>'IDLER REACTIONS Zone 2'!G52</f>
        <v>0</v>
      </c>
      <c r="S104" s="23">
        <f>'IDLER REACTIONS Zone 2'!H52</f>
        <v>0</v>
      </c>
      <c r="T104" s="24">
        <f>'IDLER REACTIONS Zone 2'!I52</f>
        <v>0</v>
      </c>
    </row>
    <row r="105" spans="2:20" x14ac:dyDescent="0.25">
      <c r="B105" s="10">
        <v>16</v>
      </c>
      <c r="C105" s="14" t="s">
        <v>30</v>
      </c>
      <c r="D105" s="34" t="s">
        <v>16</v>
      </c>
      <c r="E105" s="23">
        <f>'DRIVE REACTIONS Zone 4'!E53</f>
        <v>0</v>
      </c>
      <c r="F105" s="23">
        <f>'DRIVE REACTIONS Zone 4'!F53</f>
        <v>0</v>
      </c>
      <c r="G105" s="23">
        <f>'DRIVE REACTIONS Zone 4'!G53</f>
        <v>0</v>
      </c>
      <c r="H105" s="23">
        <f>'DRIVE REACTIONS Zone 4'!H53+(G105*$D$5)</f>
        <v>0</v>
      </c>
      <c r="I105" s="24">
        <f>'DRIVE REACTIONS Zone 4'!I53-(E105*$D$5)</f>
        <v>0</v>
      </c>
      <c r="K105" s="146"/>
      <c r="M105" s="10">
        <v>16</v>
      </c>
      <c r="N105" s="14" t="s">
        <v>30</v>
      </c>
      <c r="O105" s="34" t="s">
        <v>16</v>
      </c>
      <c r="P105" s="23">
        <f>'IDLER REACTIONS Zone 2'!E53</f>
        <v>0</v>
      </c>
      <c r="Q105" s="23">
        <f>'IDLER REACTIONS Zone 2'!F53</f>
        <v>0</v>
      </c>
      <c r="R105" s="23">
        <f>'IDLER REACTIONS Zone 2'!G53</f>
        <v>0</v>
      </c>
      <c r="S105" s="23">
        <f>'IDLER REACTIONS Zone 2'!H53</f>
        <v>0</v>
      </c>
      <c r="T105" s="24">
        <f>'IDLER REACTIONS Zone 2'!I53</f>
        <v>0</v>
      </c>
    </row>
    <row r="106" spans="2:20" x14ac:dyDescent="0.25">
      <c r="B106" s="10">
        <v>17</v>
      </c>
      <c r="C106" s="14" t="s">
        <v>31</v>
      </c>
      <c r="D106" s="34" t="s">
        <v>16</v>
      </c>
      <c r="E106" s="23">
        <f>'DRIVE REACTIONS Zone 4'!E54</f>
        <v>0</v>
      </c>
      <c r="F106" s="23">
        <f>'DRIVE REACTIONS Zone 4'!F54</f>
        <v>0</v>
      </c>
      <c r="G106" s="23">
        <f>'DRIVE REACTIONS Zone 4'!G54</f>
        <v>0</v>
      </c>
      <c r="H106" s="23">
        <f>'DRIVE REACTIONS Zone 4'!H54+(G106*$D$5)</f>
        <v>0</v>
      </c>
      <c r="I106" s="24">
        <f>'DRIVE REACTIONS Zone 4'!I54-(E106*$D$5)</f>
        <v>0</v>
      </c>
      <c r="K106" s="146"/>
      <c r="M106" s="10">
        <v>17</v>
      </c>
      <c r="N106" s="14" t="s">
        <v>31</v>
      </c>
      <c r="O106" s="34" t="s">
        <v>16</v>
      </c>
      <c r="P106" s="23">
        <f>'IDLER REACTIONS Zone 2'!E54</f>
        <v>0</v>
      </c>
      <c r="Q106" s="23">
        <f>'IDLER REACTIONS Zone 2'!F54</f>
        <v>0</v>
      </c>
      <c r="R106" s="23">
        <f>'IDLER REACTIONS Zone 2'!G54</f>
        <v>0</v>
      </c>
      <c r="S106" s="23">
        <f>'IDLER REACTIONS Zone 2'!H54</f>
        <v>0</v>
      </c>
      <c r="T106" s="24">
        <f>'IDLER REACTIONS Zone 2'!I54</f>
        <v>0</v>
      </c>
    </row>
    <row r="107" spans="2:20" x14ac:dyDescent="0.25">
      <c r="B107" s="10">
        <v>18</v>
      </c>
      <c r="C107" s="14" t="s">
        <v>32</v>
      </c>
      <c r="D107" s="34" t="s">
        <v>16</v>
      </c>
      <c r="E107" s="23">
        <f>'DRIVE REACTIONS Zone 4'!E55</f>
        <v>0</v>
      </c>
      <c r="F107" s="23">
        <f>'DRIVE REACTIONS Zone 4'!F55</f>
        <v>0</v>
      </c>
      <c r="G107" s="23">
        <f>'DRIVE REACTIONS Zone 4'!G55</f>
        <v>0</v>
      </c>
      <c r="H107" s="23">
        <f>'DRIVE REACTIONS Zone 4'!H55+(G107*$D$5)</f>
        <v>0</v>
      </c>
      <c r="I107" s="24">
        <f>'DRIVE REACTIONS Zone 4'!I55-(E107*$D$5)</f>
        <v>0</v>
      </c>
      <c r="K107" s="146"/>
      <c r="M107" s="10">
        <v>18</v>
      </c>
      <c r="N107" s="14" t="s">
        <v>32</v>
      </c>
      <c r="O107" s="34" t="s">
        <v>16</v>
      </c>
      <c r="P107" s="23">
        <f>'IDLER REACTIONS Zone 2'!E55</f>
        <v>0</v>
      </c>
      <c r="Q107" s="23">
        <f>'IDLER REACTIONS Zone 2'!F55</f>
        <v>0</v>
      </c>
      <c r="R107" s="23">
        <f>'IDLER REACTIONS Zone 2'!G55</f>
        <v>0</v>
      </c>
      <c r="S107" s="23">
        <f>'IDLER REACTIONS Zone 2'!H55</f>
        <v>0</v>
      </c>
      <c r="T107" s="24">
        <f>'IDLER REACTIONS Zone 2'!I55</f>
        <v>0</v>
      </c>
    </row>
    <row r="108" spans="2:20" x14ac:dyDescent="0.25">
      <c r="B108" s="10">
        <v>19</v>
      </c>
      <c r="C108" s="14" t="s">
        <v>37</v>
      </c>
      <c r="D108" s="34" t="s">
        <v>16</v>
      </c>
      <c r="E108" s="23">
        <f>'DRIVE REACTIONS Zone 4'!E56</f>
        <v>0</v>
      </c>
      <c r="F108" s="23">
        <f>'DRIVE REACTIONS Zone 4'!F56</f>
        <v>0</v>
      </c>
      <c r="G108" s="23">
        <f>'DRIVE REACTIONS Zone 4'!G56</f>
        <v>0</v>
      </c>
      <c r="H108" s="23">
        <f>'DRIVE REACTIONS Zone 4'!H56+(G108*$D$5)</f>
        <v>0</v>
      </c>
      <c r="I108" s="24">
        <f>'DRIVE REACTIONS Zone 4'!I56-(E108*$D$5)</f>
        <v>0</v>
      </c>
      <c r="K108" s="146"/>
      <c r="M108" s="10">
        <v>19</v>
      </c>
      <c r="N108" s="14" t="s">
        <v>37</v>
      </c>
      <c r="O108" s="34" t="s">
        <v>16</v>
      </c>
      <c r="P108" s="23">
        <f>'IDLER REACTIONS Zone 2'!E56</f>
        <v>0</v>
      </c>
      <c r="Q108" s="23">
        <f>'IDLER REACTIONS Zone 2'!F56</f>
        <v>0</v>
      </c>
      <c r="R108" s="23">
        <f>'IDLER REACTIONS Zone 2'!G56</f>
        <v>0</v>
      </c>
      <c r="S108" s="23">
        <f>'IDLER REACTIONS Zone 2'!H56</f>
        <v>0</v>
      </c>
      <c r="T108" s="24">
        <f>'IDLER REACTIONS Zone 2'!I56</f>
        <v>0</v>
      </c>
    </row>
    <row r="109" spans="2:20" x14ac:dyDescent="0.25">
      <c r="B109" s="10">
        <v>20</v>
      </c>
      <c r="C109" s="14" t="s">
        <v>38</v>
      </c>
      <c r="D109" s="34" t="s">
        <v>16</v>
      </c>
      <c r="E109" s="23">
        <f>'DRIVE REACTIONS Zone 4'!E57</f>
        <v>0</v>
      </c>
      <c r="F109" s="23">
        <f>'DRIVE REACTIONS Zone 4'!F57</f>
        <v>0</v>
      </c>
      <c r="G109" s="23">
        <f>'DRIVE REACTIONS Zone 4'!G57</f>
        <v>0</v>
      </c>
      <c r="H109" s="23">
        <f>'DRIVE REACTIONS Zone 4'!H57+(G109*$D$5)</f>
        <v>0</v>
      </c>
      <c r="I109" s="24">
        <f>'DRIVE REACTIONS Zone 4'!I57-(E109*$D$5)</f>
        <v>0</v>
      </c>
      <c r="K109" s="146"/>
      <c r="M109" s="10">
        <v>20</v>
      </c>
      <c r="N109" s="14" t="s">
        <v>38</v>
      </c>
      <c r="O109" s="34" t="s">
        <v>16</v>
      </c>
      <c r="P109" s="23">
        <f>'IDLER REACTIONS Zone 2'!E57</f>
        <v>0</v>
      </c>
      <c r="Q109" s="23">
        <f>'IDLER REACTIONS Zone 2'!F57</f>
        <v>0</v>
      </c>
      <c r="R109" s="23">
        <f>'IDLER REACTIONS Zone 2'!G57</f>
        <v>0</v>
      </c>
      <c r="S109" s="23">
        <f>'IDLER REACTIONS Zone 2'!H57</f>
        <v>0</v>
      </c>
      <c r="T109" s="24">
        <f>'IDLER REACTIONS Zone 2'!I57</f>
        <v>0</v>
      </c>
    </row>
    <row r="110" spans="2:20" x14ac:dyDescent="0.25">
      <c r="B110" s="10">
        <v>21</v>
      </c>
      <c r="C110" s="14" t="s">
        <v>39</v>
      </c>
      <c r="D110" s="34" t="s">
        <v>16</v>
      </c>
      <c r="E110" s="23">
        <f>'DRIVE REACTIONS Zone 4'!E58</f>
        <v>0</v>
      </c>
      <c r="F110" s="23">
        <f>'DRIVE REACTIONS Zone 4'!F58</f>
        <v>0</v>
      </c>
      <c r="G110" s="23">
        <f>'DRIVE REACTIONS Zone 4'!G58</f>
        <v>0</v>
      </c>
      <c r="H110" s="23">
        <f>'DRIVE REACTIONS Zone 4'!H58+(G110*$D$5)</f>
        <v>0</v>
      </c>
      <c r="I110" s="24">
        <f>'DRIVE REACTIONS Zone 4'!I58-(E110*$D$5)</f>
        <v>0</v>
      </c>
      <c r="K110" s="146"/>
      <c r="M110" s="10">
        <v>21</v>
      </c>
      <c r="N110" s="14" t="s">
        <v>39</v>
      </c>
      <c r="O110" s="34" t="s">
        <v>16</v>
      </c>
      <c r="P110" s="23">
        <f>'IDLER REACTIONS Zone 2'!E58</f>
        <v>0</v>
      </c>
      <c r="Q110" s="23">
        <f>'IDLER REACTIONS Zone 2'!F58</f>
        <v>0</v>
      </c>
      <c r="R110" s="23">
        <f>'IDLER REACTIONS Zone 2'!G58</f>
        <v>0</v>
      </c>
      <c r="S110" s="23">
        <f>'IDLER REACTIONS Zone 2'!H58</f>
        <v>0</v>
      </c>
      <c r="T110" s="24">
        <f>'IDLER REACTIONS Zone 2'!I58</f>
        <v>0</v>
      </c>
    </row>
    <row r="111" spans="2:20" ht="15.75" thickBot="1" x14ac:dyDescent="0.3">
      <c r="B111" s="13">
        <v>22</v>
      </c>
      <c r="C111" s="15" t="s">
        <v>40</v>
      </c>
      <c r="D111" s="36" t="s">
        <v>16</v>
      </c>
      <c r="E111" s="31">
        <f>'DRIVE REACTIONS Zone 4'!E59</f>
        <v>0</v>
      </c>
      <c r="F111" s="31">
        <f>'DRIVE REACTIONS Zone 4'!F59</f>
        <v>0</v>
      </c>
      <c r="G111" s="31">
        <f>'DRIVE REACTIONS Zone 4'!G59</f>
        <v>0</v>
      </c>
      <c r="H111" s="31">
        <f>'DRIVE REACTIONS Zone 4'!H59+(G111*$D$5)</f>
        <v>0</v>
      </c>
      <c r="I111" s="32">
        <f>'DRIVE REACTIONS Zone 4'!I59-(E111*$D$5)</f>
        <v>0</v>
      </c>
      <c r="K111" s="146"/>
      <c r="M111" s="13">
        <v>22</v>
      </c>
      <c r="N111" s="15" t="s">
        <v>40</v>
      </c>
      <c r="O111" s="36" t="s">
        <v>16</v>
      </c>
      <c r="P111" s="31">
        <f>'IDLER REACTIONS Zone 2'!E59</f>
        <v>0</v>
      </c>
      <c r="Q111" s="31">
        <f>'IDLER REACTIONS Zone 2'!F59</f>
        <v>0</v>
      </c>
      <c r="R111" s="31">
        <f>'IDLER REACTIONS Zone 2'!G59</f>
        <v>0</v>
      </c>
      <c r="S111" s="31">
        <f>'IDLER REACTIONS Zone 2'!H59</f>
        <v>0</v>
      </c>
      <c r="T111" s="32">
        <f>'IDLER REACTIONS Zone 2'!I59</f>
        <v>0</v>
      </c>
    </row>
    <row r="112" spans="2:20" x14ac:dyDescent="0.25">
      <c r="K112" s="146"/>
    </row>
    <row r="113" spans="11:20" ht="15.75" thickBot="1" x14ac:dyDescent="0.3">
      <c r="K113" s="146"/>
    </row>
    <row r="114" spans="11:20" x14ac:dyDescent="0.25">
      <c r="K114" s="146"/>
      <c r="M114" s="453" t="s">
        <v>149</v>
      </c>
      <c r="N114" s="454"/>
      <c r="O114" s="454"/>
      <c r="P114" s="454"/>
      <c r="Q114" s="454"/>
      <c r="R114" s="454"/>
      <c r="S114" s="454"/>
      <c r="T114" s="455"/>
    </row>
    <row r="115" spans="11:20" ht="15.75" thickBot="1" x14ac:dyDescent="0.3">
      <c r="K115" s="146"/>
      <c r="M115" s="444"/>
      <c r="N115" s="445"/>
      <c r="O115" s="445"/>
      <c r="P115" s="445"/>
      <c r="Q115" s="445"/>
      <c r="R115" s="445"/>
      <c r="S115" s="445"/>
      <c r="T115" s="446"/>
    </row>
    <row r="116" spans="11:20" ht="60.75" thickBot="1" x14ac:dyDescent="0.3">
      <c r="K116" s="146"/>
      <c r="M116" s="26" t="s">
        <v>3</v>
      </c>
      <c r="N116" s="26" t="s">
        <v>60</v>
      </c>
      <c r="O116" s="145" t="s">
        <v>13</v>
      </c>
      <c r="P116" s="44" t="s">
        <v>44</v>
      </c>
      <c r="Q116" s="44" t="s">
        <v>4</v>
      </c>
      <c r="R116" s="44" t="s">
        <v>45</v>
      </c>
      <c r="S116" s="44" t="s">
        <v>47</v>
      </c>
      <c r="T116" s="45" t="s">
        <v>46</v>
      </c>
    </row>
    <row r="117" spans="11:20" x14ac:dyDescent="0.25">
      <c r="K117" s="146"/>
      <c r="M117" s="29">
        <v>1</v>
      </c>
      <c r="N117" s="28" t="s">
        <v>0</v>
      </c>
      <c r="O117" s="35" t="s">
        <v>16</v>
      </c>
      <c r="P117" s="21">
        <f>'IDLER REACTIONS Zone 3'!E12</f>
        <v>0</v>
      </c>
      <c r="Q117" s="21">
        <f>'IDLER REACTIONS Zone 3'!F12</f>
        <v>0</v>
      </c>
      <c r="R117" s="21">
        <f>'IDLER REACTIONS Zone 3'!G12</f>
        <v>0</v>
      </c>
      <c r="S117" s="21">
        <f>'IDLER REACTIONS Zone 3'!H12+(R117*$D$6)</f>
        <v>0</v>
      </c>
      <c r="T117" s="22">
        <f>'IDLER REACTIONS Zone 3'!I12-(P117*$D$6)</f>
        <v>0</v>
      </c>
    </row>
    <row r="118" spans="11:20" x14ac:dyDescent="0.25">
      <c r="K118" s="146"/>
      <c r="M118" s="10">
        <v>2</v>
      </c>
      <c r="N118" s="14" t="s">
        <v>20</v>
      </c>
      <c r="O118" s="34" t="s">
        <v>16</v>
      </c>
      <c r="P118" s="23">
        <f>'IDLER REACTIONS Zone 3'!E13</f>
        <v>0</v>
      </c>
      <c r="Q118" s="23">
        <f>'IDLER REACTIONS Zone 3'!F13</f>
        <v>0</v>
      </c>
      <c r="R118" s="23">
        <f>'IDLER REACTIONS Zone 3'!G13</f>
        <v>0</v>
      </c>
      <c r="S118" s="23">
        <f>'IDLER REACTIONS Zone 3'!H13+(R118*$D$6)</f>
        <v>0</v>
      </c>
      <c r="T118" s="24">
        <f>'IDLER REACTIONS Zone 3'!I13-(P118*$D$6)</f>
        <v>0</v>
      </c>
    </row>
    <row r="119" spans="11:20" x14ac:dyDescent="0.25">
      <c r="K119" s="146"/>
      <c r="M119" s="10">
        <v>3</v>
      </c>
      <c r="N119" s="14" t="s">
        <v>21</v>
      </c>
      <c r="O119" s="34" t="s">
        <v>16</v>
      </c>
      <c r="P119" s="23">
        <f>'IDLER REACTIONS Zone 3'!E14</f>
        <v>0</v>
      </c>
      <c r="Q119" s="23">
        <f>'IDLER REACTIONS Zone 3'!F14</f>
        <v>0</v>
      </c>
      <c r="R119" s="23">
        <f>'IDLER REACTIONS Zone 3'!G14</f>
        <v>0</v>
      </c>
      <c r="S119" s="23">
        <f>'IDLER REACTIONS Zone 3'!H14+(R119*$D$6)</f>
        <v>0</v>
      </c>
      <c r="T119" s="24">
        <f>'IDLER REACTIONS Zone 3'!I14-(P119*$D$6)</f>
        <v>0</v>
      </c>
    </row>
    <row r="120" spans="11:20" x14ac:dyDescent="0.25">
      <c r="K120" s="146"/>
      <c r="M120" s="10">
        <v>4</v>
      </c>
      <c r="N120" s="14" t="s">
        <v>22</v>
      </c>
      <c r="O120" s="34" t="s">
        <v>16</v>
      </c>
      <c r="P120" s="23">
        <f>'IDLER REACTIONS Zone 3'!E15</f>
        <v>0</v>
      </c>
      <c r="Q120" s="23">
        <f>'IDLER REACTIONS Zone 3'!F15</f>
        <v>0</v>
      </c>
      <c r="R120" s="23">
        <f>'IDLER REACTIONS Zone 3'!G15</f>
        <v>0</v>
      </c>
      <c r="S120" s="23">
        <f>'IDLER REACTIONS Zone 3'!H15+(R120*$D$6)</f>
        <v>0</v>
      </c>
      <c r="T120" s="24">
        <f>'IDLER REACTIONS Zone 3'!I15-(P120*$D$6)</f>
        <v>0</v>
      </c>
    </row>
    <row r="121" spans="11:20" x14ac:dyDescent="0.25">
      <c r="K121" s="146"/>
      <c r="M121" s="10">
        <v>5</v>
      </c>
      <c r="N121" s="14" t="s">
        <v>35</v>
      </c>
      <c r="O121" s="34" t="s">
        <v>16</v>
      </c>
      <c r="P121" s="23">
        <f>'IDLER REACTIONS Zone 3'!E16</f>
        <v>0</v>
      </c>
      <c r="Q121" s="23">
        <f>'IDLER REACTIONS Zone 3'!F16</f>
        <v>0</v>
      </c>
      <c r="R121" s="23">
        <f>'IDLER REACTIONS Zone 3'!G16</f>
        <v>0</v>
      </c>
      <c r="S121" s="23">
        <f>'IDLER REACTIONS Zone 3'!H16+(R121*$D$6)</f>
        <v>0</v>
      </c>
      <c r="T121" s="24">
        <f>'IDLER REACTIONS Zone 3'!I16-(P121*$D$6)</f>
        <v>0</v>
      </c>
    </row>
    <row r="122" spans="11:20" x14ac:dyDescent="0.25">
      <c r="K122" s="146"/>
      <c r="M122" s="10">
        <v>6</v>
      </c>
      <c r="N122" s="14" t="s">
        <v>36</v>
      </c>
      <c r="O122" s="34" t="s">
        <v>16</v>
      </c>
      <c r="P122" s="23">
        <f>'IDLER REACTIONS Zone 3'!E17</f>
        <v>0</v>
      </c>
      <c r="Q122" s="23">
        <f>'IDLER REACTIONS Zone 3'!F17</f>
        <v>0</v>
      </c>
      <c r="R122" s="23">
        <f>'IDLER REACTIONS Zone 3'!G17</f>
        <v>0</v>
      </c>
      <c r="S122" s="23">
        <f>'IDLER REACTIONS Zone 3'!H17+(R122*$D$6)</f>
        <v>0</v>
      </c>
      <c r="T122" s="24">
        <f>'IDLER REACTIONS Zone 3'!I17-(P122*$D$6)</f>
        <v>0</v>
      </c>
    </row>
    <row r="123" spans="11:20" x14ac:dyDescent="0.25">
      <c r="K123" s="146"/>
      <c r="M123" s="10">
        <v>7</v>
      </c>
      <c r="N123" s="14" t="s">
        <v>33</v>
      </c>
      <c r="O123" s="34" t="s">
        <v>16</v>
      </c>
      <c r="P123" s="23">
        <f>'IDLER REACTIONS Zone 3'!E18</f>
        <v>0</v>
      </c>
      <c r="Q123" s="23">
        <f>'IDLER REACTIONS Zone 3'!F18</f>
        <v>0</v>
      </c>
      <c r="R123" s="23">
        <f>'IDLER REACTIONS Zone 3'!G18</f>
        <v>0</v>
      </c>
      <c r="S123" s="23">
        <f>'IDLER REACTIONS Zone 3'!H18+(R123*$D$6)</f>
        <v>0</v>
      </c>
      <c r="T123" s="24">
        <f>'IDLER REACTIONS Zone 3'!I18-(P123*$D$6)</f>
        <v>0</v>
      </c>
    </row>
    <row r="124" spans="11:20" x14ac:dyDescent="0.25">
      <c r="K124" s="146"/>
      <c r="M124" s="10">
        <v>8</v>
      </c>
      <c r="N124" s="14" t="s">
        <v>34</v>
      </c>
      <c r="O124" s="34" t="s">
        <v>16</v>
      </c>
      <c r="P124" s="23">
        <f>'IDLER REACTIONS Zone 3'!E19</f>
        <v>0</v>
      </c>
      <c r="Q124" s="23">
        <f>'IDLER REACTIONS Zone 3'!F19</f>
        <v>0</v>
      </c>
      <c r="R124" s="23">
        <f>'IDLER REACTIONS Zone 3'!G19</f>
        <v>0</v>
      </c>
      <c r="S124" s="23">
        <f>'IDLER REACTIONS Zone 3'!H19+(R124*$D$6)</f>
        <v>0</v>
      </c>
      <c r="T124" s="24">
        <f>'IDLER REACTIONS Zone 3'!I19-(P124*$D$6)</f>
        <v>0</v>
      </c>
    </row>
    <row r="125" spans="11:20" x14ac:dyDescent="0.25">
      <c r="K125" s="146"/>
      <c r="M125" s="10">
        <v>9</v>
      </c>
      <c r="N125" s="14" t="s">
        <v>23</v>
      </c>
      <c r="O125" s="34" t="s">
        <v>16</v>
      </c>
      <c r="P125" s="23">
        <f>'IDLER REACTIONS Zone 3'!E20</f>
        <v>0</v>
      </c>
      <c r="Q125" s="23">
        <f>'IDLER REACTIONS Zone 3'!F20</f>
        <v>0</v>
      </c>
      <c r="R125" s="23">
        <f>'IDLER REACTIONS Zone 3'!G20</f>
        <v>0</v>
      </c>
      <c r="S125" s="23">
        <f>'IDLER REACTIONS Zone 3'!H20+(R125*$D$6)</f>
        <v>0</v>
      </c>
      <c r="T125" s="24">
        <f>'IDLER REACTIONS Zone 3'!I20-(P125*$D$6)</f>
        <v>0</v>
      </c>
    </row>
    <row r="126" spans="11:20" x14ac:dyDescent="0.25">
      <c r="K126" s="146"/>
      <c r="M126" s="10">
        <v>10</v>
      </c>
      <c r="N126" s="14" t="s">
        <v>24</v>
      </c>
      <c r="O126" s="34" t="s">
        <v>16</v>
      </c>
      <c r="P126" s="23">
        <f>'IDLER REACTIONS Zone 3'!E21</f>
        <v>0</v>
      </c>
      <c r="Q126" s="23">
        <f>'IDLER REACTIONS Zone 3'!F21</f>
        <v>0</v>
      </c>
      <c r="R126" s="23">
        <f>'IDLER REACTIONS Zone 3'!G21</f>
        <v>0</v>
      </c>
      <c r="S126" s="23">
        <f>'IDLER REACTIONS Zone 3'!H21+(R126*$D$6)</f>
        <v>0</v>
      </c>
      <c r="T126" s="24">
        <f>'IDLER REACTIONS Zone 3'!I21-(P126*$D$6)</f>
        <v>0</v>
      </c>
    </row>
    <row r="127" spans="11:20" x14ac:dyDescent="0.25">
      <c r="K127" s="146"/>
      <c r="M127" s="10">
        <v>11</v>
      </c>
      <c r="N127" s="14" t="s">
        <v>25</v>
      </c>
      <c r="O127" s="34" t="s">
        <v>16</v>
      </c>
      <c r="P127" s="23">
        <f>'IDLER REACTIONS Zone 3'!E22</f>
        <v>0</v>
      </c>
      <c r="Q127" s="23">
        <f>'IDLER REACTIONS Zone 3'!F22</f>
        <v>0</v>
      </c>
      <c r="R127" s="23">
        <f>'IDLER REACTIONS Zone 3'!G22</f>
        <v>0</v>
      </c>
      <c r="S127" s="23">
        <f>'IDLER REACTIONS Zone 3'!H22+(R127*$D$6)</f>
        <v>0</v>
      </c>
      <c r="T127" s="24">
        <f>'IDLER REACTIONS Zone 3'!I22-(P127*$D$6)</f>
        <v>0</v>
      </c>
    </row>
    <row r="128" spans="11:20" x14ac:dyDescent="0.25">
      <c r="K128" s="146"/>
      <c r="M128" s="10">
        <v>12</v>
      </c>
      <c r="N128" s="14" t="s">
        <v>26</v>
      </c>
      <c r="O128" s="34" t="s">
        <v>16</v>
      </c>
      <c r="P128" s="23">
        <f>'IDLER REACTIONS Zone 3'!E23</f>
        <v>0</v>
      </c>
      <c r="Q128" s="23">
        <f>'IDLER REACTIONS Zone 3'!F23</f>
        <v>0</v>
      </c>
      <c r="R128" s="23">
        <f>'IDLER REACTIONS Zone 3'!G23</f>
        <v>0</v>
      </c>
      <c r="S128" s="23">
        <f>'IDLER REACTIONS Zone 3'!H23+(R128*$D$6)</f>
        <v>0</v>
      </c>
      <c r="T128" s="24">
        <f>'IDLER REACTIONS Zone 3'!I23-(P128*$D$6)</f>
        <v>0</v>
      </c>
    </row>
    <row r="129" spans="11:20" x14ac:dyDescent="0.25">
      <c r="K129" s="146"/>
      <c r="M129" s="10">
        <v>13</v>
      </c>
      <c r="N129" s="14" t="s">
        <v>27</v>
      </c>
      <c r="O129" s="34" t="s">
        <v>16</v>
      </c>
      <c r="P129" s="23">
        <f>'IDLER REACTIONS Zone 3'!E24</f>
        <v>0</v>
      </c>
      <c r="Q129" s="23">
        <f>'IDLER REACTIONS Zone 3'!F24</f>
        <v>0</v>
      </c>
      <c r="R129" s="23">
        <f>'IDLER REACTIONS Zone 3'!G24</f>
        <v>0</v>
      </c>
      <c r="S129" s="23">
        <f>'IDLER REACTIONS Zone 3'!H24+(R129*$D$6)</f>
        <v>0</v>
      </c>
      <c r="T129" s="24">
        <f>'IDLER REACTIONS Zone 3'!I24-(P129*$D$6)</f>
        <v>0</v>
      </c>
    </row>
    <row r="130" spans="11:20" x14ac:dyDescent="0.25">
      <c r="K130" s="146"/>
      <c r="M130" s="10">
        <v>14</v>
      </c>
      <c r="N130" s="14" t="s">
        <v>28</v>
      </c>
      <c r="O130" s="34" t="s">
        <v>16</v>
      </c>
      <c r="P130" s="23">
        <f>'IDLER REACTIONS Zone 3'!E25</f>
        <v>0</v>
      </c>
      <c r="Q130" s="23">
        <f>'IDLER REACTIONS Zone 3'!F25</f>
        <v>0</v>
      </c>
      <c r="R130" s="23">
        <f>'IDLER REACTIONS Zone 3'!G25</f>
        <v>0</v>
      </c>
      <c r="S130" s="23">
        <f>'IDLER REACTIONS Zone 3'!H25+(R130*$D$6)</f>
        <v>0</v>
      </c>
      <c r="T130" s="24">
        <f>'IDLER REACTIONS Zone 3'!I25-(P130*$D$6)</f>
        <v>0</v>
      </c>
    </row>
    <row r="131" spans="11:20" x14ac:dyDescent="0.25">
      <c r="K131" s="146"/>
      <c r="M131" s="10">
        <v>15</v>
      </c>
      <c r="N131" s="14" t="s">
        <v>29</v>
      </c>
      <c r="O131" s="34" t="s">
        <v>16</v>
      </c>
      <c r="P131" s="23">
        <f>'IDLER REACTIONS Zone 3'!E26</f>
        <v>0</v>
      </c>
      <c r="Q131" s="23">
        <f>'IDLER REACTIONS Zone 3'!F26</f>
        <v>0</v>
      </c>
      <c r="R131" s="23">
        <f>'IDLER REACTIONS Zone 3'!G26</f>
        <v>0</v>
      </c>
      <c r="S131" s="23">
        <f>'IDLER REACTIONS Zone 3'!H26+(R131*$D$6)</f>
        <v>0</v>
      </c>
      <c r="T131" s="24">
        <f>'IDLER REACTIONS Zone 3'!I26-(P131*$D$6)</f>
        <v>0</v>
      </c>
    </row>
    <row r="132" spans="11:20" x14ac:dyDescent="0.25">
      <c r="K132" s="146"/>
      <c r="M132" s="10">
        <v>16</v>
      </c>
      <c r="N132" s="14" t="s">
        <v>30</v>
      </c>
      <c r="O132" s="34" t="s">
        <v>16</v>
      </c>
      <c r="P132" s="23">
        <f>'IDLER REACTIONS Zone 3'!E27</f>
        <v>0</v>
      </c>
      <c r="Q132" s="23">
        <f>'IDLER REACTIONS Zone 3'!F27</f>
        <v>0</v>
      </c>
      <c r="R132" s="23">
        <f>'IDLER REACTIONS Zone 3'!G27</f>
        <v>0</v>
      </c>
      <c r="S132" s="23">
        <f>'IDLER REACTIONS Zone 3'!H27+(R132*$D$6)</f>
        <v>0</v>
      </c>
      <c r="T132" s="24">
        <f>'IDLER REACTIONS Zone 3'!I27-(P132*$D$6)</f>
        <v>0</v>
      </c>
    </row>
    <row r="133" spans="11:20" x14ac:dyDescent="0.25">
      <c r="K133" s="146"/>
      <c r="M133" s="10">
        <v>17</v>
      </c>
      <c r="N133" s="14" t="s">
        <v>31</v>
      </c>
      <c r="O133" s="34" t="s">
        <v>16</v>
      </c>
      <c r="P133" s="23">
        <f>'IDLER REACTIONS Zone 3'!E28</f>
        <v>0</v>
      </c>
      <c r="Q133" s="23">
        <f>'IDLER REACTIONS Zone 3'!F28</f>
        <v>0</v>
      </c>
      <c r="R133" s="23">
        <f>'IDLER REACTIONS Zone 3'!G28</f>
        <v>0</v>
      </c>
      <c r="S133" s="23">
        <f>'IDLER REACTIONS Zone 3'!H28+(R133*$D$6)</f>
        <v>0</v>
      </c>
      <c r="T133" s="24">
        <f>'IDLER REACTIONS Zone 3'!I28-(P133*$D$6)</f>
        <v>0</v>
      </c>
    </row>
    <row r="134" spans="11:20" x14ac:dyDescent="0.25">
      <c r="K134" s="146"/>
      <c r="M134" s="10">
        <v>18</v>
      </c>
      <c r="N134" s="14" t="s">
        <v>32</v>
      </c>
      <c r="O134" s="34" t="s">
        <v>16</v>
      </c>
      <c r="P134" s="23">
        <f>'IDLER REACTIONS Zone 3'!E29</f>
        <v>0</v>
      </c>
      <c r="Q134" s="23">
        <f>'IDLER REACTIONS Zone 3'!F29</f>
        <v>0</v>
      </c>
      <c r="R134" s="23">
        <f>'IDLER REACTIONS Zone 3'!G29</f>
        <v>0</v>
      </c>
      <c r="S134" s="23">
        <f>'IDLER REACTIONS Zone 3'!H29+(R134*$D$6)</f>
        <v>0</v>
      </c>
      <c r="T134" s="24">
        <f>'IDLER REACTIONS Zone 3'!I29-(P134*$D$6)</f>
        <v>0</v>
      </c>
    </row>
    <row r="135" spans="11:20" x14ac:dyDescent="0.25">
      <c r="K135" s="146"/>
      <c r="M135" s="10">
        <v>19</v>
      </c>
      <c r="N135" s="14" t="s">
        <v>37</v>
      </c>
      <c r="O135" s="34" t="s">
        <v>16</v>
      </c>
      <c r="P135" s="23">
        <f>'IDLER REACTIONS Zone 3'!E30</f>
        <v>0</v>
      </c>
      <c r="Q135" s="23">
        <f>'IDLER REACTIONS Zone 3'!F30</f>
        <v>0</v>
      </c>
      <c r="R135" s="23">
        <f>'IDLER REACTIONS Zone 3'!G30</f>
        <v>0</v>
      </c>
      <c r="S135" s="23">
        <f>'IDLER REACTIONS Zone 3'!H30+(R135*$D$6)</f>
        <v>0</v>
      </c>
      <c r="T135" s="24">
        <f>'IDLER REACTIONS Zone 3'!I30-(P135*$D$6)</f>
        <v>0</v>
      </c>
    </row>
    <row r="136" spans="11:20" x14ac:dyDescent="0.25">
      <c r="K136" s="146"/>
      <c r="M136" s="10">
        <v>20</v>
      </c>
      <c r="N136" s="14" t="s">
        <v>38</v>
      </c>
      <c r="O136" s="34" t="s">
        <v>16</v>
      </c>
      <c r="P136" s="23">
        <f>'IDLER REACTIONS Zone 3'!E31</f>
        <v>0</v>
      </c>
      <c r="Q136" s="23">
        <f>'IDLER REACTIONS Zone 3'!F31</f>
        <v>0</v>
      </c>
      <c r="R136" s="23">
        <f>'IDLER REACTIONS Zone 3'!G31</f>
        <v>0</v>
      </c>
      <c r="S136" s="23">
        <f>'IDLER REACTIONS Zone 3'!H31+(R136*$D$6)</f>
        <v>0</v>
      </c>
      <c r="T136" s="24">
        <f>'IDLER REACTIONS Zone 3'!I31-(P136*$D$6)</f>
        <v>0</v>
      </c>
    </row>
    <row r="137" spans="11:20" x14ac:dyDescent="0.25">
      <c r="K137" s="146"/>
      <c r="M137" s="10">
        <v>21</v>
      </c>
      <c r="N137" s="14" t="s">
        <v>39</v>
      </c>
      <c r="O137" s="34" t="s">
        <v>16</v>
      </c>
      <c r="P137" s="23">
        <f>'IDLER REACTIONS Zone 3'!E32</f>
        <v>0</v>
      </c>
      <c r="Q137" s="23">
        <f>'IDLER REACTIONS Zone 3'!F32</f>
        <v>0</v>
      </c>
      <c r="R137" s="23">
        <f>'IDLER REACTIONS Zone 3'!G32</f>
        <v>0</v>
      </c>
      <c r="S137" s="23">
        <f>'IDLER REACTIONS Zone 3'!H32+(R137*$D$6)</f>
        <v>0</v>
      </c>
      <c r="T137" s="24">
        <f>'IDLER REACTIONS Zone 3'!I32-(P137*$D$6)</f>
        <v>0</v>
      </c>
    </row>
    <row r="138" spans="11:20" ht="15.75" thickBot="1" x14ac:dyDescent="0.3">
      <c r="K138" s="146"/>
      <c r="M138" s="13">
        <v>22</v>
      </c>
      <c r="N138" s="15" t="s">
        <v>40</v>
      </c>
      <c r="O138" s="36" t="s">
        <v>16</v>
      </c>
      <c r="P138" s="31">
        <f>'IDLER REACTIONS Zone 3'!E33</f>
        <v>0</v>
      </c>
      <c r="Q138" s="31">
        <f>'IDLER REACTIONS Zone 3'!F33</f>
        <v>0</v>
      </c>
      <c r="R138" s="31">
        <f>'IDLER REACTIONS Zone 3'!G33</f>
        <v>0</v>
      </c>
      <c r="S138" s="31">
        <f>'IDLER REACTIONS Zone 3'!H33+(R138*$D$6)</f>
        <v>0</v>
      </c>
      <c r="T138" s="32">
        <f>'IDLER REACTIONS Zone 3'!I33-(P138*$D$6)</f>
        <v>0</v>
      </c>
    </row>
    <row r="139" spans="11:20" ht="15.75" thickBot="1" x14ac:dyDescent="0.3">
      <c r="K139" s="146"/>
      <c r="M139" s="8"/>
      <c r="N139" s="8"/>
      <c r="O139" s="9"/>
      <c r="P139" s="9"/>
      <c r="Q139" s="9"/>
      <c r="R139" s="9"/>
      <c r="S139" s="9"/>
      <c r="T139" s="8"/>
    </row>
    <row r="140" spans="11:20" x14ac:dyDescent="0.25">
      <c r="K140" s="146"/>
      <c r="M140" s="453" t="s">
        <v>148</v>
      </c>
      <c r="N140" s="454"/>
      <c r="O140" s="454"/>
      <c r="P140" s="454"/>
      <c r="Q140" s="454"/>
      <c r="R140" s="454"/>
      <c r="S140" s="454"/>
      <c r="T140" s="455"/>
    </row>
    <row r="141" spans="11:20" ht="15.75" thickBot="1" x14ac:dyDescent="0.3">
      <c r="K141" s="146"/>
      <c r="M141" s="444"/>
      <c r="N141" s="445"/>
      <c r="O141" s="445"/>
      <c r="P141" s="447"/>
      <c r="Q141" s="447"/>
      <c r="R141" s="447"/>
      <c r="S141" s="447"/>
      <c r="T141" s="448"/>
    </row>
    <row r="142" spans="11:20" ht="60.75" thickBot="1" x14ac:dyDescent="0.3">
      <c r="K142" s="146"/>
      <c r="M142" s="25" t="s">
        <v>3</v>
      </c>
      <c r="N142" s="26" t="s">
        <v>60</v>
      </c>
      <c r="O142" s="27" t="s">
        <v>13</v>
      </c>
      <c r="P142" s="46" t="s">
        <v>44</v>
      </c>
      <c r="Q142" s="44" t="s">
        <v>4</v>
      </c>
      <c r="R142" s="44" t="s">
        <v>45</v>
      </c>
      <c r="S142" s="44" t="s">
        <v>47</v>
      </c>
      <c r="T142" s="45" t="s">
        <v>46</v>
      </c>
    </row>
    <row r="143" spans="11:20" x14ac:dyDescent="0.25">
      <c r="K143" s="146"/>
      <c r="M143" s="29">
        <v>1</v>
      </c>
      <c r="N143" s="28" t="s">
        <v>0</v>
      </c>
      <c r="O143" s="35" t="s">
        <v>16</v>
      </c>
      <c r="P143" s="21">
        <f>'IDLER REACTIONS Zone 3'!E38</f>
        <v>0</v>
      </c>
      <c r="Q143" s="21">
        <f>'IDLER REACTIONS Zone 3'!F38</f>
        <v>0</v>
      </c>
      <c r="R143" s="21">
        <f>'IDLER REACTIONS Zone 3'!G38</f>
        <v>0</v>
      </c>
      <c r="S143" s="21">
        <f>'IDLER REACTIONS Zone 3'!H38+(R143*$D$6)</f>
        <v>0</v>
      </c>
      <c r="T143" s="22">
        <f>'IDLER REACTIONS Zone 3'!I38-(P143*$D$6)</f>
        <v>0</v>
      </c>
    </row>
    <row r="144" spans="11:20" x14ac:dyDescent="0.25">
      <c r="K144" s="146"/>
      <c r="M144" s="10">
        <v>2</v>
      </c>
      <c r="N144" s="14" t="s">
        <v>20</v>
      </c>
      <c r="O144" s="34" t="s">
        <v>16</v>
      </c>
      <c r="P144" s="23">
        <f>'IDLER REACTIONS Zone 3'!E39</f>
        <v>0</v>
      </c>
      <c r="Q144" s="23">
        <f>'IDLER REACTIONS Zone 3'!F39</f>
        <v>0</v>
      </c>
      <c r="R144" s="23">
        <f>'IDLER REACTIONS Zone 3'!G39</f>
        <v>0</v>
      </c>
      <c r="S144" s="23">
        <f>'IDLER REACTIONS Zone 3'!H39+(R144*$D$6)</f>
        <v>0</v>
      </c>
      <c r="T144" s="24">
        <f>'IDLER REACTIONS Zone 3'!I39-(P144*$D$6)</f>
        <v>0</v>
      </c>
    </row>
    <row r="145" spans="11:20" x14ac:dyDescent="0.25">
      <c r="K145" s="146"/>
      <c r="M145" s="10">
        <v>3</v>
      </c>
      <c r="N145" s="14" t="s">
        <v>21</v>
      </c>
      <c r="O145" s="34" t="s">
        <v>16</v>
      </c>
      <c r="P145" s="23">
        <f>'IDLER REACTIONS Zone 3'!E40</f>
        <v>0</v>
      </c>
      <c r="Q145" s="23">
        <f>'IDLER REACTIONS Zone 3'!F40</f>
        <v>0</v>
      </c>
      <c r="R145" s="23">
        <f>'IDLER REACTIONS Zone 3'!G40</f>
        <v>0</v>
      </c>
      <c r="S145" s="23">
        <f>'IDLER REACTIONS Zone 3'!H40+(R145*$D$6)</f>
        <v>0</v>
      </c>
      <c r="T145" s="24">
        <f>'IDLER REACTIONS Zone 3'!I40-(P145*$D$6)</f>
        <v>0</v>
      </c>
    </row>
    <row r="146" spans="11:20" x14ac:dyDescent="0.25">
      <c r="K146" s="146"/>
      <c r="M146" s="10">
        <v>4</v>
      </c>
      <c r="N146" s="14" t="s">
        <v>22</v>
      </c>
      <c r="O146" s="34" t="s">
        <v>16</v>
      </c>
      <c r="P146" s="23">
        <f>'IDLER REACTIONS Zone 3'!E41</f>
        <v>0</v>
      </c>
      <c r="Q146" s="23">
        <f>'IDLER REACTIONS Zone 3'!F41</f>
        <v>0</v>
      </c>
      <c r="R146" s="23">
        <f>'IDLER REACTIONS Zone 3'!G41</f>
        <v>0</v>
      </c>
      <c r="S146" s="23">
        <f>'IDLER REACTIONS Zone 3'!H41+(R146*$D$6)</f>
        <v>0</v>
      </c>
      <c r="T146" s="24">
        <f>'IDLER REACTIONS Zone 3'!I41-(P146*$D$6)</f>
        <v>0</v>
      </c>
    </row>
    <row r="147" spans="11:20" x14ac:dyDescent="0.25">
      <c r="K147" s="146"/>
      <c r="M147" s="10">
        <v>5</v>
      </c>
      <c r="N147" s="14" t="s">
        <v>35</v>
      </c>
      <c r="O147" s="34" t="s">
        <v>16</v>
      </c>
      <c r="P147" s="23">
        <f>'IDLER REACTIONS Zone 3'!E42</f>
        <v>0</v>
      </c>
      <c r="Q147" s="23">
        <f>'IDLER REACTIONS Zone 3'!F42</f>
        <v>0</v>
      </c>
      <c r="R147" s="23">
        <f>'IDLER REACTIONS Zone 3'!G42</f>
        <v>0</v>
      </c>
      <c r="S147" s="23">
        <f>'IDLER REACTIONS Zone 3'!H42+(R147*$D$6)</f>
        <v>0</v>
      </c>
      <c r="T147" s="24">
        <f>'IDLER REACTIONS Zone 3'!I42-(P147*$D$6)</f>
        <v>0</v>
      </c>
    </row>
    <row r="148" spans="11:20" x14ac:dyDescent="0.25">
      <c r="K148" s="146"/>
      <c r="M148" s="10">
        <v>6</v>
      </c>
      <c r="N148" s="14" t="s">
        <v>36</v>
      </c>
      <c r="O148" s="34" t="s">
        <v>16</v>
      </c>
      <c r="P148" s="23">
        <f>'IDLER REACTIONS Zone 3'!E43</f>
        <v>0</v>
      </c>
      <c r="Q148" s="23">
        <f>'IDLER REACTIONS Zone 3'!F43</f>
        <v>0</v>
      </c>
      <c r="R148" s="23">
        <f>'IDLER REACTIONS Zone 3'!G43</f>
        <v>0</v>
      </c>
      <c r="S148" s="23">
        <f>'IDLER REACTIONS Zone 3'!H43+(R148*$D$6)</f>
        <v>0</v>
      </c>
      <c r="T148" s="24">
        <f>'IDLER REACTIONS Zone 3'!I43-(P148*$D$6)</f>
        <v>0</v>
      </c>
    </row>
    <row r="149" spans="11:20" x14ac:dyDescent="0.25">
      <c r="K149" s="146"/>
      <c r="M149" s="10">
        <v>7</v>
      </c>
      <c r="N149" s="14" t="s">
        <v>33</v>
      </c>
      <c r="O149" s="34" t="s">
        <v>16</v>
      </c>
      <c r="P149" s="23">
        <f>'IDLER REACTIONS Zone 3'!E44</f>
        <v>0</v>
      </c>
      <c r="Q149" s="23">
        <f>'IDLER REACTIONS Zone 3'!F44</f>
        <v>0</v>
      </c>
      <c r="R149" s="23">
        <f>'IDLER REACTIONS Zone 3'!G44</f>
        <v>0</v>
      </c>
      <c r="S149" s="23">
        <f>'IDLER REACTIONS Zone 3'!H44+(R149*$D$6)</f>
        <v>0</v>
      </c>
      <c r="T149" s="24">
        <f>'IDLER REACTIONS Zone 3'!I44-(P149*$D$6)</f>
        <v>0</v>
      </c>
    </row>
    <row r="150" spans="11:20" x14ac:dyDescent="0.25">
      <c r="K150" s="146"/>
      <c r="M150" s="10">
        <v>8</v>
      </c>
      <c r="N150" s="14" t="s">
        <v>34</v>
      </c>
      <c r="O150" s="34" t="s">
        <v>16</v>
      </c>
      <c r="P150" s="23">
        <f>'IDLER REACTIONS Zone 3'!E45</f>
        <v>0</v>
      </c>
      <c r="Q150" s="23">
        <f>'IDLER REACTIONS Zone 3'!F45</f>
        <v>0</v>
      </c>
      <c r="R150" s="23">
        <f>'IDLER REACTIONS Zone 3'!G45</f>
        <v>0</v>
      </c>
      <c r="S150" s="23">
        <f>'IDLER REACTIONS Zone 3'!H45+(R150*$D$6)</f>
        <v>0</v>
      </c>
      <c r="T150" s="24">
        <f>'IDLER REACTIONS Zone 3'!I45-(P150*$D$6)</f>
        <v>0</v>
      </c>
    </row>
    <row r="151" spans="11:20" x14ac:dyDescent="0.25">
      <c r="K151" s="146"/>
      <c r="M151" s="10">
        <v>9</v>
      </c>
      <c r="N151" s="14" t="s">
        <v>23</v>
      </c>
      <c r="O151" s="34" t="s">
        <v>16</v>
      </c>
      <c r="P151" s="23">
        <f>'IDLER REACTIONS Zone 3'!E46</f>
        <v>0</v>
      </c>
      <c r="Q151" s="23">
        <f>'IDLER REACTIONS Zone 3'!F46</f>
        <v>0</v>
      </c>
      <c r="R151" s="23">
        <f>'IDLER REACTIONS Zone 3'!G46</f>
        <v>0</v>
      </c>
      <c r="S151" s="23">
        <f>'IDLER REACTIONS Zone 3'!H46+(R151*$D$6)</f>
        <v>0</v>
      </c>
      <c r="T151" s="24">
        <f>'IDLER REACTIONS Zone 3'!I46-(P151*$D$6)</f>
        <v>0</v>
      </c>
    </row>
    <row r="152" spans="11:20" x14ac:dyDescent="0.25">
      <c r="K152" s="146"/>
      <c r="M152" s="10">
        <v>10</v>
      </c>
      <c r="N152" s="14" t="s">
        <v>24</v>
      </c>
      <c r="O152" s="34" t="s">
        <v>16</v>
      </c>
      <c r="P152" s="23">
        <f>'IDLER REACTIONS Zone 3'!E47</f>
        <v>0</v>
      </c>
      <c r="Q152" s="23">
        <f>'IDLER REACTIONS Zone 3'!F47</f>
        <v>0</v>
      </c>
      <c r="R152" s="23">
        <f>'IDLER REACTIONS Zone 3'!G47</f>
        <v>0</v>
      </c>
      <c r="S152" s="23">
        <f>'IDLER REACTIONS Zone 3'!H47+(R152*$D$6)</f>
        <v>0</v>
      </c>
      <c r="T152" s="24">
        <f>'IDLER REACTIONS Zone 3'!I47-(P152*$D$6)</f>
        <v>0</v>
      </c>
    </row>
    <row r="153" spans="11:20" x14ac:dyDescent="0.25">
      <c r="K153" s="146"/>
      <c r="M153" s="10">
        <v>11</v>
      </c>
      <c r="N153" s="14" t="s">
        <v>25</v>
      </c>
      <c r="O153" s="34" t="s">
        <v>16</v>
      </c>
      <c r="P153" s="23">
        <f>'IDLER REACTIONS Zone 3'!E48</f>
        <v>0</v>
      </c>
      <c r="Q153" s="23">
        <f>'IDLER REACTIONS Zone 3'!F48</f>
        <v>0</v>
      </c>
      <c r="R153" s="23">
        <f>'IDLER REACTIONS Zone 3'!G48</f>
        <v>0</v>
      </c>
      <c r="S153" s="23">
        <f>'IDLER REACTIONS Zone 3'!H48+(R153*$D$6)</f>
        <v>0</v>
      </c>
      <c r="T153" s="24">
        <f>'IDLER REACTIONS Zone 3'!I48-(P153*$D$6)</f>
        <v>0</v>
      </c>
    </row>
    <row r="154" spans="11:20" x14ac:dyDescent="0.25">
      <c r="K154" s="146"/>
      <c r="M154" s="10">
        <v>12</v>
      </c>
      <c r="N154" s="14" t="s">
        <v>26</v>
      </c>
      <c r="O154" s="34" t="s">
        <v>16</v>
      </c>
      <c r="P154" s="23">
        <f>'IDLER REACTIONS Zone 3'!E49</f>
        <v>0</v>
      </c>
      <c r="Q154" s="23">
        <f>'IDLER REACTIONS Zone 3'!F49</f>
        <v>0</v>
      </c>
      <c r="R154" s="23">
        <f>'IDLER REACTIONS Zone 3'!G49</f>
        <v>0</v>
      </c>
      <c r="S154" s="23">
        <f>'IDLER REACTIONS Zone 3'!H49+(R154*$D$6)</f>
        <v>0</v>
      </c>
      <c r="T154" s="24">
        <f>'IDLER REACTIONS Zone 3'!I49-(P154*$D$6)</f>
        <v>0</v>
      </c>
    </row>
    <row r="155" spans="11:20" x14ac:dyDescent="0.25">
      <c r="K155" s="146"/>
      <c r="M155" s="10">
        <v>13</v>
      </c>
      <c r="N155" s="14" t="s">
        <v>27</v>
      </c>
      <c r="O155" s="34" t="s">
        <v>16</v>
      </c>
      <c r="P155" s="23">
        <f>'IDLER REACTIONS Zone 3'!E50</f>
        <v>0</v>
      </c>
      <c r="Q155" s="23">
        <f>'IDLER REACTIONS Zone 3'!F50</f>
        <v>0</v>
      </c>
      <c r="R155" s="23">
        <f>'IDLER REACTIONS Zone 3'!G50</f>
        <v>0</v>
      </c>
      <c r="S155" s="23">
        <f>'IDLER REACTIONS Zone 3'!H50+(R155*$D$6)</f>
        <v>0</v>
      </c>
      <c r="T155" s="24">
        <f>'IDLER REACTIONS Zone 3'!I50-(P155*$D$6)</f>
        <v>0</v>
      </c>
    </row>
    <row r="156" spans="11:20" x14ac:dyDescent="0.25">
      <c r="K156" s="146"/>
      <c r="M156" s="10">
        <v>14</v>
      </c>
      <c r="N156" s="14" t="s">
        <v>28</v>
      </c>
      <c r="O156" s="34" t="s">
        <v>16</v>
      </c>
      <c r="P156" s="23">
        <f>'IDLER REACTIONS Zone 3'!E51</f>
        <v>0</v>
      </c>
      <c r="Q156" s="23">
        <f>'IDLER REACTIONS Zone 3'!F51</f>
        <v>0</v>
      </c>
      <c r="R156" s="23">
        <f>'IDLER REACTIONS Zone 3'!G51</f>
        <v>0</v>
      </c>
      <c r="S156" s="23">
        <f>'IDLER REACTIONS Zone 3'!H51+(R156*$D$6)</f>
        <v>0</v>
      </c>
      <c r="T156" s="24">
        <f>'IDLER REACTIONS Zone 3'!I51-(P156*$D$6)</f>
        <v>0</v>
      </c>
    </row>
    <row r="157" spans="11:20" x14ac:dyDescent="0.25">
      <c r="K157" s="146"/>
      <c r="M157" s="10">
        <v>15</v>
      </c>
      <c r="N157" s="14" t="s">
        <v>29</v>
      </c>
      <c r="O157" s="34" t="s">
        <v>16</v>
      </c>
      <c r="P157" s="23">
        <f>'IDLER REACTIONS Zone 3'!E52</f>
        <v>0</v>
      </c>
      <c r="Q157" s="23">
        <f>'IDLER REACTIONS Zone 3'!F52</f>
        <v>0</v>
      </c>
      <c r="R157" s="23">
        <f>'IDLER REACTIONS Zone 3'!G52</f>
        <v>0</v>
      </c>
      <c r="S157" s="23">
        <f>'IDLER REACTIONS Zone 3'!H52+(R157*$D$6)</f>
        <v>0</v>
      </c>
      <c r="T157" s="24">
        <f>'IDLER REACTIONS Zone 3'!I52-(P157*$D$6)</f>
        <v>0</v>
      </c>
    </row>
    <row r="158" spans="11:20" x14ac:dyDescent="0.25">
      <c r="K158" s="146"/>
      <c r="M158" s="10">
        <v>16</v>
      </c>
      <c r="N158" s="14" t="s">
        <v>30</v>
      </c>
      <c r="O158" s="34" t="s">
        <v>16</v>
      </c>
      <c r="P158" s="23">
        <f>'IDLER REACTIONS Zone 3'!E53</f>
        <v>0</v>
      </c>
      <c r="Q158" s="23">
        <f>'IDLER REACTIONS Zone 3'!F53</f>
        <v>0</v>
      </c>
      <c r="R158" s="23">
        <f>'IDLER REACTIONS Zone 3'!G53</f>
        <v>0</v>
      </c>
      <c r="S158" s="23">
        <f>'IDLER REACTIONS Zone 3'!H53+(R158*$D$6)</f>
        <v>0</v>
      </c>
      <c r="T158" s="24">
        <f>'IDLER REACTIONS Zone 3'!I53-(P158*$D$6)</f>
        <v>0</v>
      </c>
    </row>
    <row r="159" spans="11:20" x14ac:dyDescent="0.25">
      <c r="K159" s="146"/>
      <c r="M159" s="10">
        <v>17</v>
      </c>
      <c r="N159" s="14" t="s">
        <v>31</v>
      </c>
      <c r="O159" s="34" t="s">
        <v>16</v>
      </c>
      <c r="P159" s="23">
        <f>'IDLER REACTIONS Zone 3'!E54</f>
        <v>0</v>
      </c>
      <c r="Q159" s="23">
        <f>'IDLER REACTIONS Zone 3'!F54</f>
        <v>0</v>
      </c>
      <c r="R159" s="23">
        <f>'IDLER REACTIONS Zone 3'!G54</f>
        <v>0</v>
      </c>
      <c r="S159" s="23">
        <f>'IDLER REACTIONS Zone 3'!H54+(R159*$D$6)</f>
        <v>0</v>
      </c>
      <c r="T159" s="24">
        <f>'IDLER REACTIONS Zone 3'!I54-(P159*$D$6)</f>
        <v>0</v>
      </c>
    </row>
    <row r="160" spans="11:20" x14ac:dyDescent="0.25">
      <c r="K160" s="146"/>
      <c r="M160" s="10">
        <v>18</v>
      </c>
      <c r="N160" s="14" t="s">
        <v>32</v>
      </c>
      <c r="O160" s="34" t="s">
        <v>16</v>
      </c>
      <c r="P160" s="23">
        <f>'IDLER REACTIONS Zone 3'!E55</f>
        <v>0</v>
      </c>
      <c r="Q160" s="23">
        <f>'IDLER REACTIONS Zone 3'!F55</f>
        <v>0</v>
      </c>
      <c r="R160" s="23">
        <f>'IDLER REACTIONS Zone 3'!G55</f>
        <v>0</v>
      </c>
      <c r="S160" s="23">
        <f>'IDLER REACTIONS Zone 3'!H55+(R160*$D$6)</f>
        <v>0</v>
      </c>
      <c r="T160" s="24">
        <f>'IDLER REACTIONS Zone 3'!I55-(P160*$D$6)</f>
        <v>0</v>
      </c>
    </row>
    <row r="161" spans="11:20" x14ac:dyDescent="0.25">
      <c r="K161" s="146"/>
      <c r="M161" s="10">
        <v>19</v>
      </c>
      <c r="N161" s="14" t="s">
        <v>37</v>
      </c>
      <c r="O161" s="34" t="s">
        <v>16</v>
      </c>
      <c r="P161" s="23">
        <f>'IDLER REACTIONS Zone 3'!E56</f>
        <v>0</v>
      </c>
      <c r="Q161" s="23">
        <f>'IDLER REACTIONS Zone 3'!F56</f>
        <v>0</v>
      </c>
      <c r="R161" s="23">
        <f>'IDLER REACTIONS Zone 3'!G56</f>
        <v>0</v>
      </c>
      <c r="S161" s="23">
        <f>'IDLER REACTIONS Zone 3'!H56+(R161*$D$6)</f>
        <v>0</v>
      </c>
      <c r="T161" s="24">
        <f>'IDLER REACTIONS Zone 3'!I56-(P161*$D$6)</f>
        <v>0</v>
      </c>
    </row>
    <row r="162" spans="11:20" x14ac:dyDescent="0.25">
      <c r="K162" s="146"/>
      <c r="M162" s="10">
        <v>20</v>
      </c>
      <c r="N162" s="14" t="s">
        <v>38</v>
      </c>
      <c r="O162" s="34" t="s">
        <v>16</v>
      </c>
      <c r="P162" s="23">
        <f>'IDLER REACTIONS Zone 3'!E57</f>
        <v>0</v>
      </c>
      <c r="Q162" s="23">
        <f>'IDLER REACTIONS Zone 3'!F57</f>
        <v>0</v>
      </c>
      <c r="R162" s="23">
        <f>'IDLER REACTIONS Zone 3'!G57</f>
        <v>0</v>
      </c>
      <c r="S162" s="23">
        <f>'IDLER REACTIONS Zone 3'!H57+(R162*$D$6)</f>
        <v>0</v>
      </c>
      <c r="T162" s="24">
        <f>'IDLER REACTIONS Zone 3'!I57-(P162*$D$6)</f>
        <v>0</v>
      </c>
    </row>
    <row r="163" spans="11:20" x14ac:dyDescent="0.25">
      <c r="K163" s="146"/>
      <c r="M163" s="10">
        <v>21</v>
      </c>
      <c r="N163" s="14" t="s">
        <v>39</v>
      </c>
      <c r="O163" s="34" t="s">
        <v>16</v>
      </c>
      <c r="P163" s="23">
        <f>'IDLER REACTIONS Zone 3'!E58</f>
        <v>0</v>
      </c>
      <c r="Q163" s="23">
        <f>'IDLER REACTIONS Zone 3'!F58</f>
        <v>0</v>
      </c>
      <c r="R163" s="23">
        <f>'IDLER REACTIONS Zone 3'!G58</f>
        <v>0</v>
      </c>
      <c r="S163" s="23">
        <f>'IDLER REACTIONS Zone 3'!H58+(R163*$D$6)</f>
        <v>0</v>
      </c>
      <c r="T163" s="24">
        <f>'IDLER REACTIONS Zone 3'!I58-(P163*$D$6)</f>
        <v>0</v>
      </c>
    </row>
    <row r="164" spans="11:20" ht="15.75" thickBot="1" x14ac:dyDescent="0.3">
      <c r="K164" s="146"/>
      <c r="M164" s="13">
        <v>22</v>
      </c>
      <c r="N164" s="15" t="s">
        <v>40</v>
      </c>
      <c r="O164" s="36" t="s">
        <v>16</v>
      </c>
      <c r="P164" s="31">
        <f>'IDLER REACTIONS Zone 3'!E59</f>
        <v>0</v>
      </c>
      <c r="Q164" s="31">
        <f>'IDLER REACTIONS Zone 3'!F59</f>
        <v>0</v>
      </c>
      <c r="R164" s="31">
        <f>'IDLER REACTIONS Zone 3'!G59</f>
        <v>0</v>
      </c>
      <c r="S164" s="31">
        <f>'IDLER REACTIONS Zone 3'!H59+(R164*$D$6)</f>
        <v>0</v>
      </c>
      <c r="T164" s="32">
        <f>'IDLER REACTIONS Zone 3'!I59-(P164*$D$6)</f>
        <v>0</v>
      </c>
    </row>
    <row r="165" spans="11:20" x14ac:dyDescent="0.25">
      <c r="K165" s="146"/>
    </row>
    <row r="166" spans="11:20" ht="15.75" thickBot="1" x14ac:dyDescent="0.3">
      <c r="K166" s="146"/>
    </row>
    <row r="167" spans="11:20" x14ac:dyDescent="0.25">
      <c r="K167" s="146"/>
      <c r="M167" s="449" t="s">
        <v>150</v>
      </c>
      <c r="N167" s="450"/>
      <c r="O167" s="450"/>
      <c r="P167" s="450"/>
      <c r="Q167" s="450"/>
      <c r="R167" s="450"/>
      <c r="S167" s="450"/>
      <c r="T167" s="451"/>
    </row>
    <row r="168" spans="11:20" ht="15.75" thickBot="1" x14ac:dyDescent="0.3">
      <c r="K168" s="146"/>
      <c r="M168" s="440"/>
      <c r="N168" s="441"/>
      <c r="O168" s="441"/>
      <c r="P168" s="441"/>
      <c r="Q168" s="441"/>
      <c r="R168" s="441"/>
      <c r="S168" s="441"/>
      <c r="T168" s="452"/>
    </row>
    <row r="169" spans="11:20" ht="60.75" thickBot="1" x14ac:dyDescent="0.3">
      <c r="K169" s="146"/>
      <c r="M169" s="26" t="s">
        <v>3</v>
      </c>
      <c r="N169" s="26" t="s">
        <v>60</v>
      </c>
      <c r="O169" s="145" t="s">
        <v>13</v>
      </c>
      <c r="P169" s="44" t="s">
        <v>44</v>
      </c>
      <c r="Q169" s="44" t="s">
        <v>4</v>
      </c>
      <c r="R169" s="44" t="s">
        <v>45</v>
      </c>
      <c r="S169" s="44" t="s">
        <v>47</v>
      </c>
      <c r="T169" s="45" t="s">
        <v>46</v>
      </c>
    </row>
    <row r="170" spans="11:20" x14ac:dyDescent="0.25">
      <c r="K170" s="146"/>
      <c r="M170" s="29">
        <v>1</v>
      </c>
      <c r="N170" s="28" t="s">
        <v>0</v>
      </c>
      <c r="O170" s="35" t="s">
        <v>16</v>
      </c>
      <c r="P170" s="21">
        <f>'IDLER REACTIONS Zone 5'!E12</f>
        <v>0</v>
      </c>
      <c r="Q170" s="21">
        <f>'IDLER REACTIONS Zone 5'!F12</f>
        <v>0</v>
      </c>
      <c r="R170" s="21">
        <f>'IDLER REACTIONS Zone 5'!G12</f>
        <v>0</v>
      </c>
      <c r="S170" s="21">
        <f>'IDLER REACTIONS Zone 5'!H12+(R170*$D$6)</f>
        <v>0</v>
      </c>
      <c r="T170" s="22">
        <f>'IDLER REACTIONS Zone 5'!I12-(P170*$D$6)</f>
        <v>0</v>
      </c>
    </row>
    <row r="171" spans="11:20" x14ac:dyDescent="0.25">
      <c r="K171" s="146"/>
      <c r="M171" s="10">
        <v>2</v>
      </c>
      <c r="N171" s="14" t="s">
        <v>20</v>
      </c>
      <c r="O171" s="34" t="s">
        <v>16</v>
      </c>
      <c r="P171" s="23">
        <f>'IDLER REACTIONS Zone 5'!E13</f>
        <v>0</v>
      </c>
      <c r="Q171" s="23">
        <f>'IDLER REACTIONS Zone 5'!F13</f>
        <v>0</v>
      </c>
      <c r="R171" s="23">
        <f>'IDLER REACTIONS Zone 5'!G13</f>
        <v>0</v>
      </c>
      <c r="S171" s="23">
        <f>'IDLER REACTIONS Zone 5'!H13+(R171*$D$6)</f>
        <v>0</v>
      </c>
      <c r="T171" s="24">
        <f>'IDLER REACTIONS Zone 5'!I13-(P171*$D$6)</f>
        <v>0</v>
      </c>
    </row>
    <row r="172" spans="11:20" x14ac:dyDescent="0.25">
      <c r="K172" s="146"/>
      <c r="M172" s="10">
        <v>3</v>
      </c>
      <c r="N172" s="14" t="s">
        <v>21</v>
      </c>
      <c r="O172" s="34" t="s">
        <v>16</v>
      </c>
      <c r="P172" s="23">
        <f>'IDLER REACTIONS Zone 5'!E14</f>
        <v>0</v>
      </c>
      <c r="Q172" s="23">
        <f>'IDLER REACTIONS Zone 5'!F14</f>
        <v>0</v>
      </c>
      <c r="R172" s="23">
        <f>'IDLER REACTIONS Zone 5'!G14</f>
        <v>0</v>
      </c>
      <c r="S172" s="23">
        <f>'IDLER REACTIONS Zone 5'!H14+(R172*$D$6)</f>
        <v>0</v>
      </c>
      <c r="T172" s="24">
        <f>'IDLER REACTIONS Zone 5'!I14-(P172*$D$6)</f>
        <v>0</v>
      </c>
    </row>
    <row r="173" spans="11:20" x14ac:dyDescent="0.25">
      <c r="K173" s="146"/>
      <c r="M173" s="10">
        <v>4</v>
      </c>
      <c r="N173" s="14" t="s">
        <v>22</v>
      </c>
      <c r="O173" s="34" t="s">
        <v>16</v>
      </c>
      <c r="P173" s="23">
        <f>'IDLER REACTIONS Zone 5'!E15</f>
        <v>0</v>
      </c>
      <c r="Q173" s="23">
        <f>'IDLER REACTIONS Zone 5'!F15</f>
        <v>0</v>
      </c>
      <c r="R173" s="23">
        <f>'IDLER REACTIONS Zone 5'!G15</f>
        <v>0</v>
      </c>
      <c r="S173" s="23">
        <f>'IDLER REACTIONS Zone 5'!H15+(R173*$D$6)</f>
        <v>0</v>
      </c>
      <c r="T173" s="24">
        <f>'IDLER REACTIONS Zone 5'!I15-(P173*$D$6)</f>
        <v>0</v>
      </c>
    </row>
    <row r="174" spans="11:20" x14ac:dyDescent="0.25">
      <c r="K174" s="146"/>
      <c r="M174" s="10">
        <v>5</v>
      </c>
      <c r="N174" s="14" t="s">
        <v>35</v>
      </c>
      <c r="O174" s="34" t="s">
        <v>16</v>
      </c>
      <c r="P174" s="23">
        <f>'IDLER REACTIONS Zone 5'!E16</f>
        <v>0</v>
      </c>
      <c r="Q174" s="23">
        <f>'IDLER REACTIONS Zone 5'!F16</f>
        <v>0</v>
      </c>
      <c r="R174" s="23">
        <f>'IDLER REACTIONS Zone 5'!G16</f>
        <v>0</v>
      </c>
      <c r="S174" s="23">
        <f>'IDLER REACTIONS Zone 5'!H16+(R174*$D$6)</f>
        <v>0</v>
      </c>
      <c r="T174" s="24">
        <f>'IDLER REACTIONS Zone 5'!I16-(P174*$D$6)</f>
        <v>0</v>
      </c>
    </row>
    <row r="175" spans="11:20" x14ac:dyDescent="0.25">
      <c r="K175" s="146"/>
      <c r="M175" s="10">
        <v>6</v>
      </c>
      <c r="N175" s="14" t="s">
        <v>36</v>
      </c>
      <c r="O175" s="34" t="s">
        <v>16</v>
      </c>
      <c r="P175" s="23">
        <f>'IDLER REACTIONS Zone 5'!E17</f>
        <v>0</v>
      </c>
      <c r="Q175" s="23">
        <f>'IDLER REACTIONS Zone 5'!F17</f>
        <v>0</v>
      </c>
      <c r="R175" s="23">
        <f>'IDLER REACTIONS Zone 5'!G17</f>
        <v>0</v>
      </c>
      <c r="S175" s="23">
        <f>'IDLER REACTIONS Zone 5'!H17+(R175*$D$6)</f>
        <v>0</v>
      </c>
      <c r="T175" s="24">
        <f>'IDLER REACTIONS Zone 5'!I17-(P175*$D$6)</f>
        <v>0</v>
      </c>
    </row>
    <row r="176" spans="11:20" x14ac:dyDescent="0.25">
      <c r="K176" s="146"/>
      <c r="M176" s="10">
        <v>7</v>
      </c>
      <c r="N176" s="14" t="s">
        <v>33</v>
      </c>
      <c r="O176" s="34" t="s">
        <v>16</v>
      </c>
      <c r="P176" s="23">
        <f>'IDLER REACTIONS Zone 5'!E18</f>
        <v>0</v>
      </c>
      <c r="Q176" s="23">
        <f>'IDLER REACTIONS Zone 5'!F18</f>
        <v>0</v>
      </c>
      <c r="R176" s="23">
        <f>'IDLER REACTIONS Zone 5'!G18</f>
        <v>0</v>
      </c>
      <c r="S176" s="23">
        <f>'IDLER REACTIONS Zone 5'!H18+(R176*$D$6)</f>
        <v>0</v>
      </c>
      <c r="T176" s="24">
        <f>'IDLER REACTIONS Zone 5'!I18-(P176*$D$6)</f>
        <v>0</v>
      </c>
    </row>
    <row r="177" spans="11:20" x14ac:dyDescent="0.25">
      <c r="K177" s="146"/>
      <c r="M177" s="10">
        <v>8</v>
      </c>
      <c r="N177" s="14" t="s">
        <v>34</v>
      </c>
      <c r="O177" s="34" t="s">
        <v>16</v>
      </c>
      <c r="P177" s="23">
        <f>'IDLER REACTIONS Zone 5'!E19</f>
        <v>0</v>
      </c>
      <c r="Q177" s="23">
        <f>'IDLER REACTIONS Zone 5'!F19</f>
        <v>0</v>
      </c>
      <c r="R177" s="23">
        <f>'IDLER REACTIONS Zone 5'!G19</f>
        <v>0</v>
      </c>
      <c r="S177" s="23">
        <f>'IDLER REACTIONS Zone 5'!H19+(R177*$D$6)</f>
        <v>0</v>
      </c>
      <c r="T177" s="24">
        <f>'IDLER REACTIONS Zone 5'!I19-(P177*$D$6)</f>
        <v>0</v>
      </c>
    </row>
    <row r="178" spans="11:20" x14ac:dyDescent="0.25">
      <c r="K178" s="146"/>
      <c r="M178" s="10">
        <v>9</v>
      </c>
      <c r="N178" s="14" t="s">
        <v>23</v>
      </c>
      <c r="O178" s="34" t="s">
        <v>16</v>
      </c>
      <c r="P178" s="23">
        <f>'IDLER REACTIONS Zone 5'!E20</f>
        <v>0</v>
      </c>
      <c r="Q178" s="23">
        <f>'IDLER REACTIONS Zone 5'!F20</f>
        <v>0</v>
      </c>
      <c r="R178" s="23">
        <f>'IDLER REACTIONS Zone 5'!G20</f>
        <v>0</v>
      </c>
      <c r="S178" s="23">
        <f>'IDLER REACTIONS Zone 5'!H20+(R178*$D$6)</f>
        <v>0</v>
      </c>
      <c r="T178" s="24">
        <f>'IDLER REACTIONS Zone 5'!I20-(P178*$D$6)</f>
        <v>0</v>
      </c>
    </row>
    <row r="179" spans="11:20" x14ac:dyDescent="0.25">
      <c r="K179" s="146"/>
      <c r="M179" s="10">
        <v>10</v>
      </c>
      <c r="N179" s="14" t="s">
        <v>24</v>
      </c>
      <c r="O179" s="34" t="s">
        <v>16</v>
      </c>
      <c r="P179" s="23">
        <f>'IDLER REACTIONS Zone 5'!E21</f>
        <v>0</v>
      </c>
      <c r="Q179" s="23">
        <f>'IDLER REACTIONS Zone 5'!F21</f>
        <v>0</v>
      </c>
      <c r="R179" s="23">
        <f>'IDLER REACTIONS Zone 5'!G21</f>
        <v>0</v>
      </c>
      <c r="S179" s="23">
        <f>'IDLER REACTIONS Zone 5'!H21+(R179*$D$6)</f>
        <v>0</v>
      </c>
      <c r="T179" s="24">
        <f>'IDLER REACTIONS Zone 5'!I21-(P179*$D$6)</f>
        <v>0</v>
      </c>
    </row>
    <row r="180" spans="11:20" x14ac:dyDescent="0.25">
      <c r="K180" s="146"/>
      <c r="M180" s="10">
        <v>11</v>
      </c>
      <c r="N180" s="14" t="s">
        <v>25</v>
      </c>
      <c r="O180" s="34" t="s">
        <v>16</v>
      </c>
      <c r="P180" s="23">
        <f>'IDLER REACTIONS Zone 5'!E22</f>
        <v>0</v>
      </c>
      <c r="Q180" s="23">
        <f>'IDLER REACTIONS Zone 5'!F22</f>
        <v>0</v>
      </c>
      <c r="R180" s="23">
        <f>'IDLER REACTIONS Zone 5'!G22</f>
        <v>0</v>
      </c>
      <c r="S180" s="23">
        <f>'IDLER REACTIONS Zone 5'!H22+(R180*$D$6)</f>
        <v>0</v>
      </c>
      <c r="T180" s="24">
        <f>'IDLER REACTIONS Zone 5'!I22-(P180*$D$6)</f>
        <v>0</v>
      </c>
    </row>
    <row r="181" spans="11:20" x14ac:dyDescent="0.25">
      <c r="K181" s="146"/>
      <c r="M181" s="10">
        <v>12</v>
      </c>
      <c r="N181" s="14" t="s">
        <v>26</v>
      </c>
      <c r="O181" s="34" t="s">
        <v>16</v>
      </c>
      <c r="P181" s="23">
        <f>'IDLER REACTIONS Zone 5'!E23</f>
        <v>0</v>
      </c>
      <c r="Q181" s="23">
        <f>'IDLER REACTIONS Zone 5'!F23</f>
        <v>0</v>
      </c>
      <c r="R181" s="23">
        <f>'IDLER REACTIONS Zone 5'!G23</f>
        <v>0</v>
      </c>
      <c r="S181" s="23">
        <f>'IDLER REACTIONS Zone 5'!H23+(R181*$D$6)</f>
        <v>0</v>
      </c>
      <c r="T181" s="24">
        <f>'IDLER REACTIONS Zone 5'!I23-(P181*$D$6)</f>
        <v>0</v>
      </c>
    </row>
    <row r="182" spans="11:20" x14ac:dyDescent="0.25">
      <c r="K182" s="146"/>
      <c r="M182" s="10">
        <v>13</v>
      </c>
      <c r="N182" s="14" t="s">
        <v>27</v>
      </c>
      <c r="O182" s="34" t="s">
        <v>16</v>
      </c>
      <c r="P182" s="23">
        <f>'IDLER REACTIONS Zone 5'!E24</f>
        <v>0</v>
      </c>
      <c r="Q182" s="23">
        <f>'IDLER REACTIONS Zone 5'!F24</f>
        <v>0</v>
      </c>
      <c r="R182" s="23">
        <f>'IDLER REACTIONS Zone 5'!G24</f>
        <v>0</v>
      </c>
      <c r="S182" s="23">
        <f>'IDLER REACTIONS Zone 5'!H24+(R182*$D$6)</f>
        <v>0</v>
      </c>
      <c r="T182" s="24">
        <f>'IDLER REACTIONS Zone 5'!I24-(P182*$D$6)</f>
        <v>0</v>
      </c>
    </row>
    <row r="183" spans="11:20" x14ac:dyDescent="0.25">
      <c r="K183" s="146"/>
      <c r="M183" s="10">
        <v>14</v>
      </c>
      <c r="N183" s="14" t="s">
        <v>28</v>
      </c>
      <c r="O183" s="34" t="s">
        <v>16</v>
      </c>
      <c r="P183" s="23">
        <f>'IDLER REACTIONS Zone 5'!E25</f>
        <v>0</v>
      </c>
      <c r="Q183" s="23">
        <f>'IDLER REACTIONS Zone 5'!F25</f>
        <v>0</v>
      </c>
      <c r="R183" s="23">
        <f>'IDLER REACTIONS Zone 5'!G25</f>
        <v>0</v>
      </c>
      <c r="S183" s="23">
        <f>'IDLER REACTIONS Zone 5'!H25+(R183*$D$6)</f>
        <v>0</v>
      </c>
      <c r="T183" s="24">
        <f>'IDLER REACTIONS Zone 5'!I25-(P183*$D$6)</f>
        <v>0</v>
      </c>
    </row>
    <row r="184" spans="11:20" x14ac:dyDescent="0.25">
      <c r="K184" s="146"/>
      <c r="M184" s="10">
        <v>15</v>
      </c>
      <c r="N184" s="14" t="s">
        <v>29</v>
      </c>
      <c r="O184" s="34" t="s">
        <v>16</v>
      </c>
      <c r="P184" s="23">
        <f>'IDLER REACTIONS Zone 5'!E26</f>
        <v>0</v>
      </c>
      <c r="Q184" s="23">
        <f>'IDLER REACTIONS Zone 5'!F26</f>
        <v>0</v>
      </c>
      <c r="R184" s="23">
        <f>'IDLER REACTIONS Zone 5'!G26</f>
        <v>0</v>
      </c>
      <c r="S184" s="23">
        <f>'IDLER REACTIONS Zone 5'!H26+(R184*$D$6)</f>
        <v>0</v>
      </c>
      <c r="T184" s="24">
        <f>'IDLER REACTIONS Zone 5'!I26-(P184*$D$6)</f>
        <v>0</v>
      </c>
    </row>
    <row r="185" spans="11:20" x14ac:dyDescent="0.25">
      <c r="K185" s="146"/>
      <c r="M185" s="10">
        <v>16</v>
      </c>
      <c r="N185" s="14" t="s">
        <v>30</v>
      </c>
      <c r="O185" s="34" t="s">
        <v>16</v>
      </c>
      <c r="P185" s="23">
        <f>'IDLER REACTIONS Zone 5'!E27</f>
        <v>0</v>
      </c>
      <c r="Q185" s="23">
        <f>'IDLER REACTIONS Zone 5'!F27</f>
        <v>0</v>
      </c>
      <c r="R185" s="23">
        <f>'IDLER REACTIONS Zone 5'!G27</f>
        <v>0</v>
      </c>
      <c r="S185" s="23">
        <f>'IDLER REACTIONS Zone 5'!H27+(R185*$D$6)</f>
        <v>0</v>
      </c>
      <c r="T185" s="24">
        <f>'IDLER REACTIONS Zone 5'!I27-(P185*$D$6)</f>
        <v>0</v>
      </c>
    </row>
    <row r="186" spans="11:20" x14ac:dyDescent="0.25">
      <c r="K186" s="146"/>
      <c r="M186" s="10">
        <v>17</v>
      </c>
      <c r="N186" s="14" t="s">
        <v>31</v>
      </c>
      <c r="O186" s="34" t="s">
        <v>16</v>
      </c>
      <c r="P186" s="23">
        <f>'IDLER REACTIONS Zone 5'!E28</f>
        <v>0</v>
      </c>
      <c r="Q186" s="23">
        <f>'IDLER REACTIONS Zone 5'!F28</f>
        <v>0</v>
      </c>
      <c r="R186" s="23">
        <f>'IDLER REACTIONS Zone 5'!G28</f>
        <v>0</v>
      </c>
      <c r="S186" s="23">
        <f>'IDLER REACTIONS Zone 5'!H28+(R186*$D$6)</f>
        <v>0</v>
      </c>
      <c r="T186" s="24">
        <f>'IDLER REACTIONS Zone 5'!I28-(P186*$D$6)</f>
        <v>0</v>
      </c>
    </row>
    <row r="187" spans="11:20" x14ac:dyDescent="0.25">
      <c r="K187" s="146"/>
      <c r="M187" s="10">
        <v>18</v>
      </c>
      <c r="N187" s="14" t="s">
        <v>32</v>
      </c>
      <c r="O187" s="34" t="s">
        <v>16</v>
      </c>
      <c r="P187" s="23">
        <f>'IDLER REACTIONS Zone 5'!E29</f>
        <v>0</v>
      </c>
      <c r="Q187" s="23">
        <f>'IDLER REACTIONS Zone 5'!F29</f>
        <v>0</v>
      </c>
      <c r="R187" s="23">
        <f>'IDLER REACTIONS Zone 5'!G29</f>
        <v>0</v>
      </c>
      <c r="S187" s="23">
        <f>'IDLER REACTIONS Zone 5'!H29+(R187*$D$6)</f>
        <v>0</v>
      </c>
      <c r="T187" s="24">
        <f>'IDLER REACTIONS Zone 5'!I29-(P187*$D$6)</f>
        <v>0</v>
      </c>
    </row>
    <row r="188" spans="11:20" x14ac:dyDescent="0.25">
      <c r="K188" s="146"/>
      <c r="M188" s="10">
        <v>19</v>
      </c>
      <c r="N188" s="14" t="s">
        <v>37</v>
      </c>
      <c r="O188" s="34" t="s">
        <v>16</v>
      </c>
      <c r="P188" s="23">
        <f>'IDLER REACTIONS Zone 5'!E30</f>
        <v>0</v>
      </c>
      <c r="Q188" s="23">
        <f>'IDLER REACTIONS Zone 5'!F30</f>
        <v>0</v>
      </c>
      <c r="R188" s="23">
        <f>'IDLER REACTIONS Zone 5'!G30</f>
        <v>0</v>
      </c>
      <c r="S188" s="23">
        <f>'IDLER REACTIONS Zone 5'!H30+(R188*$D$6)</f>
        <v>0</v>
      </c>
      <c r="T188" s="24">
        <f>'IDLER REACTIONS Zone 5'!I30-(P188*$D$6)</f>
        <v>0</v>
      </c>
    </row>
    <row r="189" spans="11:20" x14ac:dyDescent="0.25">
      <c r="K189" s="146"/>
      <c r="M189" s="10">
        <v>20</v>
      </c>
      <c r="N189" s="14" t="s">
        <v>38</v>
      </c>
      <c r="O189" s="34" t="s">
        <v>16</v>
      </c>
      <c r="P189" s="23">
        <f>'IDLER REACTIONS Zone 5'!E31</f>
        <v>0</v>
      </c>
      <c r="Q189" s="23">
        <f>'IDLER REACTIONS Zone 5'!F31</f>
        <v>0</v>
      </c>
      <c r="R189" s="23">
        <f>'IDLER REACTIONS Zone 5'!G31</f>
        <v>0</v>
      </c>
      <c r="S189" s="23">
        <f>'IDLER REACTIONS Zone 5'!H31+(R189*$D$6)</f>
        <v>0</v>
      </c>
      <c r="T189" s="24">
        <f>'IDLER REACTIONS Zone 5'!I31-(P189*$D$6)</f>
        <v>0</v>
      </c>
    </row>
    <row r="190" spans="11:20" x14ac:dyDescent="0.25">
      <c r="K190" s="146"/>
      <c r="M190" s="10">
        <v>21</v>
      </c>
      <c r="N190" s="14" t="s">
        <v>39</v>
      </c>
      <c r="O190" s="34" t="s">
        <v>16</v>
      </c>
      <c r="P190" s="23">
        <f>'IDLER REACTIONS Zone 5'!E32</f>
        <v>0</v>
      </c>
      <c r="Q190" s="23">
        <f>'IDLER REACTIONS Zone 5'!F32</f>
        <v>0</v>
      </c>
      <c r="R190" s="23">
        <f>'IDLER REACTIONS Zone 5'!G32</f>
        <v>0</v>
      </c>
      <c r="S190" s="23">
        <f>'IDLER REACTIONS Zone 5'!H32+(R190*$D$6)</f>
        <v>0</v>
      </c>
      <c r="T190" s="24">
        <f>'IDLER REACTIONS Zone 5'!I32-(P190*$D$6)</f>
        <v>0</v>
      </c>
    </row>
    <row r="191" spans="11:20" ht="15.75" thickBot="1" x14ac:dyDescent="0.3">
      <c r="K191" s="146"/>
      <c r="M191" s="13">
        <v>22</v>
      </c>
      <c r="N191" s="15" t="s">
        <v>40</v>
      </c>
      <c r="O191" s="36" t="s">
        <v>16</v>
      </c>
      <c r="P191" s="31">
        <f>'IDLER REACTIONS Zone 5'!E33</f>
        <v>0</v>
      </c>
      <c r="Q191" s="31">
        <f>'IDLER REACTIONS Zone 5'!F33</f>
        <v>0</v>
      </c>
      <c r="R191" s="31">
        <f>'IDLER REACTIONS Zone 5'!G33</f>
        <v>0</v>
      </c>
      <c r="S191" s="31">
        <f>'IDLER REACTIONS Zone 5'!H33+(R191*$D$6)</f>
        <v>0</v>
      </c>
      <c r="T191" s="32">
        <f>'IDLER REACTIONS Zone 5'!I33-(P191*$D$6)</f>
        <v>0</v>
      </c>
    </row>
    <row r="192" spans="11:20" ht="15.75" thickBot="1" x14ac:dyDescent="0.3">
      <c r="K192" s="146"/>
      <c r="M192" s="8"/>
      <c r="N192" s="8"/>
      <c r="O192" s="9"/>
      <c r="P192" s="9"/>
      <c r="Q192" s="9"/>
      <c r="R192" s="9"/>
      <c r="S192" s="9"/>
      <c r="T192" s="8"/>
    </row>
    <row r="193" spans="11:20" x14ac:dyDescent="0.25">
      <c r="K193" s="146"/>
      <c r="M193" s="449" t="s">
        <v>151</v>
      </c>
      <c r="N193" s="450"/>
      <c r="O193" s="450"/>
      <c r="P193" s="450"/>
      <c r="Q193" s="450"/>
      <c r="R193" s="450"/>
      <c r="S193" s="450"/>
      <c r="T193" s="451"/>
    </row>
    <row r="194" spans="11:20" ht="15.75" thickBot="1" x14ac:dyDescent="0.3">
      <c r="K194" s="146"/>
      <c r="M194" s="440"/>
      <c r="N194" s="441"/>
      <c r="O194" s="441"/>
      <c r="P194" s="442"/>
      <c r="Q194" s="442"/>
      <c r="R194" s="442"/>
      <c r="S194" s="442"/>
      <c r="T194" s="443"/>
    </row>
    <row r="195" spans="11:20" ht="60.75" thickBot="1" x14ac:dyDescent="0.3">
      <c r="K195" s="146"/>
      <c r="M195" s="25" t="s">
        <v>3</v>
      </c>
      <c r="N195" s="26" t="s">
        <v>60</v>
      </c>
      <c r="O195" s="27" t="s">
        <v>13</v>
      </c>
      <c r="P195" s="46" t="s">
        <v>44</v>
      </c>
      <c r="Q195" s="44" t="s">
        <v>4</v>
      </c>
      <c r="R195" s="44" t="s">
        <v>45</v>
      </c>
      <c r="S195" s="44" t="s">
        <v>47</v>
      </c>
      <c r="T195" s="45" t="s">
        <v>46</v>
      </c>
    </row>
    <row r="196" spans="11:20" x14ac:dyDescent="0.25">
      <c r="K196" s="146"/>
      <c r="M196" s="29">
        <v>1</v>
      </c>
      <c r="N196" s="28" t="s">
        <v>0</v>
      </c>
      <c r="O196" s="35" t="s">
        <v>16</v>
      </c>
      <c r="P196" s="21">
        <f>'IDLER REACTIONS Zone 5'!E38</f>
        <v>0</v>
      </c>
      <c r="Q196" s="21">
        <f>'IDLER REACTIONS Zone 5'!F38</f>
        <v>0</v>
      </c>
      <c r="R196" s="21">
        <f>'IDLER REACTIONS Zone 5'!G38</f>
        <v>0</v>
      </c>
      <c r="S196" s="21">
        <f>'IDLER REACTIONS Zone 5'!H38+(R196*$D$6)</f>
        <v>0</v>
      </c>
      <c r="T196" s="22">
        <f>'IDLER REACTIONS Zone 5'!I38-(P196*$D$6)</f>
        <v>0</v>
      </c>
    </row>
    <row r="197" spans="11:20" x14ac:dyDescent="0.25">
      <c r="K197" s="146"/>
      <c r="M197" s="10">
        <v>2</v>
      </c>
      <c r="N197" s="14" t="s">
        <v>20</v>
      </c>
      <c r="O197" s="34" t="s">
        <v>16</v>
      </c>
      <c r="P197" s="23">
        <f>'IDLER REACTIONS Zone 5'!E39</f>
        <v>0</v>
      </c>
      <c r="Q197" s="23">
        <f>'IDLER REACTIONS Zone 5'!F39</f>
        <v>0</v>
      </c>
      <c r="R197" s="23">
        <f>'IDLER REACTIONS Zone 5'!G39</f>
        <v>0</v>
      </c>
      <c r="S197" s="23">
        <f>'IDLER REACTIONS Zone 5'!H39+(R197*$D$6)</f>
        <v>0</v>
      </c>
      <c r="T197" s="24">
        <f>'IDLER REACTIONS Zone 5'!I39-(P197*$D$6)</f>
        <v>0</v>
      </c>
    </row>
    <row r="198" spans="11:20" x14ac:dyDescent="0.25">
      <c r="K198" s="146"/>
      <c r="M198" s="10">
        <v>3</v>
      </c>
      <c r="N198" s="14" t="s">
        <v>21</v>
      </c>
      <c r="O198" s="34" t="s">
        <v>16</v>
      </c>
      <c r="P198" s="23">
        <f>'IDLER REACTIONS Zone 5'!E40</f>
        <v>0</v>
      </c>
      <c r="Q198" s="23">
        <f>'IDLER REACTIONS Zone 5'!F40</f>
        <v>0</v>
      </c>
      <c r="R198" s="23">
        <f>'IDLER REACTIONS Zone 5'!G40</f>
        <v>0</v>
      </c>
      <c r="S198" s="23">
        <f>'IDLER REACTIONS Zone 5'!H40+(R198*$D$6)</f>
        <v>0</v>
      </c>
      <c r="T198" s="24">
        <f>'IDLER REACTIONS Zone 5'!I40-(P198*$D$6)</f>
        <v>0</v>
      </c>
    </row>
    <row r="199" spans="11:20" x14ac:dyDescent="0.25">
      <c r="K199" s="146"/>
      <c r="M199" s="10">
        <v>4</v>
      </c>
      <c r="N199" s="14" t="s">
        <v>22</v>
      </c>
      <c r="O199" s="34" t="s">
        <v>16</v>
      </c>
      <c r="P199" s="23">
        <f>'IDLER REACTIONS Zone 5'!E41</f>
        <v>0</v>
      </c>
      <c r="Q199" s="23">
        <f>'IDLER REACTIONS Zone 5'!F41</f>
        <v>0</v>
      </c>
      <c r="R199" s="23">
        <f>'IDLER REACTIONS Zone 5'!G41</f>
        <v>0</v>
      </c>
      <c r="S199" s="23">
        <f>'IDLER REACTIONS Zone 5'!H41+(R199*$D$6)</f>
        <v>0</v>
      </c>
      <c r="T199" s="24">
        <f>'IDLER REACTIONS Zone 5'!I41-(P199*$D$6)</f>
        <v>0</v>
      </c>
    </row>
    <row r="200" spans="11:20" x14ac:dyDescent="0.25">
      <c r="K200" s="146"/>
      <c r="M200" s="10">
        <v>5</v>
      </c>
      <c r="N200" s="14" t="s">
        <v>35</v>
      </c>
      <c r="O200" s="34" t="s">
        <v>16</v>
      </c>
      <c r="P200" s="23">
        <f>'IDLER REACTIONS Zone 5'!E42</f>
        <v>0</v>
      </c>
      <c r="Q200" s="23">
        <f>'IDLER REACTIONS Zone 5'!F42</f>
        <v>0</v>
      </c>
      <c r="R200" s="23">
        <f>'IDLER REACTIONS Zone 5'!G42</f>
        <v>0</v>
      </c>
      <c r="S200" s="23">
        <f>'IDLER REACTIONS Zone 5'!H42+(R200*$D$6)</f>
        <v>0</v>
      </c>
      <c r="T200" s="24">
        <f>'IDLER REACTIONS Zone 5'!I42-(P200*$D$6)</f>
        <v>0</v>
      </c>
    </row>
    <row r="201" spans="11:20" x14ac:dyDescent="0.25">
      <c r="K201" s="146"/>
      <c r="M201" s="10">
        <v>6</v>
      </c>
      <c r="N201" s="14" t="s">
        <v>36</v>
      </c>
      <c r="O201" s="34" t="s">
        <v>16</v>
      </c>
      <c r="P201" s="23">
        <f>'IDLER REACTIONS Zone 5'!E43</f>
        <v>0</v>
      </c>
      <c r="Q201" s="23">
        <f>'IDLER REACTIONS Zone 5'!F43</f>
        <v>0</v>
      </c>
      <c r="R201" s="23">
        <f>'IDLER REACTIONS Zone 5'!G43</f>
        <v>0</v>
      </c>
      <c r="S201" s="23">
        <f>'IDLER REACTIONS Zone 5'!H43+(R201*$D$6)</f>
        <v>0</v>
      </c>
      <c r="T201" s="24">
        <f>'IDLER REACTIONS Zone 5'!I43-(P201*$D$6)</f>
        <v>0</v>
      </c>
    </row>
    <row r="202" spans="11:20" x14ac:dyDescent="0.25">
      <c r="K202" s="146"/>
      <c r="M202" s="10">
        <v>7</v>
      </c>
      <c r="N202" s="14" t="s">
        <v>33</v>
      </c>
      <c r="O202" s="34" t="s">
        <v>16</v>
      </c>
      <c r="P202" s="23">
        <f>'IDLER REACTIONS Zone 5'!E44</f>
        <v>0</v>
      </c>
      <c r="Q202" s="23">
        <f>'IDLER REACTIONS Zone 5'!F44</f>
        <v>0</v>
      </c>
      <c r="R202" s="23">
        <f>'IDLER REACTIONS Zone 5'!G44</f>
        <v>0</v>
      </c>
      <c r="S202" s="23">
        <f>'IDLER REACTIONS Zone 5'!H44+(R202*$D$6)</f>
        <v>0</v>
      </c>
      <c r="T202" s="24">
        <f>'IDLER REACTIONS Zone 5'!I44-(P202*$D$6)</f>
        <v>0</v>
      </c>
    </row>
    <row r="203" spans="11:20" x14ac:dyDescent="0.25">
      <c r="K203" s="146"/>
      <c r="M203" s="10">
        <v>8</v>
      </c>
      <c r="N203" s="14" t="s">
        <v>34</v>
      </c>
      <c r="O203" s="34" t="s">
        <v>16</v>
      </c>
      <c r="P203" s="23">
        <f>'IDLER REACTIONS Zone 5'!E45</f>
        <v>0</v>
      </c>
      <c r="Q203" s="23">
        <f>'IDLER REACTIONS Zone 5'!F45</f>
        <v>0</v>
      </c>
      <c r="R203" s="23">
        <f>'IDLER REACTIONS Zone 5'!G45</f>
        <v>0</v>
      </c>
      <c r="S203" s="23">
        <f>'IDLER REACTIONS Zone 5'!H45+(R203*$D$6)</f>
        <v>0</v>
      </c>
      <c r="T203" s="24">
        <f>'IDLER REACTIONS Zone 5'!I45-(P203*$D$6)</f>
        <v>0</v>
      </c>
    </row>
    <row r="204" spans="11:20" x14ac:dyDescent="0.25">
      <c r="K204" s="146"/>
      <c r="M204" s="10">
        <v>9</v>
      </c>
      <c r="N204" s="14" t="s">
        <v>23</v>
      </c>
      <c r="O204" s="34" t="s">
        <v>16</v>
      </c>
      <c r="P204" s="23">
        <f>'IDLER REACTIONS Zone 5'!E46</f>
        <v>0</v>
      </c>
      <c r="Q204" s="23">
        <f>'IDLER REACTIONS Zone 5'!F46</f>
        <v>0</v>
      </c>
      <c r="R204" s="23">
        <f>'IDLER REACTIONS Zone 5'!G46</f>
        <v>0</v>
      </c>
      <c r="S204" s="23">
        <f>'IDLER REACTIONS Zone 5'!H46+(R204*$D$6)</f>
        <v>0</v>
      </c>
      <c r="T204" s="24">
        <f>'IDLER REACTIONS Zone 5'!I46-(P204*$D$6)</f>
        <v>0</v>
      </c>
    </row>
    <row r="205" spans="11:20" x14ac:dyDescent="0.25">
      <c r="K205" s="146"/>
      <c r="M205" s="10">
        <v>10</v>
      </c>
      <c r="N205" s="14" t="s">
        <v>24</v>
      </c>
      <c r="O205" s="34" t="s">
        <v>16</v>
      </c>
      <c r="P205" s="23">
        <f>'IDLER REACTIONS Zone 5'!E47</f>
        <v>0</v>
      </c>
      <c r="Q205" s="23">
        <f>'IDLER REACTIONS Zone 5'!F47</f>
        <v>0</v>
      </c>
      <c r="R205" s="23">
        <f>'IDLER REACTIONS Zone 5'!G47</f>
        <v>0</v>
      </c>
      <c r="S205" s="23">
        <f>'IDLER REACTIONS Zone 5'!H47+(R205*$D$6)</f>
        <v>0</v>
      </c>
      <c r="T205" s="24">
        <f>'IDLER REACTIONS Zone 5'!I47-(P205*$D$6)</f>
        <v>0</v>
      </c>
    </row>
    <row r="206" spans="11:20" x14ac:dyDescent="0.25">
      <c r="K206" s="146"/>
      <c r="M206" s="10">
        <v>11</v>
      </c>
      <c r="N206" s="14" t="s">
        <v>25</v>
      </c>
      <c r="O206" s="34" t="s">
        <v>16</v>
      </c>
      <c r="P206" s="23">
        <f>'IDLER REACTIONS Zone 5'!E48</f>
        <v>0</v>
      </c>
      <c r="Q206" s="23">
        <f>'IDLER REACTIONS Zone 5'!F48</f>
        <v>0</v>
      </c>
      <c r="R206" s="23">
        <f>'IDLER REACTIONS Zone 5'!G48</f>
        <v>0</v>
      </c>
      <c r="S206" s="23">
        <f>'IDLER REACTIONS Zone 5'!H48+(R206*$D$6)</f>
        <v>0</v>
      </c>
      <c r="T206" s="24">
        <f>'IDLER REACTIONS Zone 5'!I48-(P206*$D$6)</f>
        <v>0</v>
      </c>
    </row>
    <row r="207" spans="11:20" x14ac:dyDescent="0.25">
      <c r="K207" s="146"/>
      <c r="M207" s="10">
        <v>12</v>
      </c>
      <c r="N207" s="14" t="s">
        <v>26</v>
      </c>
      <c r="O207" s="34" t="s">
        <v>16</v>
      </c>
      <c r="P207" s="23">
        <f>'IDLER REACTIONS Zone 5'!E49</f>
        <v>0</v>
      </c>
      <c r="Q207" s="23">
        <f>'IDLER REACTIONS Zone 5'!F49</f>
        <v>0</v>
      </c>
      <c r="R207" s="23">
        <f>'IDLER REACTIONS Zone 5'!G49</f>
        <v>0</v>
      </c>
      <c r="S207" s="23">
        <f>'IDLER REACTIONS Zone 5'!H49+(R207*$D$6)</f>
        <v>0</v>
      </c>
      <c r="T207" s="24">
        <f>'IDLER REACTIONS Zone 5'!I49-(P207*$D$6)</f>
        <v>0</v>
      </c>
    </row>
    <row r="208" spans="11:20" x14ac:dyDescent="0.25">
      <c r="K208" s="146"/>
      <c r="M208" s="10">
        <v>13</v>
      </c>
      <c r="N208" s="14" t="s">
        <v>27</v>
      </c>
      <c r="O208" s="34" t="s">
        <v>16</v>
      </c>
      <c r="P208" s="23">
        <f>'IDLER REACTIONS Zone 5'!E50</f>
        <v>0</v>
      </c>
      <c r="Q208" s="23">
        <f>'IDLER REACTIONS Zone 5'!F50</f>
        <v>0</v>
      </c>
      <c r="R208" s="23">
        <f>'IDLER REACTIONS Zone 5'!G50</f>
        <v>0</v>
      </c>
      <c r="S208" s="23">
        <f>'IDLER REACTIONS Zone 5'!H50+(R208*$D$6)</f>
        <v>0</v>
      </c>
      <c r="T208" s="24">
        <f>'IDLER REACTIONS Zone 5'!I50-(P208*$D$6)</f>
        <v>0</v>
      </c>
    </row>
    <row r="209" spans="11:20" x14ac:dyDescent="0.25">
      <c r="K209" s="146"/>
      <c r="M209" s="10">
        <v>14</v>
      </c>
      <c r="N209" s="14" t="s">
        <v>28</v>
      </c>
      <c r="O209" s="34" t="s">
        <v>16</v>
      </c>
      <c r="P209" s="23">
        <f>'IDLER REACTIONS Zone 5'!E51</f>
        <v>0</v>
      </c>
      <c r="Q209" s="23">
        <f>'IDLER REACTIONS Zone 5'!F51</f>
        <v>0</v>
      </c>
      <c r="R209" s="23">
        <f>'IDLER REACTIONS Zone 5'!G51</f>
        <v>0</v>
      </c>
      <c r="S209" s="23">
        <f>'IDLER REACTIONS Zone 5'!H51+(R209*$D$6)</f>
        <v>0</v>
      </c>
      <c r="T209" s="24">
        <f>'IDLER REACTIONS Zone 5'!I51-(P209*$D$6)</f>
        <v>0</v>
      </c>
    </row>
    <row r="210" spans="11:20" x14ac:dyDescent="0.25">
      <c r="K210" s="146"/>
      <c r="M210" s="10">
        <v>15</v>
      </c>
      <c r="N210" s="14" t="s">
        <v>29</v>
      </c>
      <c r="O210" s="34" t="s">
        <v>16</v>
      </c>
      <c r="P210" s="23">
        <f>'IDLER REACTIONS Zone 5'!E52</f>
        <v>0</v>
      </c>
      <c r="Q210" s="23">
        <f>'IDLER REACTIONS Zone 5'!F52</f>
        <v>0</v>
      </c>
      <c r="R210" s="23">
        <f>'IDLER REACTIONS Zone 5'!G52</f>
        <v>0</v>
      </c>
      <c r="S210" s="23">
        <f>'IDLER REACTIONS Zone 5'!H52+(R210*$D$6)</f>
        <v>0</v>
      </c>
      <c r="T210" s="24">
        <f>'IDLER REACTIONS Zone 5'!I52-(P210*$D$6)</f>
        <v>0</v>
      </c>
    </row>
    <row r="211" spans="11:20" x14ac:dyDescent="0.25">
      <c r="K211" s="146"/>
      <c r="M211" s="10">
        <v>16</v>
      </c>
      <c r="N211" s="14" t="s">
        <v>30</v>
      </c>
      <c r="O211" s="34" t="s">
        <v>16</v>
      </c>
      <c r="P211" s="23">
        <f>'IDLER REACTIONS Zone 5'!E53</f>
        <v>0</v>
      </c>
      <c r="Q211" s="23">
        <f>'IDLER REACTIONS Zone 5'!F53</f>
        <v>0</v>
      </c>
      <c r="R211" s="23">
        <f>'IDLER REACTIONS Zone 5'!G53</f>
        <v>0</v>
      </c>
      <c r="S211" s="23">
        <f>'IDLER REACTIONS Zone 5'!H53+(R211*$D$6)</f>
        <v>0</v>
      </c>
      <c r="T211" s="24">
        <f>'IDLER REACTIONS Zone 5'!I53-(P211*$D$6)</f>
        <v>0</v>
      </c>
    </row>
    <row r="212" spans="11:20" x14ac:dyDescent="0.25">
      <c r="K212" s="146"/>
      <c r="M212" s="10">
        <v>17</v>
      </c>
      <c r="N212" s="14" t="s">
        <v>31</v>
      </c>
      <c r="O212" s="34" t="s">
        <v>16</v>
      </c>
      <c r="P212" s="23">
        <f>'IDLER REACTIONS Zone 5'!E54</f>
        <v>0</v>
      </c>
      <c r="Q212" s="23">
        <f>'IDLER REACTIONS Zone 5'!F54</f>
        <v>0</v>
      </c>
      <c r="R212" s="23">
        <f>'IDLER REACTIONS Zone 5'!G54</f>
        <v>0</v>
      </c>
      <c r="S212" s="23">
        <f>'IDLER REACTIONS Zone 5'!H54+(R212*$D$6)</f>
        <v>0</v>
      </c>
      <c r="T212" s="24">
        <f>'IDLER REACTIONS Zone 5'!I54-(P212*$D$6)</f>
        <v>0</v>
      </c>
    </row>
    <row r="213" spans="11:20" x14ac:dyDescent="0.25">
      <c r="K213" s="146"/>
      <c r="M213" s="10">
        <v>18</v>
      </c>
      <c r="N213" s="14" t="s">
        <v>32</v>
      </c>
      <c r="O213" s="34" t="s">
        <v>16</v>
      </c>
      <c r="P213" s="23">
        <f>'IDLER REACTIONS Zone 5'!E55</f>
        <v>0</v>
      </c>
      <c r="Q213" s="23">
        <f>'IDLER REACTIONS Zone 5'!F55</f>
        <v>0</v>
      </c>
      <c r="R213" s="23">
        <f>'IDLER REACTIONS Zone 5'!G55</f>
        <v>0</v>
      </c>
      <c r="S213" s="23">
        <f>'IDLER REACTIONS Zone 5'!H55+(R213*$D$6)</f>
        <v>0</v>
      </c>
      <c r="T213" s="24">
        <f>'IDLER REACTIONS Zone 5'!I55-(P213*$D$6)</f>
        <v>0</v>
      </c>
    </row>
    <row r="214" spans="11:20" x14ac:dyDescent="0.25">
      <c r="K214" s="146"/>
      <c r="M214" s="10">
        <v>19</v>
      </c>
      <c r="N214" s="14" t="s">
        <v>37</v>
      </c>
      <c r="O214" s="34" t="s">
        <v>16</v>
      </c>
      <c r="P214" s="23">
        <f>'IDLER REACTIONS Zone 5'!E56</f>
        <v>0</v>
      </c>
      <c r="Q214" s="23">
        <f>'IDLER REACTIONS Zone 5'!F56</f>
        <v>0</v>
      </c>
      <c r="R214" s="23">
        <f>'IDLER REACTIONS Zone 5'!G56</f>
        <v>0</v>
      </c>
      <c r="S214" s="23">
        <f>'IDLER REACTIONS Zone 5'!H56+(R214*$D$6)</f>
        <v>0</v>
      </c>
      <c r="T214" s="24">
        <f>'IDLER REACTIONS Zone 5'!I56-(P214*$D$6)</f>
        <v>0</v>
      </c>
    </row>
    <row r="215" spans="11:20" x14ac:dyDescent="0.25">
      <c r="K215" s="146"/>
      <c r="M215" s="10">
        <v>20</v>
      </c>
      <c r="N215" s="14" t="s">
        <v>38</v>
      </c>
      <c r="O215" s="34" t="s">
        <v>16</v>
      </c>
      <c r="P215" s="23">
        <f>'IDLER REACTIONS Zone 5'!E57</f>
        <v>0</v>
      </c>
      <c r="Q215" s="23">
        <f>'IDLER REACTIONS Zone 5'!F57</f>
        <v>0</v>
      </c>
      <c r="R215" s="23">
        <f>'IDLER REACTIONS Zone 5'!G57</f>
        <v>0</v>
      </c>
      <c r="S215" s="23">
        <f>'IDLER REACTIONS Zone 5'!H57+(R215*$D$6)</f>
        <v>0</v>
      </c>
      <c r="T215" s="24">
        <f>'IDLER REACTIONS Zone 5'!I57-(P215*$D$6)</f>
        <v>0</v>
      </c>
    </row>
    <row r="216" spans="11:20" x14ac:dyDescent="0.25">
      <c r="K216" s="146"/>
      <c r="M216" s="10">
        <v>21</v>
      </c>
      <c r="N216" s="14" t="s">
        <v>39</v>
      </c>
      <c r="O216" s="34" t="s">
        <v>16</v>
      </c>
      <c r="P216" s="23">
        <f>'IDLER REACTIONS Zone 5'!E58</f>
        <v>0</v>
      </c>
      <c r="Q216" s="23">
        <f>'IDLER REACTIONS Zone 5'!F58</f>
        <v>0</v>
      </c>
      <c r="R216" s="23">
        <f>'IDLER REACTIONS Zone 5'!G58</f>
        <v>0</v>
      </c>
      <c r="S216" s="23">
        <f>'IDLER REACTIONS Zone 5'!H58+(R216*$D$6)</f>
        <v>0</v>
      </c>
      <c r="T216" s="24">
        <f>'IDLER REACTIONS Zone 5'!I58-(P216*$D$6)</f>
        <v>0</v>
      </c>
    </row>
    <row r="217" spans="11:20" ht="15.75" thickBot="1" x14ac:dyDescent="0.3">
      <c r="K217" s="146"/>
      <c r="M217" s="13">
        <v>22</v>
      </c>
      <c r="N217" s="15" t="s">
        <v>40</v>
      </c>
      <c r="O217" s="36" t="s">
        <v>16</v>
      </c>
      <c r="P217" s="31">
        <f>'IDLER REACTIONS Zone 5'!E59</f>
        <v>0</v>
      </c>
      <c r="Q217" s="31">
        <f>'IDLER REACTIONS Zone 5'!F59</f>
        <v>0</v>
      </c>
      <c r="R217" s="31">
        <f>'IDLER REACTIONS Zone 5'!G59</f>
        <v>0</v>
      </c>
      <c r="S217" s="31">
        <f>'IDLER REACTIONS Zone 5'!H59+(R217*$D$6)</f>
        <v>0</v>
      </c>
      <c r="T217" s="32">
        <f>'IDLER REACTIONS Zone 5'!I59-(P217*$D$6)</f>
        <v>0</v>
      </c>
    </row>
  </sheetData>
  <mergeCells count="29">
    <mergeCell ref="M62:T62"/>
    <mergeCell ref="M87:T87"/>
    <mergeCell ref="M88:T88"/>
    <mergeCell ref="M114:T114"/>
    <mergeCell ref="B2:C2"/>
    <mergeCell ref="B3:C3"/>
    <mergeCell ref="B8:I8"/>
    <mergeCell ref="B9:I9"/>
    <mergeCell ref="B34:I34"/>
    <mergeCell ref="B4:C4"/>
    <mergeCell ref="B5:C5"/>
    <mergeCell ref="M8:T8"/>
    <mergeCell ref="M9:T9"/>
    <mergeCell ref="M34:T34"/>
    <mergeCell ref="M35:T35"/>
    <mergeCell ref="M61:T61"/>
    <mergeCell ref="B6:C6"/>
    <mergeCell ref="B61:I61"/>
    <mergeCell ref="B62:I62"/>
    <mergeCell ref="B87:I87"/>
    <mergeCell ref="B88:I88"/>
    <mergeCell ref="B35:I35"/>
    <mergeCell ref="M194:T194"/>
    <mergeCell ref="M115:T115"/>
    <mergeCell ref="M141:T141"/>
    <mergeCell ref="M167:T167"/>
    <mergeCell ref="M168:T168"/>
    <mergeCell ref="M193:T193"/>
    <mergeCell ref="M140:T14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FB03D-3440-457E-B764-54FA42A6583A}">
  <sheetPr codeName="Sheet12">
    <pageSetUpPr fitToPage="1"/>
  </sheetPr>
  <dimension ref="A2:BH135"/>
  <sheetViews>
    <sheetView zoomScale="80" zoomScaleNormal="80" workbookViewId="0">
      <selection activeCell="N12" sqref="N12"/>
    </sheetView>
  </sheetViews>
  <sheetFormatPr defaultRowHeight="15" x14ac:dyDescent="0.25"/>
  <cols>
    <col min="1" max="1" width="3" customWidth="1"/>
    <col min="2" max="2" width="2.7109375" customWidth="1"/>
    <col min="3" max="3" width="50.7109375" customWidth="1"/>
    <col min="4" max="4" width="10.7109375" style="8" customWidth="1"/>
    <col min="5" max="8" width="10.7109375" customWidth="1"/>
    <col min="9" max="9" width="2" customWidth="1"/>
    <col min="10" max="12" width="10.7109375" customWidth="1"/>
    <col min="13" max="13" width="18" customWidth="1"/>
    <col min="14" max="14" width="9.28515625" customWidth="1"/>
    <col min="15" max="15" width="1.42578125" customWidth="1"/>
    <col min="16" max="16" width="30.7109375" customWidth="1"/>
    <col min="17" max="17" width="4.28515625" customWidth="1"/>
    <col min="18" max="18" width="4.42578125" bestFit="1" customWidth="1"/>
    <col min="19" max="19" width="50.7109375" customWidth="1"/>
    <col min="20" max="24" width="10.7109375" customWidth="1"/>
    <col min="25" max="25" width="2.28515625" customWidth="1"/>
    <col min="26" max="30" width="10.7109375" customWidth="1"/>
    <col min="31" max="31" width="30.7109375" customWidth="1"/>
    <col min="32" max="33" width="4.7109375" customWidth="1"/>
    <col min="34" max="34" width="50.7109375" customWidth="1"/>
    <col min="35" max="39" width="10.7109375" customWidth="1"/>
    <col min="40" max="40" width="4.7109375" customWidth="1"/>
    <col min="41" max="45" width="10.7109375" customWidth="1"/>
    <col min="46" max="46" width="30.7109375" customWidth="1"/>
    <col min="47" max="48" width="4.7109375" customWidth="1"/>
    <col min="49" max="49" width="50.7109375" customWidth="1"/>
    <col min="50" max="54" width="10.7109375" customWidth="1"/>
    <col min="55" max="55" width="4.7109375" customWidth="1"/>
    <col min="56" max="60" width="10.7109375" customWidth="1"/>
  </cols>
  <sheetData>
    <row r="2" spans="3:20" ht="15.75" thickBot="1" x14ac:dyDescent="0.3">
      <c r="F2" s="8"/>
      <c r="G2" s="8"/>
    </row>
    <row r="3" spans="3:20" ht="15.75" thickBot="1" x14ac:dyDescent="0.3">
      <c r="C3" s="395" t="s">
        <v>128</v>
      </c>
      <c r="D3" s="396"/>
      <c r="O3" s="7"/>
      <c r="S3" s="395" t="s">
        <v>128</v>
      </c>
      <c r="T3" s="396"/>
    </row>
    <row r="4" spans="3:20" x14ac:dyDescent="0.25">
      <c r="C4" s="142" t="s">
        <v>126</v>
      </c>
      <c r="D4" s="141">
        <v>6</v>
      </c>
      <c r="S4" s="134" t="s">
        <v>126</v>
      </c>
      <c r="T4" s="133">
        <f>D4</f>
        <v>6</v>
      </c>
    </row>
    <row r="5" spans="3:20" x14ac:dyDescent="0.25">
      <c r="C5" s="131" t="s">
        <v>125</v>
      </c>
      <c r="D5" s="130">
        <v>4</v>
      </c>
      <c r="S5" s="131" t="s">
        <v>125</v>
      </c>
      <c r="T5" s="141">
        <f t="shared" ref="T5:T16" si="0">D5</f>
        <v>4</v>
      </c>
    </row>
    <row r="6" spans="3:20" x14ac:dyDescent="0.25">
      <c r="C6" s="131" t="s">
        <v>124</v>
      </c>
      <c r="D6" s="130">
        <v>2</v>
      </c>
      <c r="S6" s="131" t="s">
        <v>124</v>
      </c>
      <c r="T6" s="141">
        <f t="shared" si="0"/>
        <v>2</v>
      </c>
    </row>
    <row r="7" spans="3:20" x14ac:dyDescent="0.25">
      <c r="C7" s="131" t="s">
        <v>123</v>
      </c>
      <c r="D7" s="24">
        <f>D4*D5*D6*D8</f>
        <v>6960</v>
      </c>
      <c r="S7" s="131" t="s">
        <v>123</v>
      </c>
      <c r="T7" s="141">
        <f t="shared" si="0"/>
        <v>6960</v>
      </c>
    </row>
    <row r="8" spans="3:20" x14ac:dyDescent="0.25">
      <c r="C8" s="131" t="s">
        <v>122</v>
      </c>
      <c r="D8" s="24">
        <v>145</v>
      </c>
      <c r="S8" s="131" t="s">
        <v>122</v>
      </c>
      <c r="T8" s="141">
        <f t="shared" si="0"/>
        <v>145</v>
      </c>
    </row>
    <row r="9" spans="3:20" x14ac:dyDescent="0.25">
      <c r="C9" s="131" t="s">
        <v>121</v>
      </c>
      <c r="D9" s="130">
        <v>0.56999999999999995</v>
      </c>
      <c r="S9" s="131" t="s">
        <v>121</v>
      </c>
      <c r="T9" s="141">
        <f t="shared" si="0"/>
        <v>0.56999999999999995</v>
      </c>
    </row>
    <row r="10" spans="3:20" x14ac:dyDescent="0.25">
      <c r="C10" s="131" t="s">
        <v>120</v>
      </c>
      <c r="D10" s="130">
        <v>2</v>
      </c>
      <c r="F10" s="7"/>
      <c r="G10" s="7"/>
      <c r="S10" s="131" t="s">
        <v>120</v>
      </c>
      <c r="T10" s="141">
        <f t="shared" si="0"/>
        <v>2</v>
      </c>
    </row>
    <row r="11" spans="3:20" x14ac:dyDescent="0.25">
      <c r="C11" s="131" t="s">
        <v>119</v>
      </c>
      <c r="D11" s="24">
        <v>100</v>
      </c>
      <c r="F11" s="1"/>
      <c r="S11" s="131" t="s">
        <v>119</v>
      </c>
      <c r="T11" s="141">
        <f t="shared" si="0"/>
        <v>100</v>
      </c>
    </row>
    <row r="12" spans="3:20" x14ac:dyDescent="0.25">
      <c r="C12" s="131" t="s">
        <v>118</v>
      </c>
      <c r="D12" s="132"/>
      <c r="S12" s="131" t="s">
        <v>118</v>
      </c>
      <c r="T12" s="141">
        <f>D12</f>
        <v>0</v>
      </c>
    </row>
    <row r="13" spans="3:20" x14ac:dyDescent="0.25">
      <c r="C13" s="131" t="s">
        <v>117</v>
      </c>
      <c r="D13" s="24"/>
      <c r="S13" s="131" t="s">
        <v>117</v>
      </c>
      <c r="T13" s="141">
        <f>D13</f>
        <v>0</v>
      </c>
    </row>
    <row r="14" spans="3:20" x14ac:dyDescent="0.25">
      <c r="C14" s="131" t="s">
        <v>116</v>
      </c>
      <c r="D14" s="132">
        <v>0.56999999999999995</v>
      </c>
      <c r="S14" s="131" t="s">
        <v>116</v>
      </c>
      <c r="T14" s="141">
        <f t="shared" si="0"/>
        <v>0.56999999999999995</v>
      </c>
    </row>
    <row r="15" spans="3:20" x14ac:dyDescent="0.25">
      <c r="C15" s="131" t="s">
        <v>115</v>
      </c>
      <c r="D15" s="130">
        <v>2</v>
      </c>
      <c r="S15" s="131" t="s">
        <v>115</v>
      </c>
      <c r="T15" s="141">
        <f t="shared" si="0"/>
        <v>2</v>
      </c>
    </row>
    <row r="16" spans="3:20" ht="15.75" thickBot="1" x14ac:dyDescent="0.3">
      <c r="C16" s="129" t="s">
        <v>114</v>
      </c>
      <c r="D16" s="128">
        <v>100</v>
      </c>
      <c r="S16" s="129" t="s">
        <v>114</v>
      </c>
      <c r="T16" s="147">
        <f t="shared" si="0"/>
        <v>100</v>
      </c>
    </row>
    <row r="17" spans="1:30" ht="15.75" thickBot="1" x14ac:dyDescent="0.3"/>
    <row r="18" spans="1:30" ht="15.75" thickBot="1" x14ac:dyDescent="0.3">
      <c r="C18" s="496" t="s">
        <v>152</v>
      </c>
      <c r="D18" s="497"/>
      <c r="E18" s="497"/>
      <c r="F18" s="497"/>
      <c r="G18" s="497"/>
      <c r="H18" s="497"/>
      <c r="I18" s="497"/>
      <c r="J18" s="498"/>
      <c r="K18" s="498"/>
      <c r="L18" s="498"/>
      <c r="M18" s="498"/>
      <c r="N18" s="499"/>
      <c r="S18" s="501" t="s">
        <v>152</v>
      </c>
      <c r="T18" s="502"/>
      <c r="U18" s="502"/>
      <c r="V18" s="502"/>
      <c r="W18" s="502"/>
      <c r="X18" s="502"/>
      <c r="Y18" s="502"/>
      <c r="Z18" s="503"/>
      <c r="AA18" s="503"/>
      <c r="AB18" s="503"/>
      <c r="AC18" s="503"/>
      <c r="AD18" s="504"/>
    </row>
    <row r="19" spans="1:30" ht="15.75" thickBot="1" x14ac:dyDescent="0.3">
      <c r="C19" s="140" t="s">
        <v>19</v>
      </c>
      <c r="D19" s="139" t="s">
        <v>113</v>
      </c>
      <c r="E19" s="138" t="s">
        <v>112</v>
      </c>
      <c r="F19" s="137" t="s">
        <v>111</v>
      </c>
      <c r="G19" s="137" t="s">
        <v>110</v>
      </c>
      <c r="H19" s="137" t="s">
        <v>109</v>
      </c>
      <c r="I19" s="122"/>
      <c r="J19" s="121" t="s">
        <v>108</v>
      </c>
      <c r="K19" s="120" t="s">
        <v>107</v>
      </c>
      <c r="L19" s="120" t="s">
        <v>106</v>
      </c>
      <c r="M19" s="120" t="s">
        <v>105</v>
      </c>
      <c r="N19" s="119" t="s">
        <v>104</v>
      </c>
      <c r="S19" s="140" t="s">
        <v>19</v>
      </c>
      <c r="T19" s="139" t="s">
        <v>113</v>
      </c>
      <c r="U19" s="138" t="s">
        <v>112</v>
      </c>
      <c r="V19" s="137" t="s">
        <v>111</v>
      </c>
      <c r="W19" s="137" t="s">
        <v>110</v>
      </c>
      <c r="X19" s="137" t="s">
        <v>109</v>
      </c>
      <c r="Y19" s="122"/>
      <c r="Z19" s="121" t="s">
        <v>108</v>
      </c>
      <c r="AA19" s="120" t="s">
        <v>107</v>
      </c>
      <c r="AB19" s="119" t="s">
        <v>106</v>
      </c>
      <c r="AC19" s="149" t="s">
        <v>105</v>
      </c>
      <c r="AD19" s="119" t="s">
        <v>104</v>
      </c>
    </row>
    <row r="20" spans="1:30" x14ac:dyDescent="0.25">
      <c r="A20" s="8">
        <v>1</v>
      </c>
      <c r="B20" s="108">
        <v>1</v>
      </c>
      <c r="C20" s="118" t="s">
        <v>0</v>
      </c>
      <c r="D20" s="21">
        <f>'Post Reactions '!E11</f>
        <v>0</v>
      </c>
      <c r="E20" s="21">
        <f>'Post Reactions '!F11</f>
        <v>0</v>
      </c>
      <c r="F20" s="21">
        <f>'Post Reactions '!G11</f>
        <v>0</v>
      </c>
      <c r="G20" s="21">
        <f>'Post Reactions '!H11/12</f>
        <v>0</v>
      </c>
      <c r="H20" s="22">
        <f>'Post Reactions '!I11/12</f>
        <v>0</v>
      </c>
      <c r="I20" s="8"/>
      <c r="J20" s="117">
        <f t="shared" ref="J20:J29" si="1">ABS((D20*($D$6+$D$10)))+ABS(H20)+IF(E20&lt;0,ABS(E20*($D$4/2)))</f>
        <v>0</v>
      </c>
      <c r="K20" s="116">
        <f t="shared" ref="K20:K27" si="2">$D$7*($D$4/2)+$D$11*$D$10*$D$4*$D$5*($D$4/2)+IF(E20&gt;0, ABS(E20*$D$4/2),0)</f>
        <v>35280</v>
      </c>
      <c r="L20" s="115" t="e">
        <f t="shared" ref="L20:L41" si="3">K20/J20</f>
        <v>#DIV/0!</v>
      </c>
      <c r="M20" s="110">
        <f t="shared" ref="M20:M41" si="4">($D$14*(E20+$D$7*B20))</f>
        <v>3967.2</v>
      </c>
      <c r="N20" s="114" t="str">
        <f t="shared" ref="N20:N29" si="5">IFERROR(M20/SQRT(D20^2+F20^2),"")</f>
        <v/>
      </c>
      <c r="Q20" s="8">
        <v>1</v>
      </c>
      <c r="R20" s="108">
        <v>1</v>
      </c>
      <c r="S20" s="118" t="s">
        <v>0</v>
      </c>
      <c r="T20" s="21">
        <f>'Post Reactions '!E64</f>
        <v>0</v>
      </c>
      <c r="U20" s="21">
        <f>'Post Reactions '!F64</f>
        <v>0</v>
      </c>
      <c r="V20" s="21">
        <f>'Post Reactions '!G64</f>
        <v>0</v>
      </c>
      <c r="W20" s="21">
        <f>'Post Reactions '!H64/12</f>
        <v>0</v>
      </c>
      <c r="X20" s="22">
        <f>'Post Reactions '!I64/12</f>
        <v>0</v>
      </c>
      <c r="Y20" s="8"/>
      <c r="Z20" s="117">
        <f t="shared" ref="Z20:Z29" si="6">ABS((T20*($T$6+$T$10)))+ABS(X20)+IF(U20&lt;0,ABS(U20*($T$4/2)))</f>
        <v>0</v>
      </c>
      <c r="AA20" s="116">
        <f t="shared" ref="AA20:AA27" si="7">$T$7*($T$4/2)+$T$11*$T$10*$T$4*$T$5*($T$4/2)+IF(U20&gt;0, ABS(U20*$T$4/2),0)</f>
        <v>35280</v>
      </c>
      <c r="AB20" s="115" t="e">
        <f t="shared" ref="AB20:AB41" si="8">AA20/Z20</f>
        <v>#DIV/0!</v>
      </c>
      <c r="AC20" s="110">
        <f t="shared" ref="AC20:AC41" si="9">($T$14*(U20+$T$7*R20))</f>
        <v>3967.2</v>
      </c>
      <c r="AD20" s="114" t="str">
        <f t="shared" ref="AD20:AD29" si="10">IFERROR(AC20/SQRT(T20^2+V20^2),"")</f>
        <v/>
      </c>
    </row>
    <row r="21" spans="1:30" x14ac:dyDescent="0.25">
      <c r="A21" s="8">
        <v>2</v>
      </c>
      <c r="B21" s="108">
        <v>1</v>
      </c>
      <c r="C21" s="112" t="s">
        <v>20</v>
      </c>
      <c r="D21" s="23">
        <f>'Post Reactions '!E12</f>
        <v>0</v>
      </c>
      <c r="E21" s="23">
        <f>'Post Reactions '!F12</f>
        <v>0</v>
      </c>
      <c r="F21" s="23">
        <f>'Post Reactions '!G12</f>
        <v>0</v>
      </c>
      <c r="G21" s="23">
        <f>'Post Reactions '!H12/12</f>
        <v>0</v>
      </c>
      <c r="H21" s="24">
        <f>'Post Reactions '!I12/12</f>
        <v>0</v>
      </c>
      <c r="I21" s="8"/>
      <c r="J21" s="30">
        <f t="shared" si="1"/>
        <v>0</v>
      </c>
      <c r="K21" s="23">
        <f t="shared" si="2"/>
        <v>35280</v>
      </c>
      <c r="L21" s="111" t="e">
        <f t="shared" si="3"/>
        <v>#DIV/0!</v>
      </c>
      <c r="M21" s="136">
        <f t="shared" si="4"/>
        <v>3967.2</v>
      </c>
      <c r="N21" s="109" t="str">
        <f t="shared" si="5"/>
        <v/>
      </c>
      <c r="Q21" s="8">
        <v>2</v>
      </c>
      <c r="R21" s="108">
        <v>1</v>
      </c>
      <c r="S21" s="112" t="s">
        <v>20</v>
      </c>
      <c r="T21" s="23">
        <f>'Post Reactions '!E65</f>
        <v>0</v>
      </c>
      <c r="U21" s="23">
        <f>'Post Reactions '!F65</f>
        <v>0</v>
      </c>
      <c r="V21" s="23">
        <f>'Post Reactions '!G65</f>
        <v>0</v>
      </c>
      <c r="W21" s="23">
        <f>'Post Reactions '!H65/12</f>
        <v>0</v>
      </c>
      <c r="X21" s="24">
        <f>'Post Reactions '!I65/12</f>
        <v>0</v>
      </c>
      <c r="Y21" s="8"/>
      <c r="Z21" s="30">
        <f t="shared" si="6"/>
        <v>0</v>
      </c>
      <c r="AA21" s="23">
        <f t="shared" si="7"/>
        <v>35280</v>
      </c>
      <c r="AB21" s="111" t="e">
        <f t="shared" si="8"/>
        <v>#DIV/0!</v>
      </c>
      <c r="AC21" s="136">
        <f t="shared" si="9"/>
        <v>3967.2</v>
      </c>
      <c r="AD21" s="109" t="str">
        <f t="shared" si="10"/>
        <v/>
      </c>
    </row>
    <row r="22" spans="1:30" x14ac:dyDescent="0.25">
      <c r="A22" s="8">
        <v>3</v>
      </c>
      <c r="B22" s="108">
        <v>1</v>
      </c>
      <c r="C22" s="112" t="s">
        <v>21</v>
      </c>
      <c r="D22" s="23">
        <f>'Post Reactions '!E13</f>
        <v>0</v>
      </c>
      <c r="E22" s="23">
        <f>'Post Reactions '!F13</f>
        <v>0</v>
      </c>
      <c r="F22" s="23">
        <f>'Post Reactions '!G13</f>
        <v>0</v>
      </c>
      <c r="G22" s="23">
        <f>'Post Reactions '!H13/12</f>
        <v>0</v>
      </c>
      <c r="H22" s="24">
        <f>'Post Reactions '!I13/12</f>
        <v>0</v>
      </c>
      <c r="I22" s="8"/>
      <c r="J22" s="30">
        <f t="shared" si="1"/>
        <v>0</v>
      </c>
      <c r="K22" s="23">
        <f t="shared" si="2"/>
        <v>35280</v>
      </c>
      <c r="L22" s="111" t="e">
        <f t="shared" si="3"/>
        <v>#DIV/0!</v>
      </c>
      <c r="M22" s="136">
        <f t="shared" si="4"/>
        <v>3967.2</v>
      </c>
      <c r="N22" s="109" t="str">
        <f t="shared" si="5"/>
        <v/>
      </c>
      <c r="Q22" s="8">
        <v>3</v>
      </c>
      <c r="R22" s="108">
        <v>1</v>
      </c>
      <c r="S22" s="112" t="s">
        <v>21</v>
      </c>
      <c r="T22" s="23">
        <f>'Post Reactions '!E66</f>
        <v>0</v>
      </c>
      <c r="U22" s="23">
        <f>'Post Reactions '!F66</f>
        <v>0</v>
      </c>
      <c r="V22" s="23">
        <f>'Post Reactions '!G66</f>
        <v>0</v>
      </c>
      <c r="W22" s="23">
        <f>'Post Reactions '!H66/12</f>
        <v>0</v>
      </c>
      <c r="X22" s="24">
        <f>'Post Reactions '!I66/12</f>
        <v>0</v>
      </c>
      <c r="Y22" s="8"/>
      <c r="Z22" s="30">
        <f t="shared" si="6"/>
        <v>0</v>
      </c>
      <c r="AA22" s="23">
        <f t="shared" si="7"/>
        <v>35280</v>
      </c>
      <c r="AB22" s="111" t="e">
        <f t="shared" si="8"/>
        <v>#DIV/0!</v>
      </c>
      <c r="AC22" s="136">
        <f t="shared" si="9"/>
        <v>3967.2</v>
      </c>
      <c r="AD22" s="109" t="str">
        <f t="shared" si="10"/>
        <v/>
      </c>
    </row>
    <row r="23" spans="1:30" x14ac:dyDescent="0.25">
      <c r="A23" s="8">
        <v>4</v>
      </c>
      <c r="B23" s="108">
        <v>1</v>
      </c>
      <c r="C23" s="112" t="s">
        <v>22</v>
      </c>
      <c r="D23" s="23">
        <f>'Post Reactions '!E14</f>
        <v>0</v>
      </c>
      <c r="E23" s="23">
        <f>'Post Reactions '!F14</f>
        <v>0</v>
      </c>
      <c r="F23" s="23">
        <f>'Post Reactions '!G14</f>
        <v>0</v>
      </c>
      <c r="G23" s="23">
        <f>'Post Reactions '!H14/12</f>
        <v>0</v>
      </c>
      <c r="H23" s="24">
        <f>'Post Reactions '!I14/12</f>
        <v>0</v>
      </c>
      <c r="I23" s="8"/>
      <c r="J23" s="30">
        <f t="shared" si="1"/>
        <v>0</v>
      </c>
      <c r="K23" s="23">
        <f t="shared" si="2"/>
        <v>35280</v>
      </c>
      <c r="L23" s="111" t="e">
        <f t="shared" si="3"/>
        <v>#DIV/0!</v>
      </c>
      <c r="M23" s="136">
        <f t="shared" si="4"/>
        <v>3967.2</v>
      </c>
      <c r="N23" s="109" t="str">
        <f t="shared" si="5"/>
        <v/>
      </c>
      <c r="P23" s="18"/>
      <c r="Q23" s="8">
        <v>4</v>
      </c>
      <c r="R23" s="108">
        <v>1</v>
      </c>
      <c r="S23" s="112" t="s">
        <v>22</v>
      </c>
      <c r="T23" s="23">
        <f>'Post Reactions '!E67</f>
        <v>0</v>
      </c>
      <c r="U23" s="23">
        <f>'Post Reactions '!F67</f>
        <v>0</v>
      </c>
      <c r="V23" s="23">
        <f>'Post Reactions '!G67</f>
        <v>0</v>
      </c>
      <c r="W23" s="23">
        <f>'Post Reactions '!H67/12</f>
        <v>0</v>
      </c>
      <c r="X23" s="24">
        <f>'Post Reactions '!I67/12</f>
        <v>0</v>
      </c>
      <c r="Y23" s="8"/>
      <c r="Z23" s="30">
        <f t="shared" si="6"/>
        <v>0</v>
      </c>
      <c r="AA23" s="23">
        <f t="shared" si="7"/>
        <v>35280</v>
      </c>
      <c r="AB23" s="111" t="e">
        <f t="shared" si="8"/>
        <v>#DIV/0!</v>
      </c>
      <c r="AC23" s="136">
        <f t="shared" si="9"/>
        <v>3967.2</v>
      </c>
      <c r="AD23" s="109" t="str">
        <f t="shared" si="10"/>
        <v/>
      </c>
    </row>
    <row r="24" spans="1:30" x14ac:dyDescent="0.25">
      <c r="A24" s="8">
        <v>5</v>
      </c>
      <c r="B24" s="108">
        <v>1</v>
      </c>
      <c r="C24" s="112" t="s">
        <v>35</v>
      </c>
      <c r="D24" s="23">
        <f>'Post Reactions '!E15</f>
        <v>0</v>
      </c>
      <c r="E24" s="23">
        <f>'Post Reactions '!F15</f>
        <v>0</v>
      </c>
      <c r="F24" s="23">
        <f>'Post Reactions '!G15</f>
        <v>0</v>
      </c>
      <c r="G24" s="23">
        <f>'Post Reactions '!H15/12</f>
        <v>0</v>
      </c>
      <c r="H24" s="24">
        <f>'Post Reactions '!I15/12</f>
        <v>0</v>
      </c>
      <c r="I24" s="8"/>
      <c r="J24" s="30">
        <f t="shared" si="1"/>
        <v>0</v>
      </c>
      <c r="K24" s="23">
        <f t="shared" si="2"/>
        <v>35280</v>
      </c>
      <c r="L24" s="111" t="e">
        <f t="shared" si="3"/>
        <v>#DIV/0!</v>
      </c>
      <c r="M24" s="136">
        <f t="shared" si="4"/>
        <v>3967.2</v>
      </c>
      <c r="N24" s="109" t="str">
        <f t="shared" si="5"/>
        <v/>
      </c>
      <c r="Q24" s="8">
        <v>5</v>
      </c>
      <c r="R24" s="108">
        <v>1</v>
      </c>
      <c r="S24" s="112" t="s">
        <v>35</v>
      </c>
      <c r="T24" s="23">
        <f>'Post Reactions '!E68</f>
        <v>0</v>
      </c>
      <c r="U24" s="23">
        <f>'Post Reactions '!F68</f>
        <v>0</v>
      </c>
      <c r="V24" s="23">
        <f>'Post Reactions '!G68</f>
        <v>0</v>
      </c>
      <c r="W24" s="23">
        <f>'Post Reactions '!H68/12</f>
        <v>0</v>
      </c>
      <c r="X24" s="24">
        <f>'Post Reactions '!I68/12</f>
        <v>0</v>
      </c>
      <c r="Y24" s="8"/>
      <c r="Z24" s="30">
        <f t="shared" si="6"/>
        <v>0</v>
      </c>
      <c r="AA24" s="23">
        <f t="shared" si="7"/>
        <v>35280</v>
      </c>
      <c r="AB24" s="111" t="e">
        <f t="shared" si="8"/>
        <v>#DIV/0!</v>
      </c>
      <c r="AC24" s="136">
        <f t="shared" si="9"/>
        <v>3967.2</v>
      </c>
      <c r="AD24" s="109" t="str">
        <f t="shared" si="10"/>
        <v/>
      </c>
    </row>
    <row r="25" spans="1:30" x14ac:dyDescent="0.25">
      <c r="A25" s="8">
        <v>6</v>
      </c>
      <c r="B25" s="108">
        <v>1</v>
      </c>
      <c r="C25" s="112" t="s">
        <v>36</v>
      </c>
      <c r="D25" s="23">
        <f>'Post Reactions '!E16</f>
        <v>0</v>
      </c>
      <c r="E25" s="23">
        <f>'Post Reactions '!F16</f>
        <v>0</v>
      </c>
      <c r="F25" s="23">
        <f>'Post Reactions '!G16</f>
        <v>0</v>
      </c>
      <c r="G25" s="23">
        <f>'Post Reactions '!H16/12</f>
        <v>0</v>
      </c>
      <c r="H25" s="24">
        <f>'Post Reactions '!I16/12</f>
        <v>0</v>
      </c>
      <c r="I25" s="8"/>
      <c r="J25" s="30">
        <f t="shared" si="1"/>
        <v>0</v>
      </c>
      <c r="K25" s="23">
        <f t="shared" si="2"/>
        <v>35280</v>
      </c>
      <c r="L25" s="111" t="e">
        <f t="shared" si="3"/>
        <v>#DIV/0!</v>
      </c>
      <c r="M25" s="136">
        <f t="shared" si="4"/>
        <v>3967.2</v>
      </c>
      <c r="N25" s="109" t="str">
        <f t="shared" si="5"/>
        <v/>
      </c>
      <c r="Q25" s="8">
        <v>6</v>
      </c>
      <c r="R25" s="108">
        <v>1</v>
      </c>
      <c r="S25" s="112" t="s">
        <v>36</v>
      </c>
      <c r="T25" s="23">
        <f>'Post Reactions '!E69</f>
        <v>0</v>
      </c>
      <c r="U25" s="23">
        <f>'Post Reactions '!F69</f>
        <v>0</v>
      </c>
      <c r="V25" s="23">
        <f>'Post Reactions '!G69</f>
        <v>0</v>
      </c>
      <c r="W25" s="23">
        <f>'Post Reactions '!H69/12</f>
        <v>0</v>
      </c>
      <c r="X25" s="24">
        <f>'Post Reactions '!I69/12</f>
        <v>0</v>
      </c>
      <c r="Y25" s="8"/>
      <c r="Z25" s="30">
        <f t="shared" si="6"/>
        <v>0</v>
      </c>
      <c r="AA25" s="23">
        <f t="shared" si="7"/>
        <v>35280</v>
      </c>
      <c r="AB25" s="111" t="e">
        <f t="shared" si="8"/>
        <v>#DIV/0!</v>
      </c>
      <c r="AC25" s="136">
        <f t="shared" si="9"/>
        <v>3967.2</v>
      </c>
      <c r="AD25" s="109" t="str">
        <f t="shared" si="10"/>
        <v/>
      </c>
    </row>
    <row r="26" spans="1:30" x14ac:dyDescent="0.25">
      <c r="A26" s="8">
        <v>7</v>
      </c>
      <c r="B26" s="108">
        <v>1</v>
      </c>
      <c r="C26" s="112" t="s">
        <v>33</v>
      </c>
      <c r="D26" s="23">
        <f>'Post Reactions '!E17</f>
        <v>0</v>
      </c>
      <c r="E26" s="23">
        <f>'Post Reactions '!F17</f>
        <v>0</v>
      </c>
      <c r="F26" s="23">
        <f>'Post Reactions '!G17</f>
        <v>0</v>
      </c>
      <c r="G26" s="23">
        <f>'Post Reactions '!H17/12</f>
        <v>0</v>
      </c>
      <c r="H26" s="24">
        <f>'Post Reactions '!I17/12</f>
        <v>0</v>
      </c>
      <c r="I26" s="8"/>
      <c r="J26" s="30">
        <f t="shared" si="1"/>
        <v>0</v>
      </c>
      <c r="K26" s="23">
        <f t="shared" si="2"/>
        <v>35280</v>
      </c>
      <c r="L26" s="111" t="e">
        <f t="shared" si="3"/>
        <v>#DIV/0!</v>
      </c>
      <c r="M26" s="136">
        <f t="shared" si="4"/>
        <v>3967.2</v>
      </c>
      <c r="N26" s="109" t="str">
        <f t="shared" si="5"/>
        <v/>
      </c>
      <c r="Q26" s="8">
        <v>7</v>
      </c>
      <c r="R26" s="108">
        <v>1</v>
      </c>
      <c r="S26" s="112" t="s">
        <v>33</v>
      </c>
      <c r="T26" s="23">
        <f>'Post Reactions '!E70</f>
        <v>0</v>
      </c>
      <c r="U26" s="23">
        <f>'Post Reactions '!F70</f>
        <v>0</v>
      </c>
      <c r="V26" s="23">
        <f>'Post Reactions '!G70</f>
        <v>0</v>
      </c>
      <c r="W26" s="23">
        <f>'Post Reactions '!H70/12</f>
        <v>0</v>
      </c>
      <c r="X26" s="24">
        <f>'Post Reactions '!I70/12</f>
        <v>0</v>
      </c>
      <c r="Y26" s="8"/>
      <c r="Z26" s="30">
        <f t="shared" si="6"/>
        <v>0</v>
      </c>
      <c r="AA26" s="23">
        <f t="shared" si="7"/>
        <v>35280</v>
      </c>
      <c r="AB26" s="111" t="e">
        <f t="shared" si="8"/>
        <v>#DIV/0!</v>
      </c>
      <c r="AC26" s="136">
        <f t="shared" si="9"/>
        <v>3967.2</v>
      </c>
      <c r="AD26" s="109" t="str">
        <f t="shared" si="10"/>
        <v/>
      </c>
    </row>
    <row r="27" spans="1:30" x14ac:dyDescent="0.25">
      <c r="A27" s="8">
        <v>8</v>
      </c>
      <c r="B27" s="108">
        <v>1</v>
      </c>
      <c r="C27" s="112" t="s">
        <v>34</v>
      </c>
      <c r="D27" s="23">
        <f>'Post Reactions '!E18</f>
        <v>0</v>
      </c>
      <c r="E27" s="23">
        <f>'Post Reactions '!F18</f>
        <v>0</v>
      </c>
      <c r="F27" s="23">
        <f>'Post Reactions '!G18</f>
        <v>0</v>
      </c>
      <c r="G27" s="23">
        <f>'Post Reactions '!H18/12</f>
        <v>0</v>
      </c>
      <c r="H27" s="24">
        <f>'Post Reactions '!I18/12</f>
        <v>0</v>
      </c>
      <c r="I27" s="8"/>
      <c r="J27" s="30">
        <f t="shared" si="1"/>
        <v>0</v>
      </c>
      <c r="K27" s="23">
        <f t="shared" si="2"/>
        <v>35280</v>
      </c>
      <c r="L27" s="111" t="e">
        <f t="shared" si="3"/>
        <v>#DIV/0!</v>
      </c>
      <c r="M27" s="136">
        <f t="shared" si="4"/>
        <v>3967.2</v>
      </c>
      <c r="N27" s="109" t="str">
        <f t="shared" si="5"/>
        <v/>
      </c>
      <c r="Q27" s="8">
        <v>8</v>
      </c>
      <c r="R27" s="108">
        <v>1</v>
      </c>
      <c r="S27" s="112" t="s">
        <v>34</v>
      </c>
      <c r="T27" s="23">
        <f>'Post Reactions '!E71</f>
        <v>0</v>
      </c>
      <c r="U27" s="23">
        <f>'Post Reactions '!F71</f>
        <v>0</v>
      </c>
      <c r="V27" s="23">
        <f>'Post Reactions '!G71</f>
        <v>0</v>
      </c>
      <c r="W27" s="23">
        <f>'Post Reactions '!H71/12</f>
        <v>0</v>
      </c>
      <c r="X27" s="24">
        <f>'Post Reactions '!I71/12</f>
        <v>0</v>
      </c>
      <c r="Y27" s="8"/>
      <c r="Z27" s="30">
        <f t="shared" si="6"/>
        <v>0</v>
      </c>
      <c r="AA27" s="23">
        <f t="shared" si="7"/>
        <v>35280</v>
      </c>
      <c r="AB27" s="111" t="e">
        <f t="shared" si="8"/>
        <v>#DIV/0!</v>
      </c>
      <c r="AC27" s="136">
        <f t="shared" si="9"/>
        <v>3967.2</v>
      </c>
      <c r="AD27" s="109" t="str">
        <f t="shared" si="10"/>
        <v/>
      </c>
    </row>
    <row r="28" spans="1:30" x14ac:dyDescent="0.25">
      <c r="A28" s="8">
        <v>9</v>
      </c>
      <c r="B28" s="108">
        <v>0.6</v>
      </c>
      <c r="C28" s="112" t="s">
        <v>23</v>
      </c>
      <c r="D28" s="23">
        <f>'Post Reactions '!E19</f>
        <v>0</v>
      </c>
      <c r="E28" s="23">
        <f>'Post Reactions '!F19</f>
        <v>0</v>
      </c>
      <c r="F28" s="23">
        <f>'Post Reactions '!G19</f>
        <v>0</v>
      </c>
      <c r="G28" s="23">
        <f>'Post Reactions '!H19/12</f>
        <v>0</v>
      </c>
      <c r="H28" s="24">
        <f>'Post Reactions '!I19/12</f>
        <v>0</v>
      </c>
      <c r="I28" s="8"/>
      <c r="J28" s="30">
        <f t="shared" si="1"/>
        <v>0</v>
      </c>
      <c r="K28" s="23">
        <f>0.6*$D$7*($D$4/2)+0.6*$D$11*$D$10*$D$4*$D$5*($D$4/2)+IF(E28&gt;0, ABS(E28*$D$4/2),0)</f>
        <v>21168</v>
      </c>
      <c r="L28" s="111" t="e">
        <f t="shared" si="3"/>
        <v>#DIV/0!</v>
      </c>
      <c r="M28" s="136">
        <f t="shared" si="4"/>
        <v>2380.3199999999997</v>
      </c>
      <c r="N28" s="109" t="str">
        <f t="shared" si="5"/>
        <v/>
      </c>
      <c r="Q28" s="8">
        <v>9</v>
      </c>
      <c r="R28" s="108">
        <v>0.6</v>
      </c>
      <c r="S28" s="112" t="s">
        <v>23</v>
      </c>
      <c r="T28" s="23">
        <f>'Post Reactions '!E72</f>
        <v>0</v>
      </c>
      <c r="U28" s="23">
        <f>'Post Reactions '!F72</f>
        <v>0</v>
      </c>
      <c r="V28" s="23">
        <f>'Post Reactions '!G72</f>
        <v>0</v>
      </c>
      <c r="W28" s="23">
        <f>'Post Reactions '!H72/12</f>
        <v>0</v>
      </c>
      <c r="X28" s="24">
        <f>'Post Reactions '!I72/12</f>
        <v>0</v>
      </c>
      <c r="Y28" s="8"/>
      <c r="Z28" s="30">
        <f t="shared" si="6"/>
        <v>0</v>
      </c>
      <c r="AA28" s="23">
        <f>0.6*$T$7*($T$4/2)+0.6*$T$11*$T$10*$T$4*$T$5*($T$4/2)+IF(U28&gt;0, ABS(U28*$T$4/2),0)</f>
        <v>21168</v>
      </c>
      <c r="AB28" s="111" t="e">
        <f t="shared" si="8"/>
        <v>#DIV/0!</v>
      </c>
      <c r="AC28" s="136">
        <f t="shared" si="9"/>
        <v>2380.3199999999997</v>
      </c>
      <c r="AD28" s="109" t="str">
        <f t="shared" si="10"/>
        <v/>
      </c>
    </row>
    <row r="29" spans="1:30" x14ac:dyDescent="0.25">
      <c r="A29" s="8">
        <v>10</v>
      </c>
      <c r="B29" s="108">
        <v>0.6</v>
      </c>
      <c r="C29" s="112" t="s">
        <v>24</v>
      </c>
      <c r="D29" s="23">
        <f>'Post Reactions '!E20</f>
        <v>0</v>
      </c>
      <c r="E29" s="23">
        <f>'Post Reactions '!F20</f>
        <v>0</v>
      </c>
      <c r="F29" s="23">
        <f>'Post Reactions '!G20</f>
        <v>0</v>
      </c>
      <c r="G29" s="23">
        <f>'Post Reactions '!H20/12</f>
        <v>0</v>
      </c>
      <c r="H29" s="24">
        <f>'Post Reactions '!I20/12</f>
        <v>0</v>
      </c>
      <c r="I29" s="8"/>
      <c r="J29" s="30">
        <f t="shared" si="1"/>
        <v>0</v>
      </c>
      <c r="K29" s="23">
        <f>0.6*$D$7*($D$4/2)+0.6*$D$11*$D$10*$D$4*$D$5*($D$4/2)+IF(E29&gt;0, ABS(E29*$D$4/2),0)</f>
        <v>21168</v>
      </c>
      <c r="L29" s="111" t="e">
        <f t="shared" si="3"/>
        <v>#DIV/0!</v>
      </c>
      <c r="M29" s="136">
        <f t="shared" si="4"/>
        <v>2380.3199999999997</v>
      </c>
      <c r="N29" s="109" t="str">
        <f t="shared" si="5"/>
        <v/>
      </c>
      <c r="Q29" s="8">
        <v>10</v>
      </c>
      <c r="R29" s="108">
        <v>0.6</v>
      </c>
      <c r="S29" s="112" t="s">
        <v>24</v>
      </c>
      <c r="T29" s="23">
        <f>'Post Reactions '!E73</f>
        <v>0</v>
      </c>
      <c r="U29" s="23">
        <f>'Post Reactions '!F73</f>
        <v>0</v>
      </c>
      <c r="V29" s="23">
        <f>'Post Reactions '!G73</f>
        <v>0</v>
      </c>
      <c r="W29" s="23">
        <f>'Post Reactions '!H73/12</f>
        <v>0</v>
      </c>
      <c r="X29" s="24">
        <f>'Post Reactions '!I73/12</f>
        <v>0</v>
      </c>
      <c r="Y29" s="8"/>
      <c r="Z29" s="30">
        <f t="shared" si="6"/>
        <v>0</v>
      </c>
      <c r="AA29" s="23">
        <f>0.6*$T$7*($T$4/2)+0.6*$T$11*$T$10*$T$4*$T$5*($T$4/2)+IF(U29&gt;0, ABS(U29*$T$4/2),0)</f>
        <v>21168</v>
      </c>
      <c r="AB29" s="111" t="e">
        <f t="shared" si="8"/>
        <v>#DIV/0!</v>
      </c>
      <c r="AC29" s="136">
        <f t="shared" si="9"/>
        <v>2380.3199999999997</v>
      </c>
      <c r="AD29" s="109" t="str">
        <f t="shared" si="10"/>
        <v/>
      </c>
    </row>
    <row r="30" spans="1:30" x14ac:dyDescent="0.25">
      <c r="A30" s="8">
        <v>11</v>
      </c>
      <c r="B30" s="108">
        <v>1</v>
      </c>
      <c r="C30" s="112" t="s">
        <v>25</v>
      </c>
      <c r="D30" s="23">
        <f>'Post Reactions '!E21</f>
        <v>0</v>
      </c>
      <c r="E30" s="23">
        <f>'Post Reactions '!F21</f>
        <v>0</v>
      </c>
      <c r="F30" s="23">
        <f>'Post Reactions '!G21</f>
        <v>0</v>
      </c>
      <c r="G30" s="23">
        <f>'Post Reactions '!H21/12</f>
        <v>0</v>
      </c>
      <c r="H30" s="24">
        <f>'Post Reactions '!I21/12</f>
        <v>0</v>
      </c>
      <c r="I30" s="8"/>
      <c r="J30" s="30">
        <f>ABS((D30*($D$6+$D$10)))+$D$7*$D$12*($D$6/2)*0.7+ABS(H30)+IF(E30&lt;0,ABS(E30*($D$4/2)))</f>
        <v>0</v>
      </c>
      <c r="K30" s="23">
        <f>$D$7*($D$4/2)+$D$11*$D$10*$D$4*$D$5*($D$4/2)+IF(E30&gt;0, ABS(E30*$D$4/2),0)</f>
        <v>35280</v>
      </c>
      <c r="L30" s="111" t="e">
        <f t="shared" si="3"/>
        <v>#DIV/0!</v>
      </c>
      <c r="M30" s="136">
        <f t="shared" si="4"/>
        <v>3967.2</v>
      </c>
      <c r="N30" s="109" t="str">
        <f>IFERROR(M30/SQRT(D30^2+F30^2+(0.7*$D$12*$D$7)^2),"")</f>
        <v/>
      </c>
      <c r="Q30" s="8">
        <v>11</v>
      </c>
      <c r="R30" s="108">
        <v>1</v>
      </c>
      <c r="S30" s="112" t="s">
        <v>25</v>
      </c>
      <c r="T30" s="23">
        <f>'Post Reactions '!E74</f>
        <v>0</v>
      </c>
      <c r="U30" s="23">
        <f>'Post Reactions '!F74</f>
        <v>0</v>
      </c>
      <c r="V30" s="23">
        <f>'Post Reactions '!G74</f>
        <v>0</v>
      </c>
      <c r="W30" s="23">
        <f>'Post Reactions '!H74/12</f>
        <v>0</v>
      </c>
      <c r="X30" s="24">
        <f>'Post Reactions '!I74/12</f>
        <v>0</v>
      </c>
      <c r="Y30" s="8"/>
      <c r="Z30" s="30">
        <f>ABS((T30*($T$6+$T$10)))+$T$7*$T$12*($T$6/2)*0.7+ABS(X30)+IF(U30&lt;0,ABS(U30*($T$4/2)))</f>
        <v>0</v>
      </c>
      <c r="AA30" s="23">
        <f>$T$7*($T$4/2)+$T$11*$T$10*$T$4*$T$5*($T$4/2)+IF(U30&gt;0, ABS(U30*$T$4/2),0)</f>
        <v>35280</v>
      </c>
      <c r="AB30" s="111" t="e">
        <f t="shared" si="8"/>
        <v>#DIV/0!</v>
      </c>
      <c r="AC30" s="136">
        <f t="shared" si="9"/>
        <v>3967.2</v>
      </c>
      <c r="AD30" s="109" t="str">
        <f>IFERROR(AC30/SQRT(T30^2+V30^2+(0.7*$T$12*$T$7)^2),"")</f>
        <v/>
      </c>
    </row>
    <row r="31" spans="1:30" x14ac:dyDescent="0.25">
      <c r="A31" s="8">
        <v>12</v>
      </c>
      <c r="B31" s="108">
        <v>1</v>
      </c>
      <c r="C31" s="112" t="s">
        <v>26</v>
      </c>
      <c r="D31" s="23">
        <f>'Post Reactions '!E22</f>
        <v>0</v>
      </c>
      <c r="E31" s="23">
        <f>'Post Reactions '!F22</f>
        <v>0</v>
      </c>
      <c r="F31" s="23">
        <f>'Post Reactions '!G22</f>
        <v>0</v>
      </c>
      <c r="G31" s="23">
        <f>'Post Reactions '!H22/12</f>
        <v>0</v>
      </c>
      <c r="H31" s="24">
        <f>'Post Reactions '!I22/12</f>
        <v>0</v>
      </c>
      <c r="I31" s="8"/>
      <c r="J31" s="30">
        <f>ABS((D31*($D$6+$D$10)))+$D$7*$D$12*($D$6/2)*0.7+ABS(H31)+IF(E31&lt;0,ABS(E31*($D$4/2)))</f>
        <v>0</v>
      </c>
      <c r="K31" s="23">
        <f>$D$7*($D$4/2)+$D$11*$D$10*$D$4*$D$5*($D$4/2)+IF(E31&gt;0, ABS(E31*$D$4/2),0)</f>
        <v>35280</v>
      </c>
      <c r="L31" s="111" t="e">
        <f t="shared" si="3"/>
        <v>#DIV/0!</v>
      </c>
      <c r="M31" s="136">
        <f t="shared" si="4"/>
        <v>3967.2</v>
      </c>
      <c r="N31" s="109" t="str">
        <f>IFERROR(M31/SQRT(D31^2+F31^2+(0.7*$D$12*$D$7)^2),"")</f>
        <v/>
      </c>
      <c r="Q31" s="8">
        <v>12</v>
      </c>
      <c r="R31" s="108">
        <v>1</v>
      </c>
      <c r="S31" s="112" t="s">
        <v>26</v>
      </c>
      <c r="T31" s="23">
        <f>'Post Reactions '!E75</f>
        <v>0</v>
      </c>
      <c r="U31" s="23">
        <f>'Post Reactions '!F75</f>
        <v>0</v>
      </c>
      <c r="V31" s="23">
        <f>'Post Reactions '!G75</f>
        <v>0</v>
      </c>
      <c r="W31" s="23">
        <f>'Post Reactions '!H75/12</f>
        <v>0</v>
      </c>
      <c r="X31" s="24">
        <f>'Post Reactions '!I75/12</f>
        <v>0</v>
      </c>
      <c r="Y31" s="8"/>
      <c r="Z31" s="30">
        <f>ABS((T31*($T$6+$T$10)))+$T$7*$T$12*($T$6/2)*0.7+ABS(X31)+IF(U31&lt;0,ABS(U31*($T$4/2)))</f>
        <v>0</v>
      </c>
      <c r="AA31" s="23">
        <f>$T$7*($T$4/2)+$T$11*$T$10*$T$4*$T$5*($T$4/2)+IF(U31&gt;0, ABS(U31*$T$4/2),0)</f>
        <v>35280</v>
      </c>
      <c r="AB31" s="111" t="e">
        <f t="shared" si="8"/>
        <v>#DIV/0!</v>
      </c>
      <c r="AC31" s="136">
        <f t="shared" si="9"/>
        <v>3967.2</v>
      </c>
      <c r="AD31" s="109" t="str">
        <f>IFERROR(AC31/SQRT(T31^2+V31^2+(0.7*$T$12*$T$7)^2),"")</f>
        <v/>
      </c>
    </row>
    <row r="32" spans="1:30" x14ac:dyDescent="0.25">
      <c r="A32" s="8">
        <v>13</v>
      </c>
      <c r="B32" s="108">
        <v>1</v>
      </c>
      <c r="C32" s="112" t="s">
        <v>27</v>
      </c>
      <c r="D32" s="23">
        <f>'Post Reactions '!E23</f>
        <v>0</v>
      </c>
      <c r="E32" s="23">
        <f>'Post Reactions '!F23</f>
        <v>0</v>
      </c>
      <c r="F32" s="23">
        <f>'Post Reactions '!G23</f>
        <v>0</v>
      </c>
      <c r="G32" s="23">
        <f>'Post Reactions '!H23/12</f>
        <v>0</v>
      </c>
      <c r="H32" s="24">
        <f>'Post Reactions '!I23/12</f>
        <v>0</v>
      </c>
      <c r="I32" s="8"/>
      <c r="J32" s="30">
        <f>ABS((F32*($D$6+$D$10)))+$D$7*$D$12*($D$6/2)*0.7+ABS(G32)+IF(E32&lt;0,ABS(E32*($D$5/2)))</f>
        <v>0</v>
      </c>
      <c r="K32" s="23">
        <f>$D$7*($D$5/2)+$D$11*$D$10*$D$4*$D$5*($D$5/2)+IF(E32&gt;0, ABS(E32*$D$5/2),0)</f>
        <v>23520</v>
      </c>
      <c r="L32" s="111" t="e">
        <f t="shared" si="3"/>
        <v>#DIV/0!</v>
      </c>
      <c r="M32" s="136">
        <f t="shared" si="4"/>
        <v>3967.2</v>
      </c>
      <c r="N32" s="109" t="str">
        <f>IFERROR(M32/SQRT(D32^2+F32^2+(0.7*$D$12*$D$7)^2),"")</f>
        <v/>
      </c>
      <c r="Q32" s="8">
        <v>13</v>
      </c>
      <c r="R32" s="108">
        <v>1</v>
      </c>
      <c r="S32" s="112" t="s">
        <v>27</v>
      </c>
      <c r="T32" s="23">
        <f>'Post Reactions '!E76</f>
        <v>0</v>
      </c>
      <c r="U32" s="23">
        <f>'Post Reactions '!F76</f>
        <v>0</v>
      </c>
      <c r="V32" s="23">
        <f>'Post Reactions '!G76</f>
        <v>0</v>
      </c>
      <c r="W32" s="23">
        <f>'Post Reactions '!H76/12</f>
        <v>0</v>
      </c>
      <c r="X32" s="24">
        <f>'Post Reactions '!I76/12</f>
        <v>0</v>
      </c>
      <c r="Y32" s="8"/>
      <c r="Z32" s="30">
        <f>ABS((V32*($T$6+$T$10)))+$T$7*$T$12*($T$6/2)*0.7+ABS(W32)+IF(U32&lt;0,ABS(U32*($T$5/2)))</f>
        <v>0</v>
      </c>
      <c r="AA32" s="23">
        <f>$T$7*($T$5/2)+$T$11*$T$10*$T$4*$T$5*($T$5/2)+IF(U32&gt;0, ABS(U32*$T$5/2),0)</f>
        <v>23520</v>
      </c>
      <c r="AB32" s="111" t="e">
        <f t="shared" si="8"/>
        <v>#DIV/0!</v>
      </c>
      <c r="AC32" s="136">
        <f t="shared" si="9"/>
        <v>3967.2</v>
      </c>
      <c r="AD32" s="109" t="str">
        <f>IFERROR(AC32/SQRT(T32^2+V32^2+(0.7*$T$12*$T$7)^2),"")</f>
        <v/>
      </c>
    </row>
    <row r="33" spans="1:30" x14ac:dyDescent="0.25">
      <c r="A33" s="8">
        <v>14</v>
      </c>
      <c r="B33" s="108">
        <v>1</v>
      </c>
      <c r="C33" s="112" t="s">
        <v>28</v>
      </c>
      <c r="D33" s="23">
        <f>'Post Reactions '!E24</f>
        <v>0</v>
      </c>
      <c r="E33" s="23">
        <f>'Post Reactions '!F24</f>
        <v>0</v>
      </c>
      <c r="F33" s="23">
        <f>'Post Reactions '!G24</f>
        <v>0</v>
      </c>
      <c r="G33" s="23">
        <f>'Post Reactions '!H24/12</f>
        <v>0</v>
      </c>
      <c r="H33" s="24">
        <f>'Post Reactions '!I24/12</f>
        <v>0</v>
      </c>
      <c r="I33" s="8"/>
      <c r="J33" s="30">
        <f>ABS((F33*($D$6+$D$10)))+$D$7*$D$12*($D$6/2)*0.7+ABS(G33)+IF(E33&lt;0,ABS(E33*($D$5/2)))</f>
        <v>0</v>
      </c>
      <c r="K33" s="23">
        <f>$D$7*($D$5/2)+$D$11*$D$10*$D$4*$D$5*($D$5/2)+IF(E33&gt;0, ABS(E33*$D$5/2),0)</f>
        <v>23520</v>
      </c>
      <c r="L33" s="111" t="e">
        <f t="shared" si="3"/>
        <v>#DIV/0!</v>
      </c>
      <c r="M33" s="136">
        <f t="shared" si="4"/>
        <v>3967.2</v>
      </c>
      <c r="N33" s="109" t="str">
        <f>IFERROR(M33/SQRT(D33^2+F33^2+(0.7*$D$12*$D$7)^2),"")</f>
        <v/>
      </c>
      <c r="Q33" s="8">
        <v>14</v>
      </c>
      <c r="R33" s="108">
        <v>1</v>
      </c>
      <c r="S33" s="112" t="s">
        <v>28</v>
      </c>
      <c r="T33" s="23">
        <f>'Post Reactions '!E77</f>
        <v>0</v>
      </c>
      <c r="U33" s="23">
        <f>'Post Reactions '!F77</f>
        <v>0</v>
      </c>
      <c r="V33" s="23">
        <f>'Post Reactions '!G77</f>
        <v>0</v>
      </c>
      <c r="W33" s="23">
        <f>'Post Reactions '!H77/12</f>
        <v>0</v>
      </c>
      <c r="X33" s="24">
        <f>'Post Reactions '!I77/12</f>
        <v>0</v>
      </c>
      <c r="Y33" s="8"/>
      <c r="Z33" s="30">
        <f>ABS((V33*($T$6+$T$10)))+$T$7*$T$12*($T$6/2)*0.7+ABS(W33)+IF(U33&lt;0,ABS(U33*($T$5/2)))</f>
        <v>0</v>
      </c>
      <c r="AA33" s="23">
        <f>$T$7*($T$5/2)+$T$11*$T$10*$T$4*$T$5*($T$5/2)+IF(U33&gt;0, ABS(U33*$T$5/2),0)</f>
        <v>23520</v>
      </c>
      <c r="AB33" s="111" t="e">
        <f t="shared" si="8"/>
        <v>#DIV/0!</v>
      </c>
      <c r="AC33" s="136">
        <f t="shared" si="9"/>
        <v>3967.2</v>
      </c>
      <c r="AD33" s="109" t="str">
        <f>IFERROR(AC33/SQRT(T33^2+V33^2+(0.7*$T$12*$T$7)^2),"")</f>
        <v/>
      </c>
    </row>
    <row r="34" spans="1:30" x14ac:dyDescent="0.25">
      <c r="A34" s="8">
        <v>15</v>
      </c>
      <c r="B34" s="108">
        <v>1</v>
      </c>
      <c r="C34" s="112" t="s">
        <v>29</v>
      </c>
      <c r="D34" s="23">
        <f>'Post Reactions '!E25</f>
        <v>0</v>
      </c>
      <c r="E34" s="23">
        <f>'Post Reactions '!F25</f>
        <v>0</v>
      </c>
      <c r="F34" s="23">
        <f>'Post Reactions '!G25</f>
        <v>0</v>
      </c>
      <c r="G34" s="23">
        <f>'Post Reactions '!H25/12</f>
        <v>0</v>
      </c>
      <c r="H34" s="24">
        <f>'Post Reactions '!I25/12</f>
        <v>0</v>
      </c>
      <c r="I34" s="8"/>
      <c r="J34" s="30">
        <f>ABS((D34*($D$6+$D$10)))+0.525*$D$7*$D$12*($D$6/2)+ABS(H34)+IF(E34&lt;0,ABS(E34*($D$4/2)))</f>
        <v>0</v>
      </c>
      <c r="K34" s="23">
        <f>$D$7*($D$4/2)+$D$11*$D$10*$D$4*$D$5*($D$4/2)+IF(E34&gt;0, ABS(E34*$D$4/2),0)</f>
        <v>35280</v>
      </c>
      <c r="L34" s="111" t="e">
        <f t="shared" si="3"/>
        <v>#DIV/0!</v>
      </c>
      <c r="M34" s="136">
        <f t="shared" si="4"/>
        <v>3967.2</v>
      </c>
      <c r="N34" s="109" t="str">
        <f>IFERROR(M34/SQRT(D34^2+F34^2+(0.525*$D$12*$D$7)^2),"")</f>
        <v/>
      </c>
      <c r="Q34" s="8">
        <v>15</v>
      </c>
      <c r="R34" s="108">
        <v>1</v>
      </c>
      <c r="S34" s="112" t="s">
        <v>29</v>
      </c>
      <c r="T34" s="23">
        <f>'Post Reactions '!E78</f>
        <v>0</v>
      </c>
      <c r="U34" s="23">
        <f>'Post Reactions '!F78</f>
        <v>0</v>
      </c>
      <c r="V34" s="23">
        <f>'Post Reactions '!G78</f>
        <v>0</v>
      </c>
      <c r="W34" s="23">
        <f>'Post Reactions '!H78/12</f>
        <v>0</v>
      </c>
      <c r="X34" s="24">
        <f>'Post Reactions '!I78/12</f>
        <v>0</v>
      </c>
      <c r="Y34" s="8"/>
      <c r="Z34" s="30">
        <f>ABS((T34*($T$6+$T$10)))+0.525*$T$7*$T$12*($T$6/2)+ABS(X34)+IF(U34&lt;0,ABS(U34*($T$4/2)))</f>
        <v>0</v>
      </c>
      <c r="AA34" s="23">
        <f>$T$7*($T$4/2)+$T$11*$T$10*$T$4*$T$5*($T$4/2)+IF(U34&gt;0, ABS(U34*$T$4/2),0)</f>
        <v>35280</v>
      </c>
      <c r="AB34" s="111" t="e">
        <f t="shared" si="8"/>
        <v>#DIV/0!</v>
      </c>
      <c r="AC34" s="136">
        <f t="shared" si="9"/>
        <v>3967.2</v>
      </c>
      <c r="AD34" s="109" t="str">
        <f>IFERROR(AC34/SQRT(T34^2+V34^2+(0.525*$T$12*$T$7)^2),"")</f>
        <v/>
      </c>
    </row>
    <row r="35" spans="1:30" x14ac:dyDescent="0.25">
      <c r="A35" s="8">
        <v>16</v>
      </c>
      <c r="B35" s="108">
        <v>1</v>
      </c>
      <c r="C35" s="112" t="s">
        <v>30</v>
      </c>
      <c r="D35" s="23">
        <f>'Post Reactions '!E26</f>
        <v>0</v>
      </c>
      <c r="E35" s="23">
        <f>'Post Reactions '!F26</f>
        <v>0</v>
      </c>
      <c r="F35" s="23">
        <f>'Post Reactions '!G26</f>
        <v>0</v>
      </c>
      <c r="G35" s="23">
        <f>'Post Reactions '!H26/12</f>
        <v>0</v>
      </c>
      <c r="H35" s="24">
        <f>'Post Reactions '!I26/12</f>
        <v>0</v>
      </c>
      <c r="I35" s="8"/>
      <c r="J35" s="30">
        <f>ABS((D35*($D$6+$D$10)))+0.525*$D$7*$D$12*($D$6/2)+ABS(H35)+IF(E35&lt;0,ABS(E35*($D$4/2)))</f>
        <v>0</v>
      </c>
      <c r="K35" s="23">
        <f>$D$7*($D$4/2)+$D$11*$D$10*$D$4*$D$5*($D$4/2)+IF(E35&gt;0, ABS(E35*$D$4/2),0)</f>
        <v>35280</v>
      </c>
      <c r="L35" s="111" t="e">
        <f t="shared" si="3"/>
        <v>#DIV/0!</v>
      </c>
      <c r="M35" s="136">
        <f t="shared" si="4"/>
        <v>3967.2</v>
      </c>
      <c r="N35" s="109" t="str">
        <f>IFERROR(M35/SQRT(D35^2+F35^2+(0.525*$D$12*$D$7)^2),"")</f>
        <v/>
      </c>
      <c r="Q35" s="8">
        <v>16</v>
      </c>
      <c r="R35" s="108">
        <v>1</v>
      </c>
      <c r="S35" s="112" t="s">
        <v>30</v>
      </c>
      <c r="T35" s="23">
        <f>'Post Reactions '!E79</f>
        <v>0</v>
      </c>
      <c r="U35" s="23">
        <f>'Post Reactions '!F79</f>
        <v>0</v>
      </c>
      <c r="V35" s="23">
        <f>'Post Reactions '!G79</f>
        <v>0</v>
      </c>
      <c r="W35" s="23">
        <f>'Post Reactions '!H79/12</f>
        <v>0</v>
      </c>
      <c r="X35" s="24">
        <f>'Post Reactions '!I79/12</f>
        <v>0</v>
      </c>
      <c r="Y35" s="8"/>
      <c r="Z35" s="30">
        <f>ABS((T35*($T$6+$T$10)))+0.525*$T$7*$T$12*($T$6/2)+ABS(X35)+IF(U35&lt;0,ABS(U35*($T$4/2)))</f>
        <v>0</v>
      </c>
      <c r="AA35" s="23">
        <f>$T$7*($T$4/2)+$T$11*$T$10*$T$4*$T$5*($T$4/2)+IF(U35&gt;0, ABS(U35*$T$4/2),0)</f>
        <v>35280</v>
      </c>
      <c r="AB35" s="111" t="e">
        <f t="shared" si="8"/>
        <v>#DIV/0!</v>
      </c>
      <c r="AC35" s="136">
        <f t="shared" si="9"/>
        <v>3967.2</v>
      </c>
      <c r="AD35" s="109" t="str">
        <f>IFERROR(AC35/SQRT(T35^2+V35^2+(0.525*$T$12*$T$7)^2),"")</f>
        <v/>
      </c>
    </row>
    <row r="36" spans="1:30" x14ac:dyDescent="0.25">
      <c r="A36" s="8">
        <v>17</v>
      </c>
      <c r="B36" s="108">
        <v>1</v>
      </c>
      <c r="C36" s="112" t="s">
        <v>31</v>
      </c>
      <c r="D36" s="23">
        <f>'Post Reactions '!E27</f>
        <v>0</v>
      </c>
      <c r="E36" s="23">
        <f>'Post Reactions '!F27</f>
        <v>0</v>
      </c>
      <c r="F36" s="23">
        <f>'Post Reactions '!G27</f>
        <v>0</v>
      </c>
      <c r="G36" s="23">
        <f>'Post Reactions '!H27/12</f>
        <v>0</v>
      </c>
      <c r="H36" s="24">
        <f>'Post Reactions '!I27/12</f>
        <v>0</v>
      </c>
      <c r="I36" s="8"/>
      <c r="J36" s="30">
        <f>ABS((F36*($D$6+$D$10)))+$D$7*$D$12*($D$6/2)*0.525+ABS(G36)+IF(E36&lt;0,ABS(E36*($D$5/2)))</f>
        <v>0</v>
      </c>
      <c r="K36" s="23">
        <f>$D$7*($D$5/2)+$D$11*$D$10*$D$4*$D$5*($D$5/2)+IF(E36&gt;0, ABS(E36*$D$5/2),0)</f>
        <v>23520</v>
      </c>
      <c r="L36" s="111" t="e">
        <f t="shared" si="3"/>
        <v>#DIV/0!</v>
      </c>
      <c r="M36" s="136">
        <f t="shared" si="4"/>
        <v>3967.2</v>
      </c>
      <c r="N36" s="109" t="str">
        <f>IFERROR(M36/SQRT(D36^2+F36^2+(0.525*$D$12*$D$7)^2),"")</f>
        <v/>
      </c>
      <c r="Q36" s="8">
        <v>17</v>
      </c>
      <c r="R36" s="108">
        <v>1</v>
      </c>
      <c r="S36" s="112" t="s">
        <v>31</v>
      </c>
      <c r="T36" s="23">
        <f>'Post Reactions '!E80</f>
        <v>0</v>
      </c>
      <c r="U36" s="23">
        <f>'Post Reactions '!F80</f>
        <v>0</v>
      </c>
      <c r="V36" s="23">
        <f>'Post Reactions '!G80</f>
        <v>0</v>
      </c>
      <c r="W36" s="23">
        <f>'Post Reactions '!H80/12</f>
        <v>0</v>
      </c>
      <c r="X36" s="24">
        <f>'Post Reactions '!I80/12</f>
        <v>0</v>
      </c>
      <c r="Y36" s="8"/>
      <c r="Z36" s="30">
        <f>ABS((V36*($T$6+$T$10)))+$T$7*$T$12*($T$6/2)*0.525+ABS(W36)+IF(U36&lt;0,ABS(U36*($T$5/2)))</f>
        <v>0</v>
      </c>
      <c r="AA36" s="23">
        <f>$T$7*($T$5/2)+$T$11*$T$10*$T$4*$T$5*($T$5/2)+IF(U36&gt;0, ABS(U36*$T$5/2),0)</f>
        <v>23520</v>
      </c>
      <c r="AB36" s="111" t="e">
        <f t="shared" si="8"/>
        <v>#DIV/0!</v>
      </c>
      <c r="AC36" s="136">
        <f t="shared" si="9"/>
        <v>3967.2</v>
      </c>
      <c r="AD36" s="109" t="str">
        <f>IFERROR(AC36/SQRT(T36^2+V36^2+(0.525*$T$12*$T$7)^2),"")</f>
        <v/>
      </c>
    </row>
    <row r="37" spans="1:30" x14ac:dyDescent="0.25">
      <c r="A37" s="8">
        <v>18</v>
      </c>
      <c r="B37" s="108">
        <v>1</v>
      </c>
      <c r="C37" s="112" t="s">
        <v>32</v>
      </c>
      <c r="D37" s="23">
        <f>'Post Reactions '!E28</f>
        <v>0</v>
      </c>
      <c r="E37" s="23">
        <f>'Post Reactions '!F28</f>
        <v>0</v>
      </c>
      <c r="F37" s="23">
        <f>'Post Reactions '!G28</f>
        <v>0</v>
      </c>
      <c r="G37" s="23">
        <f>'Post Reactions '!H28/12</f>
        <v>0</v>
      </c>
      <c r="H37" s="24">
        <f>'Post Reactions '!I28/12</f>
        <v>0</v>
      </c>
      <c r="I37" s="8"/>
      <c r="J37" s="30">
        <f>ABS((F37*($D$6+$D$10)))+$D$7*$D$12*($D$6/2)*0.525+ABS(G37)+IF(E37&lt;0,ABS(E37*($D$5/2)))</f>
        <v>0</v>
      </c>
      <c r="K37" s="23">
        <f>$D$7*($D$5/2)+$D$11*$D$10*$D$4*$D$5*($D$5/2)+IF(E37&gt;0, ABS(E37*$D$5/2),0)</f>
        <v>23520</v>
      </c>
      <c r="L37" s="111" t="e">
        <f t="shared" si="3"/>
        <v>#DIV/0!</v>
      </c>
      <c r="M37" s="136">
        <f t="shared" si="4"/>
        <v>3967.2</v>
      </c>
      <c r="N37" s="109" t="str">
        <f>IFERROR(M37/SQRT(D37^2+F37^2+(0.525*$D$12*$D$7)^2),"")</f>
        <v/>
      </c>
      <c r="Q37" s="8">
        <v>18</v>
      </c>
      <c r="R37" s="108">
        <v>1</v>
      </c>
      <c r="S37" s="112" t="s">
        <v>32</v>
      </c>
      <c r="T37" s="23">
        <f>'Post Reactions '!E81</f>
        <v>0</v>
      </c>
      <c r="U37" s="23">
        <f>'Post Reactions '!F81</f>
        <v>0</v>
      </c>
      <c r="V37" s="23">
        <f>'Post Reactions '!G81</f>
        <v>0</v>
      </c>
      <c r="W37" s="23">
        <f>'Post Reactions '!H81/12</f>
        <v>0</v>
      </c>
      <c r="X37" s="24">
        <f>'Post Reactions '!I81/12</f>
        <v>0</v>
      </c>
      <c r="Y37" s="8"/>
      <c r="Z37" s="30">
        <f>ABS((V37*($T$6+$T$10)))+$T$7*$T$12*($T$6/2)*0.525+ABS(W37)+IF(U37&lt;0,ABS(U37*($T$5/2)))</f>
        <v>0</v>
      </c>
      <c r="AA37" s="23">
        <f>$T$7*($T$5/2)+$T$11*$T$10*$T$4*$T$5*($T$5/2)+IF(U37&gt;0, ABS(U37*$T$5/2),0)</f>
        <v>23520</v>
      </c>
      <c r="AB37" s="111" t="e">
        <f t="shared" si="8"/>
        <v>#DIV/0!</v>
      </c>
      <c r="AC37" s="136">
        <f t="shared" si="9"/>
        <v>3967.2</v>
      </c>
      <c r="AD37" s="109" t="str">
        <f>IFERROR(AC37/SQRT(T37^2+V37^2+(0.525*$T$12*$T$7)^2),"")</f>
        <v/>
      </c>
    </row>
    <row r="38" spans="1:30" x14ac:dyDescent="0.25">
      <c r="A38" s="8">
        <v>19</v>
      </c>
      <c r="B38" s="108">
        <v>0.6</v>
      </c>
      <c r="C38" s="112" t="s">
        <v>37</v>
      </c>
      <c r="D38" s="23">
        <f>'Post Reactions '!E29</f>
        <v>0</v>
      </c>
      <c r="E38" s="23">
        <f>'Post Reactions '!F29</f>
        <v>0</v>
      </c>
      <c r="F38" s="23">
        <f>'Post Reactions '!G29</f>
        <v>0</v>
      </c>
      <c r="G38" s="23">
        <f>'Post Reactions '!H29/12</f>
        <v>0</v>
      </c>
      <c r="H38" s="24">
        <f>'Post Reactions '!I29/12</f>
        <v>0</v>
      </c>
      <c r="I38" s="8"/>
      <c r="J38" s="30">
        <f>IF(H38="","",ABS((D38*($D$6+$D$10))))+$D$7*$D$12*($D$6/2)*0.7+ABS(H38)+IF(E38&lt;0,ABS(E38*($D$4/2)))</f>
        <v>0</v>
      </c>
      <c r="K38" s="23">
        <f>0.6*$D$7*($D$4/2)+0.6*$D$11*$D$10*$D$4*$D$5*($D$4/2)+IF(E38&gt;0, ABS(E38*$D$4/2),0)</f>
        <v>21168</v>
      </c>
      <c r="L38" s="111" t="e">
        <f t="shared" si="3"/>
        <v>#DIV/0!</v>
      </c>
      <c r="M38" s="136">
        <f t="shared" si="4"/>
        <v>2380.3199999999997</v>
      </c>
      <c r="N38" s="109" t="str">
        <f>IFERROR(M38/SQRT(D38^2+F38^2+(0.7*$D$12*$D$7)^2),"")</f>
        <v/>
      </c>
      <c r="Q38" s="8">
        <v>19</v>
      </c>
      <c r="R38" s="108">
        <v>0.6</v>
      </c>
      <c r="S38" s="112" t="s">
        <v>37</v>
      </c>
      <c r="T38" s="23">
        <f>'Post Reactions '!E82</f>
        <v>0</v>
      </c>
      <c r="U38" s="23">
        <f>'Post Reactions '!F82</f>
        <v>0</v>
      </c>
      <c r="V38" s="23">
        <f>'Post Reactions '!G82</f>
        <v>0</v>
      </c>
      <c r="W38" s="23">
        <f>'Post Reactions '!H82/12</f>
        <v>0</v>
      </c>
      <c r="X38" s="24">
        <f>'Post Reactions '!I82/12</f>
        <v>0</v>
      </c>
      <c r="Y38" s="8"/>
      <c r="Z38" s="30">
        <f>IF(X38="","",ABS((T38*($T$6+$T$10))))+$T$7*$T$12*($T$6/2)*0.7+ABS(X38)+IF(U38&lt;0,ABS(U38*($T$4/2)))</f>
        <v>0</v>
      </c>
      <c r="AA38" s="23">
        <f>0.6*$T$7*($T$4/2)+0.6*$T$11*$T$10*$T$4*$T$5*($T$4/2)+IF(U38&gt;0, ABS(U38*$T$4/2),0)</f>
        <v>21168</v>
      </c>
      <c r="AB38" s="111" t="e">
        <f t="shared" si="8"/>
        <v>#DIV/0!</v>
      </c>
      <c r="AC38" s="136">
        <f t="shared" si="9"/>
        <v>2380.3199999999997</v>
      </c>
      <c r="AD38" s="109" t="str">
        <f>IFERROR(AC38/SQRT(T38^2+V38^2+(0.7*$T$12*$T$7)^2),"")</f>
        <v/>
      </c>
    </row>
    <row r="39" spans="1:30" x14ac:dyDescent="0.25">
      <c r="A39" s="8">
        <v>20</v>
      </c>
      <c r="B39" s="108">
        <v>0.6</v>
      </c>
      <c r="C39" s="112" t="s">
        <v>38</v>
      </c>
      <c r="D39" s="23">
        <f>'Post Reactions '!E30</f>
        <v>0</v>
      </c>
      <c r="E39" s="23">
        <f>'Post Reactions '!F30</f>
        <v>0</v>
      </c>
      <c r="F39" s="23">
        <f>'Post Reactions '!G30</f>
        <v>0</v>
      </c>
      <c r="G39" s="23">
        <f>'Post Reactions '!H30/12</f>
        <v>0</v>
      </c>
      <c r="H39" s="24">
        <f>'Post Reactions '!I30/12</f>
        <v>0</v>
      </c>
      <c r="I39" s="8"/>
      <c r="J39" s="30">
        <f>IF(H39="","",ABS((D39*($D$6+$D$10))))+$D$7*$D$12*($D$6/2)*0.7+ABS(H39)+IF(E39&lt;0,ABS(E39*($D$4/2)))</f>
        <v>0</v>
      </c>
      <c r="K39" s="23">
        <f>0.6*$D$7*($D$4/2)+0.6*$D$11*$D$10*$D$4*$D$5*($D$4/2)+IF(E39&gt;0, ABS(E39*$D$4/2),0)</f>
        <v>21168</v>
      </c>
      <c r="L39" s="111" t="e">
        <f t="shared" si="3"/>
        <v>#DIV/0!</v>
      </c>
      <c r="M39" s="136">
        <f t="shared" si="4"/>
        <v>2380.3199999999997</v>
      </c>
      <c r="N39" s="109" t="str">
        <f>IFERROR(M39/SQRT(D39^2+F39^2+(0.7*$D$12*$D$7)^2),"")</f>
        <v/>
      </c>
      <c r="Q39" s="8">
        <v>20</v>
      </c>
      <c r="R39" s="108">
        <v>0.6</v>
      </c>
      <c r="S39" s="112" t="s">
        <v>38</v>
      </c>
      <c r="T39" s="23">
        <f>'Post Reactions '!E83</f>
        <v>0</v>
      </c>
      <c r="U39" s="23">
        <f>'Post Reactions '!F83</f>
        <v>0</v>
      </c>
      <c r="V39" s="23">
        <f>'Post Reactions '!G83</f>
        <v>0</v>
      </c>
      <c r="W39" s="23">
        <f>'Post Reactions '!H83/12</f>
        <v>0</v>
      </c>
      <c r="X39" s="24">
        <f>'Post Reactions '!I83/12</f>
        <v>0</v>
      </c>
      <c r="Y39" s="8"/>
      <c r="Z39" s="30">
        <f>IF(X39="","",ABS((T39*($T$6+$T$10))))+$T$7*$T$12*($T$6/2)*0.7+ABS(X39)+IF(U39&lt;0,ABS(U39*($T$4/2)))</f>
        <v>0</v>
      </c>
      <c r="AA39" s="23">
        <f>0.6*$T$7*($T$4/2)+0.6*$T$11*$T$10*$T$4*$T$5*($T$4/2)+IF(U39&gt;0, ABS(U39*$T$4/2),0)</f>
        <v>21168</v>
      </c>
      <c r="AB39" s="111" t="e">
        <f t="shared" si="8"/>
        <v>#DIV/0!</v>
      </c>
      <c r="AC39" s="136">
        <f t="shared" si="9"/>
        <v>2380.3199999999997</v>
      </c>
      <c r="AD39" s="109" t="str">
        <f>IFERROR(AC39/SQRT(T39^2+V39^2+(0.7*$T$12*$T$7)^2),"")</f>
        <v/>
      </c>
    </row>
    <row r="40" spans="1:30" x14ac:dyDescent="0.25">
      <c r="A40" s="8">
        <v>21</v>
      </c>
      <c r="B40" s="108">
        <v>0.6</v>
      </c>
      <c r="C40" s="112" t="s">
        <v>39</v>
      </c>
      <c r="D40" s="23">
        <f>'Post Reactions '!E31</f>
        <v>0</v>
      </c>
      <c r="E40" s="23">
        <f>'Post Reactions '!F31</f>
        <v>0</v>
      </c>
      <c r="F40" s="23">
        <f>'Post Reactions '!G31</f>
        <v>0</v>
      </c>
      <c r="G40" s="23">
        <f>'Post Reactions '!H31/12</f>
        <v>0</v>
      </c>
      <c r="H40" s="24">
        <f>'Post Reactions '!I31/12</f>
        <v>0</v>
      </c>
      <c r="I40" s="8"/>
      <c r="J40" s="30">
        <f>IF(H40="","",ABS((F40*($D$6+$D$10))))+$D$7*$D$12*($D$6/2)*0.7+ABS(G40)+IF(E40&lt;0,ABS(E40*($D$5/2)))</f>
        <v>0</v>
      </c>
      <c r="K40" s="23">
        <f>0.6*$D$7*($D$5/2)+0.6*$D$11*$D$10*$D$4*$D$5*($D$5/2)+IF(E40&gt;0, ABS(E40*$D$5/2),0)</f>
        <v>14112</v>
      </c>
      <c r="L40" s="111" t="e">
        <f t="shared" si="3"/>
        <v>#DIV/0!</v>
      </c>
      <c r="M40" s="136">
        <f t="shared" si="4"/>
        <v>2380.3199999999997</v>
      </c>
      <c r="N40" s="109" t="str">
        <f>IFERROR(M40/SQRT(D40^2+F40^2+(0.7*$D$12*$D$7)^2),"")</f>
        <v/>
      </c>
      <c r="Q40" s="8">
        <v>21</v>
      </c>
      <c r="R40" s="108">
        <v>0.6</v>
      </c>
      <c r="S40" s="112" t="s">
        <v>39</v>
      </c>
      <c r="T40" s="23">
        <f>'Post Reactions '!E84</f>
        <v>0</v>
      </c>
      <c r="U40" s="23">
        <f>'Post Reactions '!F84</f>
        <v>0</v>
      </c>
      <c r="V40" s="23">
        <f>'Post Reactions '!G84</f>
        <v>0</v>
      </c>
      <c r="W40" s="23">
        <f>'Post Reactions '!H84/12</f>
        <v>0</v>
      </c>
      <c r="X40" s="24">
        <f>'Post Reactions '!I84/12</f>
        <v>0</v>
      </c>
      <c r="Y40" s="8"/>
      <c r="Z40" s="30">
        <f>IF(X40="","",ABS((V40*($T$6+$T$10))))+$T$7*$T$12*($T$6/2)*0.7+ABS(W40)+IF(U40&lt;0,ABS(U40*($T$5/2)))</f>
        <v>0</v>
      </c>
      <c r="AA40" s="23">
        <f>0.6*$T$7*($T$5/2)+0.6*$T$11*$T$10*$T$4*$T$5*($T$5/2)+IF(U40&gt;0, ABS(U40*$T$5/2),0)</f>
        <v>14112</v>
      </c>
      <c r="AB40" s="111" t="e">
        <f t="shared" si="8"/>
        <v>#DIV/0!</v>
      </c>
      <c r="AC40" s="136">
        <f t="shared" si="9"/>
        <v>2380.3199999999997</v>
      </c>
      <c r="AD40" s="109" t="str">
        <f>IFERROR(AC40/SQRT(T40^2+V40^2+(0.7*$T$12*$T$7)^2),"")</f>
        <v/>
      </c>
    </row>
    <row r="41" spans="1:30" ht="15.75" thickBot="1" x14ac:dyDescent="0.3">
      <c r="A41" s="8">
        <v>22</v>
      </c>
      <c r="B41" s="108">
        <v>0.6</v>
      </c>
      <c r="C41" s="107" t="s">
        <v>40</v>
      </c>
      <c r="D41" s="31">
        <f>'Post Reactions '!E32</f>
        <v>0</v>
      </c>
      <c r="E41" s="31">
        <f>'Post Reactions '!F32</f>
        <v>0</v>
      </c>
      <c r="F41" s="31">
        <f>'Post Reactions '!G32</f>
        <v>0</v>
      </c>
      <c r="G41" s="31">
        <f>'Post Reactions '!H32/12</f>
        <v>0</v>
      </c>
      <c r="H41" s="32">
        <f>'Post Reactions '!I32/12</f>
        <v>0</v>
      </c>
      <c r="I41" s="8"/>
      <c r="J41" s="33">
        <f>IF(H41="","",ABS((F41*($D$6+$D$10))))+$D$7*$D$12*($D$6/2)*0.7+ABS(G41)+IF(E41&lt;0,ABS(E41*($D$5/2)))</f>
        <v>0</v>
      </c>
      <c r="K41" s="31">
        <f>0.6*$D$7*($D$5/2)+0.6*$D$11*$D$10*$D$4*$D$5*($D$5/2)+IF(E41&gt;0, ABS(E41*$D$5/2),0)</f>
        <v>14112</v>
      </c>
      <c r="L41" s="106" t="e">
        <f t="shared" si="3"/>
        <v>#DIV/0!</v>
      </c>
      <c r="M41" s="135">
        <f t="shared" si="4"/>
        <v>2380.3199999999997</v>
      </c>
      <c r="N41" s="104" t="str">
        <f>IFERROR(M41/SQRT(D41^2+F41^2+(0.7*$D$12*$D$7)^2),"")</f>
        <v/>
      </c>
      <c r="Q41" s="8">
        <v>22</v>
      </c>
      <c r="R41" s="108">
        <v>0.6</v>
      </c>
      <c r="S41" s="107" t="s">
        <v>40</v>
      </c>
      <c r="T41" s="31">
        <f>'Post Reactions '!E85</f>
        <v>0</v>
      </c>
      <c r="U41" s="31">
        <f>'Post Reactions '!F85</f>
        <v>0</v>
      </c>
      <c r="V41" s="31">
        <f>'Post Reactions '!G85</f>
        <v>0</v>
      </c>
      <c r="W41" s="31">
        <f>'Post Reactions '!H85/12</f>
        <v>0</v>
      </c>
      <c r="X41" s="32">
        <f>'Post Reactions '!I85/12</f>
        <v>0</v>
      </c>
      <c r="Y41" s="8"/>
      <c r="Z41" s="33">
        <f>IF(X41="","",ABS((V41*($T$6+$T$10))))+$T$7*$T$12*($T$6/2)*0.7+ABS(W41)+IF(U41&lt;0,ABS(U41*($T$5/2)))</f>
        <v>0</v>
      </c>
      <c r="AA41" s="31">
        <f>0.6*$T$7*($T$5/2)+0.6*$T$11*$T$10*$T$4*$T$5*($T$5/2)+IF(U41&gt;0, ABS(U41*$T$5/2),0)</f>
        <v>14112</v>
      </c>
      <c r="AB41" s="106" t="e">
        <f t="shared" si="8"/>
        <v>#DIV/0!</v>
      </c>
      <c r="AC41" s="135">
        <f t="shared" si="9"/>
        <v>2380.3199999999997</v>
      </c>
      <c r="AD41" s="104" t="str">
        <f>IFERROR(AC41/SQRT(T41^2+V41^2+(0.7*$T$12*$T$7)^2),"")</f>
        <v/>
      </c>
    </row>
    <row r="42" spans="1:30" x14ac:dyDescent="0.25">
      <c r="C42" s="7"/>
      <c r="D42" s="125"/>
      <c r="E42" s="125"/>
      <c r="F42" s="125"/>
      <c r="G42" s="125"/>
      <c r="H42" s="125"/>
      <c r="I42" s="113"/>
      <c r="J42" s="125"/>
      <c r="K42" s="125"/>
      <c r="L42" s="124"/>
      <c r="S42" s="7"/>
      <c r="T42" s="125"/>
      <c r="U42" s="125"/>
      <c r="V42" s="125"/>
      <c r="W42" s="125"/>
      <c r="X42" s="125"/>
      <c r="Y42" s="113"/>
      <c r="Z42" s="125"/>
      <c r="AA42" s="125"/>
      <c r="AB42" s="124"/>
    </row>
    <row r="43" spans="1:30" ht="15.75" thickBot="1" x14ac:dyDescent="0.3">
      <c r="C43" s="7"/>
      <c r="D43" s="125"/>
      <c r="E43" s="125"/>
      <c r="F43" s="125"/>
      <c r="G43" s="125"/>
      <c r="H43" s="125"/>
      <c r="I43" s="113"/>
      <c r="J43" s="125"/>
      <c r="K43" s="125"/>
      <c r="L43" s="124"/>
      <c r="S43" s="7"/>
      <c r="T43" s="125"/>
      <c r="U43" s="125"/>
      <c r="V43" s="125"/>
      <c r="W43" s="125"/>
      <c r="X43" s="125"/>
      <c r="Y43" s="113"/>
      <c r="Z43" s="125"/>
      <c r="AA43" s="125"/>
      <c r="AB43" s="124"/>
    </row>
    <row r="44" spans="1:30" ht="15.75" thickBot="1" x14ac:dyDescent="0.3">
      <c r="C44" s="496" t="s">
        <v>153</v>
      </c>
      <c r="D44" s="497"/>
      <c r="E44" s="497"/>
      <c r="F44" s="497"/>
      <c r="G44" s="497"/>
      <c r="H44" s="497"/>
      <c r="I44" s="497"/>
      <c r="J44" s="497"/>
      <c r="K44" s="497"/>
      <c r="L44" s="497"/>
      <c r="M44" s="497"/>
      <c r="N44" s="500"/>
      <c r="S44" s="501" t="s">
        <v>153</v>
      </c>
      <c r="T44" s="502"/>
      <c r="U44" s="502"/>
      <c r="V44" s="502"/>
      <c r="W44" s="502"/>
      <c r="X44" s="502"/>
      <c r="Y44" s="502"/>
      <c r="Z44" s="502"/>
      <c r="AA44" s="502"/>
      <c r="AB44" s="502"/>
      <c r="AC44" s="502"/>
      <c r="AD44" s="505"/>
    </row>
    <row r="45" spans="1:30" ht="15.75" thickBot="1" x14ac:dyDescent="0.3">
      <c r="C45" s="123" t="s">
        <v>19</v>
      </c>
      <c r="D45" s="123" t="s">
        <v>113</v>
      </c>
      <c r="E45" s="123" t="s">
        <v>112</v>
      </c>
      <c r="F45" s="123" t="s">
        <v>111</v>
      </c>
      <c r="G45" s="123" t="s">
        <v>110</v>
      </c>
      <c r="H45" s="123" t="s">
        <v>109</v>
      </c>
      <c r="I45" s="122"/>
      <c r="J45" s="121" t="s">
        <v>108</v>
      </c>
      <c r="K45" s="120" t="s">
        <v>107</v>
      </c>
      <c r="L45" s="120" t="s">
        <v>106</v>
      </c>
      <c r="M45" s="120" t="s">
        <v>105</v>
      </c>
      <c r="N45" s="119" t="s">
        <v>104</v>
      </c>
      <c r="S45" s="123" t="s">
        <v>19</v>
      </c>
      <c r="T45" s="123" t="s">
        <v>113</v>
      </c>
      <c r="U45" s="123" t="s">
        <v>112</v>
      </c>
      <c r="V45" s="123" t="s">
        <v>111</v>
      </c>
      <c r="W45" s="123" t="s">
        <v>110</v>
      </c>
      <c r="X45" s="123" t="s">
        <v>109</v>
      </c>
      <c r="Y45" s="122"/>
      <c r="Z45" s="121" t="s">
        <v>108</v>
      </c>
      <c r="AA45" s="120" t="s">
        <v>107</v>
      </c>
      <c r="AB45" s="120" t="s">
        <v>106</v>
      </c>
      <c r="AC45" s="120" t="s">
        <v>105</v>
      </c>
      <c r="AD45" s="119" t="s">
        <v>104</v>
      </c>
    </row>
    <row r="46" spans="1:30" x14ac:dyDescent="0.25">
      <c r="A46" s="8">
        <v>1</v>
      </c>
      <c r="B46" s="108">
        <v>1</v>
      </c>
      <c r="C46" s="118" t="s">
        <v>0</v>
      </c>
      <c r="D46" s="21">
        <f>'Post Reactions '!E37</f>
        <v>0</v>
      </c>
      <c r="E46" s="21">
        <f>'Post Reactions '!F37</f>
        <v>0</v>
      </c>
      <c r="F46" s="21">
        <f>'Post Reactions '!G37</f>
        <v>0</v>
      </c>
      <c r="G46" s="21">
        <f>'Post Reactions '!H37/12</f>
        <v>0</v>
      </c>
      <c r="H46" s="22">
        <f>'Post Reactions '!I37/12</f>
        <v>0</v>
      </c>
      <c r="I46" s="113"/>
      <c r="J46" s="117">
        <f t="shared" ref="J46:J55" si="11">ABS((D46*($D$6+$D$10)))+ABS(H46)+IF(E46&lt;0,ABS(E46*($D$4/2)))</f>
        <v>0</v>
      </c>
      <c r="K46" s="116">
        <f t="shared" ref="K46:K53" si="12">$D$7*($D$4/2)+$D$11*$D$10*$D$4*$D$5*($D$4/2)+IF(E46&gt;0, ABS(E46*$D$4/2),0)</f>
        <v>35280</v>
      </c>
      <c r="L46" s="115" t="e">
        <f t="shared" ref="L46:L67" si="13">K46/J46</f>
        <v>#DIV/0!</v>
      </c>
      <c r="M46" s="110">
        <f t="shared" ref="M46:M67" si="14">($D$14*(E46+$D$7*B46))</f>
        <v>3967.2</v>
      </c>
      <c r="N46" s="114" t="str">
        <f t="shared" ref="N46:N55" si="15">IFERROR(M46/SQRT(D46^2+F46^2),"")</f>
        <v/>
      </c>
      <c r="Q46" s="8">
        <v>1</v>
      </c>
      <c r="R46" s="108">
        <v>1</v>
      </c>
      <c r="S46" s="118" t="s">
        <v>0</v>
      </c>
      <c r="T46" s="21">
        <f>'Post Reactions '!E90</f>
        <v>0</v>
      </c>
      <c r="U46" s="21">
        <f>'Post Reactions '!F90</f>
        <v>0</v>
      </c>
      <c r="V46" s="21">
        <f>'Post Reactions '!G90</f>
        <v>0</v>
      </c>
      <c r="W46" s="21">
        <f>'Post Reactions '!H90/12</f>
        <v>0</v>
      </c>
      <c r="X46" s="22">
        <f>'Post Reactions '!I90/12</f>
        <v>0</v>
      </c>
      <c r="Y46" s="113"/>
      <c r="Z46" s="117">
        <f t="shared" ref="Z46:Z55" si="16">ABS((T46*($T$6+$T$10)))+ABS(X46)+IF(U46&lt;0,ABS(U46*($T$4/2)))</f>
        <v>0</v>
      </c>
      <c r="AA46" s="116">
        <f t="shared" ref="AA46:AA53" si="17">$T$7*($T$4/2)+$T$11*$T$10*$T$4*$T$5*($T$4/2)+IF(U46&gt;0, ABS(U46*$T$4/2),0)</f>
        <v>35280</v>
      </c>
      <c r="AB46" s="115" t="e">
        <f t="shared" ref="AB46:AB67" si="18">AA46/Z46</f>
        <v>#DIV/0!</v>
      </c>
      <c r="AC46" s="110">
        <f t="shared" ref="AC46:AC67" si="19">($T$14*(U46+$T$7*R46))</f>
        <v>3967.2</v>
      </c>
      <c r="AD46" s="114" t="str">
        <f t="shared" ref="AD46:AD55" si="20">IFERROR(AC46/SQRT(T46^2+V46^2),"")</f>
        <v/>
      </c>
    </row>
    <row r="47" spans="1:30" x14ac:dyDescent="0.25">
      <c r="A47" s="8">
        <v>2</v>
      </c>
      <c r="B47" s="108">
        <v>1</v>
      </c>
      <c r="C47" s="112" t="s">
        <v>20</v>
      </c>
      <c r="D47" s="23">
        <f>'Post Reactions '!E38</f>
        <v>0</v>
      </c>
      <c r="E47" s="23">
        <f>'Post Reactions '!F38</f>
        <v>0</v>
      </c>
      <c r="F47" s="23">
        <f>'Post Reactions '!G38</f>
        <v>0</v>
      </c>
      <c r="G47" s="23">
        <f>'Post Reactions '!H38/12</f>
        <v>0</v>
      </c>
      <c r="H47" s="24">
        <f>'Post Reactions '!I38/12</f>
        <v>0</v>
      </c>
      <c r="I47" s="113"/>
      <c r="J47" s="30">
        <f t="shared" si="11"/>
        <v>0</v>
      </c>
      <c r="K47" s="23">
        <f t="shared" si="12"/>
        <v>35280</v>
      </c>
      <c r="L47" s="111" t="e">
        <f t="shared" si="13"/>
        <v>#DIV/0!</v>
      </c>
      <c r="M47" s="136">
        <f t="shared" si="14"/>
        <v>3967.2</v>
      </c>
      <c r="N47" s="109" t="str">
        <f t="shared" si="15"/>
        <v/>
      </c>
      <c r="Q47" s="8">
        <v>2</v>
      </c>
      <c r="R47" s="108">
        <v>1</v>
      </c>
      <c r="S47" s="112" t="s">
        <v>20</v>
      </c>
      <c r="T47" s="23">
        <f>'Post Reactions '!E91</f>
        <v>0</v>
      </c>
      <c r="U47" s="23">
        <f>'Post Reactions '!F91</f>
        <v>0</v>
      </c>
      <c r="V47" s="23">
        <f>'Post Reactions '!G91</f>
        <v>0</v>
      </c>
      <c r="W47" s="23">
        <f>'Post Reactions '!H91/12</f>
        <v>0</v>
      </c>
      <c r="X47" s="24">
        <f>'Post Reactions '!I91/12</f>
        <v>0</v>
      </c>
      <c r="Y47" s="113"/>
      <c r="Z47" s="30">
        <f t="shared" si="16"/>
        <v>0</v>
      </c>
      <c r="AA47" s="23">
        <f t="shared" si="17"/>
        <v>35280</v>
      </c>
      <c r="AB47" s="111" t="e">
        <f t="shared" si="18"/>
        <v>#DIV/0!</v>
      </c>
      <c r="AC47" s="136">
        <f t="shared" si="19"/>
        <v>3967.2</v>
      </c>
      <c r="AD47" s="109" t="str">
        <f t="shared" si="20"/>
        <v/>
      </c>
    </row>
    <row r="48" spans="1:30" x14ac:dyDescent="0.25">
      <c r="A48" s="8">
        <v>3</v>
      </c>
      <c r="B48" s="108">
        <v>1</v>
      </c>
      <c r="C48" s="112" t="s">
        <v>21</v>
      </c>
      <c r="D48" s="23">
        <f>'Post Reactions '!E39</f>
        <v>0</v>
      </c>
      <c r="E48" s="23">
        <f>'Post Reactions '!F39</f>
        <v>0</v>
      </c>
      <c r="F48" s="23">
        <f>'Post Reactions '!G39</f>
        <v>0</v>
      </c>
      <c r="G48" s="23">
        <f>'Post Reactions '!H39/12</f>
        <v>0</v>
      </c>
      <c r="H48" s="24">
        <f>'Post Reactions '!I39/12</f>
        <v>0</v>
      </c>
      <c r="I48" s="113"/>
      <c r="J48" s="30">
        <f t="shared" si="11"/>
        <v>0</v>
      </c>
      <c r="K48" s="23">
        <f t="shared" si="12"/>
        <v>35280</v>
      </c>
      <c r="L48" s="111" t="e">
        <f t="shared" si="13"/>
        <v>#DIV/0!</v>
      </c>
      <c r="M48" s="136">
        <f t="shared" si="14"/>
        <v>3967.2</v>
      </c>
      <c r="N48" s="109" t="str">
        <f t="shared" si="15"/>
        <v/>
      </c>
      <c r="Q48" s="8">
        <v>3</v>
      </c>
      <c r="R48" s="108">
        <v>1</v>
      </c>
      <c r="S48" s="112" t="s">
        <v>21</v>
      </c>
      <c r="T48" s="23">
        <f>'Post Reactions '!E92</f>
        <v>0</v>
      </c>
      <c r="U48" s="23">
        <f>'Post Reactions '!F92</f>
        <v>0</v>
      </c>
      <c r="V48" s="23">
        <f>'Post Reactions '!G92</f>
        <v>0</v>
      </c>
      <c r="W48" s="23">
        <f>'Post Reactions '!H92/12</f>
        <v>0</v>
      </c>
      <c r="X48" s="24">
        <f>'Post Reactions '!I92/12</f>
        <v>0</v>
      </c>
      <c r="Y48" s="113"/>
      <c r="Z48" s="30">
        <f t="shared" si="16"/>
        <v>0</v>
      </c>
      <c r="AA48" s="23">
        <f t="shared" si="17"/>
        <v>35280</v>
      </c>
      <c r="AB48" s="111" t="e">
        <f t="shared" si="18"/>
        <v>#DIV/0!</v>
      </c>
      <c r="AC48" s="136">
        <f t="shared" si="19"/>
        <v>3967.2</v>
      </c>
      <c r="AD48" s="109" t="str">
        <f t="shared" si="20"/>
        <v/>
      </c>
    </row>
    <row r="49" spans="1:30" x14ac:dyDescent="0.25">
      <c r="A49" s="8">
        <v>4</v>
      </c>
      <c r="B49" s="108">
        <v>1</v>
      </c>
      <c r="C49" s="112" t="s">
        <v>22</v>
      </c>
      <c r="D49" s="23">
        <f>'Post Reactions '!E40</f>
        <v>0</v>
      </c>
      <c r="E49" s="23">
        <f>'Post Reactions '!F40</f>
        <v>0</v>
      </c>
      <c r="F49" s="23">
        <f>'Post Reactions '!G40</f>
        <v>0</v>
      </c>
      <c r="G49" s="23">
        <f>'Post Reactions '!H40/12</f>
        <v>0</v>
      </c>
      <c r="H49" s="24">
        <f>'Post Reactions '!I40/12</f>
        <v>0</v>
      </c>
      <c r="I49" s="113"/>
      <c r="J49" s="30">
        <f t="shared" si="11"/>
        <v>0</v>
      </c>
      <c r="K49" s="23">
        <f t="shared" si="12"/>
        <v>35280</v>
      </c>
      <c r="L49" s="111" t="e">
        <f t="shared" si="13"/>
        <v>#DIV/0!</v>
      </c>
      <c r="M49" s="136">
        <f t="shared" si="14"/>
        <v>3967.2</v>
      </c>
      <c r="N49" s="109" t="str">
        <f t="shared" si="15"/>
        <v/>
      </c>
      <c r="Q49" s="8">
        <v>4</v>
      </c>
      <c r="R49" s="108">
        <v>1</v>
      </c>
      <c r="S49" s="112" t="s">
        <v>22</v>
      </c>
      <c r="T49" s="23">
        <f>'Post Reactions '!E93</f>
        <v>0</v>
      </c>
      <c r="U49" s="23">
        <f>'Post Reactions '!F93</f>
        <v>0</v>
      </c>
      <c r="V49" s="23">
        <f>'Post Reactions '!G93</f>
        <v>0</v>
      </c>
      <c r="W49" s="23">
        <f>'Post Reactions '!H93/12</f>
        <v>0</v>
      </c>
      <c r="X49" s="24">
        <f>'Post Reactions '!I93/12</f>
        <v>0</v>
      </c>
      <c r="Y49" s="113"/>
      <c r="Z49" s="30">
        <f t="shared" si="16"/>
        <v>0</v>
      </c>
      <c r="AA49" s="23">
        <f t="shared" si="17"/>
        <v>35280</v>
      </c>
      <c r="AB49" s="111" t="e">
        <f t="shared" si="18"/>
        <v>#DIV/0!</v>
      </c>
      <c r="AC49" s="136">
        <f t="shared" si="19"/>
        <v>3967.2</v>
      </c>
      <c r="AD49" s="109" t="str">
        <f t="shared" si="20"/>
        <v/>
      </c>
    </row>
    <row r="50" spans="1:30" x14ac:dyDescent="0.25">
      <c r="A50" s="8">
        <v>5</v>
      </c>
      <c r="B50" s="108">
        <v>1</v>
      </c>
      <c r="C50" s="112" t="s">
        <v>35</v>
      </c>
      <c r="D50" s="23">
        <f>'Post Reactions '!E41</f>
        <v>0</v>
      </c>
      <c r="E50" s="23">
        <f>'Post Reactions '!F41</f>
        <v>0</v>
      </c>
      <c r="F50" s="23">
        <f>'Post Reactions '!G41</f>
        <v>0</v>
      </c>
      <c r="G50" s="23">
        <f>'Post Reactions '!H41/12</f>
        <v>0</v>
      </c>
      <c r="H50" s="24">
        <f>'Post Reactions '!I41/12</f>
        <v>0</v>
      </c>
      <c r="I50" s="113"/>
      <c r="J50" s="30">
        <f t="shared" si="11"/>
        <v>0</v>
      </c>
      <c r="K50" s="23">
        <f t="shared" si="12"/>
        <v>35280</v>
      </c>
      <c r="L50" s="111" t="e">
        <f t="shared" si="13"/>
        <v>#DIV/0!</v>
      </c>
      <c r="M50" s="136">
        <f t="shared" si="14"/>
        <v>3967.2</v>
      </c>
      <c r="N50" s="109" t="str">
        <f t="shared" si="15"/>
        <v/>
      </c>
      <c r="Q50" s="8">
        <v>5</v>
      </c>
      <c r="R50" s="108">
        <v>1</v>
      </c>
      <c r="S50" s="112" t="s">
        <v>35</v>
      </c>
      <c r="T50" s="23">
        <f>'Post Reactions '!E94</f>
        <v>0</v>
      </c>
      <c r="U50" s="23">
        <f>'Post Reactions '!F94</f>
        <v>0</v>
      </c>
      <c r="V50" s="23">
        <f>'Post Reactions '!G94</f>
        <v>0</v>
      </c>
      <c r="W50" s="23">
        <f>'Post Reactions '!H94/12</f>
        <v>0</v>
      </c>
      <c r="X50" s="24">
        <f>'Post Reactions '!I94/12</f>
        <v>0</v>
      </c>
      <c r="Y50" s="113"/>
      <c r="Z50" s="30">
        <f t="shared" si="16"/>
        <v>0</v>
      </c>
      <c r="AA50" s="23">
        <f t="shared" si="17"/>
        <v>35280</v>
      </c>
      <c r="AB50" s="111" t="e">
        <f t="shared" si="18"/>
        <v>#DIV/0!</v>
      </c>
      <c r="AC50" s="136">
        <f t="shared" si="19"/>
        <v>3967.2</v>
      </c>
      <c r="AD50" s="109" t="str">
        <f t="shared" si="20"/>
        <v/>
      </c>
    </row>
    <row r="51" spans="1:30" x14ac:dyDescent="0.25">
      <c r="A51" s="8">
        <v>6</v>
      </c>
      <c r="B51" s="108">
        <v>1</v>
      </c>
      <c r="C51" s="112" t="s">
        <v>36</v>
      </c>
      <c r="D51" s="23">
        <f>'Post Reactions '!E42</f>
        <v>0</v>
      </c>
      <c r="E51" s="23">
        <f>'Post Reactions '!F42</f>
        <v>0</v>
      </c>
      <c r="F51" s="23">
        <f>'Post Reactions '!G42</f>
        <v>0</v>
      </c>
      <c r="G51" s="23">
        <f>'Post Reactions '!H42/12</f>
        <v>0</v>
      </c>
      <c r="H51" s="24">
        <f>'Post Reactions '!I42/12</f>
        <v>0</v>
      </c>
      <c r="I51" s="113"/>
      <c r="J51" s="30">
        <f t="shared" si="11"/>
        <v>0</v>
      </c>
      <c r="K51" s="23">
        <f t="shared" si="12"/>
        <v>35280</v>
      </c>
      <c r="L51" s="111" t="e">
        <f t="shared" si="13"/>
        <v>#DIV/0!</v>
      </c>
      <c r="M51" s="136">
        <f t="shared" si="14"/>
        <v>3967.2</v>
      </c>
      <c r="N51" s="109" t="str">
        <f t="shared" si="15"/>
        <v/>
      </c>
      <c r="P51" s="18"/>
      <c r="Q51" s="8">
        <v>6</v>
      </c>
      <c r="R51" s="108">
        <v>1</v>
      </c>
      <c r="S51" s="112" t="s">
        <v>36</v>
      </c>
      <c r="T51" s="23">
        <f>'Post Reactions '!E95</f>
        <v>0</v>
      </c>
      <c r="U51" s="23">
        <f>'Post Reactions '!F95</f>
        <v>0</v>
      </c>
      <c r="V51" s="23">
        <f>'Post Reactions '!G95</f>
        <v>0</v>
      </c>
      <c r="W51" s="23">
        <f>'Post Reactions '!H95/12</f>
        <v>0</v>
      </c>
      <c r="X51" s="24">
        <f>'Post Reactions '!I95/12</f>
        <v>0</v>
      </c>
      <c r="Y51" s="113"/>
      <c r="Z51" s="30">
        <f t="shared" si="16"/>
        <v>0</v>
      </c>
      <c r="AA51" s="23">
        <f t="shared" si="17"/>
        <v>35280</v>
      </c>
      <c r="AB51" s="111" t="e">
        <f t="shared" si="18"/>
        <v>#DIV/0!</v>
      </c>
      <c r="AC51" s="136">
        <f t="shared" si="19"/>
        <v>3967.2</v>
      </c>
      <c r="AD51" s="109" t="str">
        <f t="shared" si="20"/>
        <v/>
      </c>
    </row>
    <row r="52" spans="1:30" x14ac:dyDescent="0.25">
      <c r="A52" s="8">
        <v>7</v>
      </c>
      <c r="B52" s="108">
        <v>1</v>
      </c>
      <c r="C52" s="112" t="s">
        <v>33</v>
      </c>
      <c r="D52" s="23">
        <f>'Post Reactions '!E43</f>
        <v>0</v>
      </c>
      <c r="E52" s="23">
        <f>'Post Reactions '!F43</f>
        <v>0</v>
      </c>
      <c r="F52" s="23">
        <f>'Post Reactions '!G43</f>
        <v>0</v>
      </c>
      <c r="G52" s="23">
        <f>'Post Reactions '!H43/12</f>
        <v>0</v>
      </c>
      <c r="H52" s="24">
        <f>'Post Reactions '!I43/12</f>
        <v>0</v>
      </c>
      <c r="I52" s="113"/>
      <c r="J52" s="30">
        <f t="shared" si="11"/>
        <v>0</v>
      </c>
      <c r="K52" s="23">
        <f t="shared" si="12"/>
        <v>35280</v>
      </c>
      <c r="L52" s="111" t="e">
        <f t="shared" si="13"/>
        <v>#DIV/0!</v>
      </c>
      <c r="M52" s="136">
        <f t="shared" si="14"/>
        <v>3967.2</v>
      </c>
      <c r="N52" s="109" t="str">
        <f t="shared" si="15"/>
        <v/>
      </c>
      <c r="Q52" s="8">
        <v>7</v>
      </c>
      <c r="R52" s="108">
        <v>1</v>
      </c>
      <c r="S52" s="112" t="s">
        <v>33</v>
      </c>
      <c r="T52" s="23">
        <f>'Post Reactions '!E96</f>
        <v>0</v>
      </c>
      <c r="U52" s="23">
        <f>'Post Reactions '!F96</f>
        <v>0</v>
      </c>
      <c r="V52" s="23">
        <f>'Post Reactions '!G96</f>
        <v>0</v>
      </c>
      <c r="W52" s="23">
        <f>'Post Reactions '!H96/12</f>
        <v>0</v>
      </c>
      <c r="X52" s="24">
        <f>'Post Reactions '!I96/12</f>
        <v>0</v>
      </c>
      <c r="Y52" s="113"/>
      <c r="Z52" s="30">
        <f t="shared" si="16"/>
        <v>0</v>
      </c>
      <c r="AA52" s="23">
        <f t="shared" si="17"/>
        <v>35280</v>
      </c>
      <c r="AB52" s="111" t="e">
        <f t="shared" si="18"/>
        <v>#DIV/0!</v>
      </c>
      <c r="AC52" s="136">
        <f t="shared" si="19"/>
        <v>3967.2</v>
      </c>
      <c r="AD52" s="109" t="str">
        <f t="shared" si="20"/>
        <v/>
      </c>
    </row>
    <row r="53" spans="1:30" x14ac:dyDescent="0.25">
      <c r="A53" s="8">
        <v>8</v>
      </c>
      <c r="B53" s="108">
        <v>1</v>
      </c>
      <c r="C53" s="112" t="s">
        <v>34</v>
      </c>
      <c r="D53" s="23">
        <f>'Post Reactions '!E44</f>
        <v>0</v>
      </c>
      <c r="E53" s="23">
        <f>'Post Reactions '!F44</f>
        <v>0</v>
      </c>
      <c r="F53" s="23">
        <f>'Post Reactions '!G44</f>
        <v>0</v>
      </c>
      <c r="G53" s="23">
        <f>'Post Reactions '!H44/12</f>
        <v>0</v>
      </c>
      <c r="H53" s="24">
        <f>'Post Reactions '!I44/12</f>
        <v>0</v>
      </c>
      <c r="I53" s="113"/>
      <c r="J53" s="30">
        <f t="shared" si="11"/>
        <v>0</v>
      </c>
      <c r="K53" s="23">
        <f t="shared" si="12"/>
        <v>35280</v>
      </c>
      <c r="L53" s="111" t="e">
        <f t="shared" si="13"/>
        <v>#DIV/0!</v>
      </c>
      <c r="M53" s="136">
        <f t="shared" si="14"/>
        <v>3967.2</v>
      </c>
      <c r="N53" s="109" t="str">
        <f t="shared" si="15"/>
        <v/>
      </c>
      <c r="Q53" s="8">
        <v>8</v>
      </c>
      <c r="R53" s="108">
        <v>1</v>
      </c>
      <c r="S53" s="112" t="s">
        <v>34</v>
      </c>
      <c r="T53" s="23">
        <f>'Post Reactions '!E97</f>
        <v>0</v>
      </c>
      <c r="U53" s="23">
        <f>'Post Reactions '!F97</f>
        <v>0</v>
      </c>
      <c r="V53" s="23">
        <f>'Post Reactions '!G97</f>
        <v>0</v>
      </c>
      <c r="W53" s="23">
        <f>'Post Reactions '!H97/12</f>
        <v>0</v>
      </c>
      <c r="X53" s="24">
        <f>'Post Reactions '!I97/12</f>
        <v>0</v>
      </c>
      <c r="Y53" s="113"/>
      <c r="Z53" s="30">
        <f t="shared" si="16"/>
        <v>0</v>
      </c>
      <c r="AA53" s="23">
        <f t="shared" si="17"/>
        <v>35280</v>
      </c>
      <c r="AB53" s="111" t="e">
        <f t="shared" si="18"/>
        <v>#DIV/0!</v>
      </c>
      <c r="AC53" s="136">
        <f t="shared" si="19"/>
        <v>3967.2</v>
      </c>
      <c r="AD53" s="109" t="str">
        <f t="shared" si="20"/>
        <v/>
      </c>
    </row>
    <row r="54" spans="1:30" x14ac:dyDescent="0.25">
      <c r="A54" s="8">
        <v>9</v>
      </c>
      <c r="B54" s="108">
        <v>0.6</v>
      </c>
      <c r="C54" s="112" t="s">
        <v>23</v>
      </c>
      <c r="D54" s="23">
        <f>'Post Reactions '!E45</f>
        <v>0</v>
      </c>
      <c r="E54" s="23">
        <f>'Post Reactions '!F45</f>
        <v>0</v>
      </c>
      <c r="F54" s="23">
        <f>'Post Reactions '!G45</f>
        <v>0</v>
      </c>
      <c r="G54" s="23">
        <f>'Post Reactions '!H45/12</f>
        <v>0</v>
      </c>
      <c r="H54" s="24">
        <f>'Post Reactions '!I45/12</f>
        <v>0</v>
      </c>
      <c r="I54" s="113"/>
      <c r="J54" s="30">
        <f t="shared" si="11"/>
        <v>0</v>
      </c>
      <c r="K54" s="23">
        <f>0.6*$D$7*($D$4/2)+0.6*$D$11*$D$10*$D$4*$D$5*($D$4/2)+IF(E54&gt;0, ABS(E54*$D$4/2),0)</f>
        <v>21168</v>
      </c>
      <c r="L54" s="111" t="e">
        <f t="shared" si="13"/>
        <v>#DIV/0!</v>
      </c>
      <c r="M54" s="136">
        <f t="shared" si="14"/>
        <v>2380.3199999999997</v>
      </c>
      <c r="N54" s="109" t="str">
        <f t="shared" si="15"/>
        <v/>
      </c>
      <c r="Q54" s="8">
        <v>9</v>
      </c>
      <c r="R54" s="108">
        <v>0.6</v>
      </c>
      <c r="S54" s="112" t="s">
        <v>23</v>
      </c>
      <c r="T54" s="23">
        <f>'Post Reactions '!E98</f>
        <v>0</v>
      </c>
      <c r="U54" s="23">
        <f>'Post Reactions '!F98</f>
        <v>0</v>
      </c>
      <c r="V54" s="23">
        <f>'Post Reactions '!G98</f>
        <v>0</v>
      </c>
      <c r="W54" s="23">
        <f>'Post Reactions '!H98/12</f>
        <v>0</v>
      </c>
      <c r="X54" s="24">
        <f>'Post Reactions '!I98/12</f>
        <v>0</v>
      </c>
      <c r="Y54" s="113"/>
      <c r="Z54" s="30">
        <f t="shared" si="16"/>
        <v>0</v>
      </c>
      <c r="AA54" s="23">
        <f>0.6*$T$7*($T$4/2)+0.6*$T$11*$T$10*$T$4*$T$5*($T$4/2)+IF(U54&gt;0, ABS(U54*$T$4/2),0)</f>
        <v>21168</v>
      </c>
      <c r="AB54" s="111" t="e">
        <f t="shared" si="18"/>
        <v>#DIV/0!</v>
      </c>
      <c r="AC54" s="136">
        <f t="shared" si="19"/>
        <v>2380.3199999999997</v>
      </c>
      <c r="AD54" s="109" t="str">
        <f t="shared" si="20"/>
        <v/>
      </c>
    </row>
    <row r="55" spans="1:30" x14ac:dyDescent="0.25">
      <c r="A55" s="8">
        <v>10</v>
      </c>
      <c r="B55" s="108">
        <v>0.6</v>
      </c>
      <c r="C55" s="112" t="s">
        <v>24</v>
      </c>
      <c r="D55" s="23">
        <f>'Post Reactions '!E46</f>
        <v>0</v>
      </c>
      <c r="E55" s="23">
        <f>'Post Reactions '!F46</f>
        <v>0</v>
      </c>
      <c r="F55" s="23">
        <f>'Post Reactions '!G46</f>
        <v>0</v>
      </c>
      <c r="G55" s="23">
        <f>'Post Reactions '!H46/12</f>
        <v>0</v>
      </c>
      <c r="H55" s="24">
        <f>'Post Reactions '!I46/12</f>
        <v>0</v>
      </c>
      <c r="I55" s="113"/>
      <c r="J55" s="30">
        <f t="shared" si="11"/>
        <v>0</v>
      </c>
      <c r="K55" s="23">
        <f>0.6*$D$7*($D$4/2)+0.6*$D$11*$D$10*$D$4*$D$5*($D$4/2)+IF(E55&gt;0, ABS(E55*$D$4/2),0)</f>
        <v>21168</v>
      </c>
      <c r="L55" s="111" t="e">
        <f t="shared" si="13"/>
        <v>#DIV/0!</v>
      </c>
      <c r="M55" s="136">
        <f t="shared" si="14"/>
        <v>2380.3199999999997</v>
      </c>
      <c r="N55" s="109" t="str">
        <f t="shared" si="15"/>
        <v/>
      </c>
      <c r="Q55" s="8">
        <v>10</v>
      </c>
      <c r="R55" s="108">
        <v>0.6</v>
      </c>
      <c r="S55" s="112" t="s">
        <v>24</v>
      </c>
      <c r="T55" s="23">
        <f>'Post Reactions '!E99</f>
        <v>0</v>
      </c>
      <c r="U55" s="23">
        <f>'Post Reactions '!F99</f>
        <v>0</v>
      </c>
      <c r="V55" s="23">
        <f>'Post Reactions '!G99</f>
        <v>0</v>
      </c>
      <c r="W55" s="23">
        <f>'Post Reactions '!H99/12</f>
        <v>0</v>
      </c>
      <c r="X55" s="24">
        <f>'Post Reactions '!I99/12</f>
        <v>0</v>
      </c>
      <c r="Y55" s="113"/>
      <c r="Z55" s="30">
        <f t="shared" si="16"/>
        <v>0</v>
      </c>
      <c r="AA55" s="23">
        <f>0.6*$T$7*($T$4/2)+0.6*$T$11*$T$10*$T$4*$T$5*($T$4/2)+IF(U55&gt;0, ABS(U55*$T$4/2),0)</f>
        <v>21168</v>
      </c>
      <c r="AB55" s="111" t="e">
        <f t="shared" si="18"/>
        <v>#DIV/0!</v>
      </c>
      <c r="AC55" s="136">
        <f t="shared" si="19"/>
        <v>2380.3199999999997</v>
      </c>
      <c r="AD55" s="109" t="str">
        <f t="shared" si="20"/>
        <v/>
      </c>
    </row>
    <row r="56" spans="1:30" x14ac:dyDescent="0.25">
      <c r="A56" s="8">
        <v>11</v>
      </c>
      <c r="B56" s="108">
        <v>1</v>
      </c>
      <c r="C56" s="112" t="s">
        <v>25</v>
      </c>
      <c r="D56" s="23">
        <f>'Post Reactions '!E47</f>
        <v>0</v>
      </c>
      <c r="E56" s="23">
        <f>'Post Reactions '!F47</f>
        <v>0</v>
      </c>
      <c r="F56" s="23">
        <f>'Post Reactions '!G47</f>
        <v>0</v>
      </c>
      <c r="G56" s="23">
        <f>'Post Reactions '!H47/12</f>
        <v>0</v>
      </c>
      <c r="H56" s="24">
        <f>'Post Reactions '!I47/12</f>
        <v>0</v>
      </c>
      <c r="J56" s="30">
        <f>ABS((D56*($D$6+$D$10)))+$D$7*$D$12*($D$6/2)*0.7+ABS(H56)+IF(E56&lt;0,ABS(E56*($D$4/2)))</f>
        <v>0</v>
      </c>
      <c r="K56" s="23">
        <f>$D$7*($D$4/2)+$D$11*$D$10*$D$4*$D$5*($D$4/2)+IF(E56&gt;0, ABS(E56*$D$4/2),0)</f>
        <v>35280</v>
      </c>
      <c r="L56" s="111" t="e">
        <f t="shared" si="13"/>
        <v>#DIV/0!</v>
      </c>
      <c r="M56" s="136">
        <f t="shared" si="14"/>
        <v>3967.2</v>
      </c>
      <c r="N56" s="109" t="str">
        <f>IFERROR(M56/SQRT(D56^2+F56^2+(0.7*$D$12*$D$7)^2),"")</f>
        <v/>
      </c>
      <c r="Q56" s="8">
        <v>11</v>
      </c>
      <c r="R56" s="108">
        <v>1</v>
      </c>
      <c r="S56" s="112" t="s">
        <v>25</v>
      </c>
      <c r="T56" s="23">
        <f>'Post Reactions '!E100</f>
        <v>0</v>
      </c>
      <c r="U56" s="23">
        <f>'Post Reactions '!F100</f>
        <v>0</v>
      </c>
      <c r="V56" s="23">
        <f>'Post Reactions '!G100</f>
        <v>0</v>
      </c>
      <c r="W56" s="23">
        <f>'Post Reactions '!H100/12</f>
        <v>0</v>
      </c>
      <c r="X56" s="24">
        <f>'Post Reactions '!I100/12</f>
        <v>0</v>
      </c>
      <c r="Z56" s="30">
        <f>ABS((T56*($T$6+$T$10)))+$T$7*$T$12*($T$6/2)*0.7+ABS(X56)+IF(U56&lt;0,ABS(U56*($T$4/2)))</f>
        <v>0</v>
      </c>
      <c r="AA56" s="23">
        <f>$T$7*($T$4/2)+$T$11*$T$10*$T$4*$T$5*($T$4/2)+IF(U56&gt;0, ABS(U56*$T$4/2),0)</f>
        <v>35280</v>
      </c>
      <c r="AB56" s="111" t="e">
        <f t="shared" si="18"/>
        <v>#DIV/0!</v>
      </c>
      <c r="AC56" s="136">
        <f t="shared" si="19"/>
        <v>3967.2</v>
      </c>
      <c r="AD56" s="109" t="str">
        <f>IFERROR(AC56/SQRT(T56^2+V56^2+(0.7*$T$12*$T$7)^2),"")</f>
        <v/>
      </c>
    </row>
    <row r="57" spans="1:30" x14ac:dyDescent="0.25">
      <c r="A57" s="8">
        <v>12</v>
      </c>
      <c r="B57" s="108">
        <v>1</v>
      </c>
      <c r="C57" s="112" t="s">
        <v>26</v>
      </c>
      <c r="D57" s="23">
        <f>'Post Reactions '!E48</f>
        <v>0</v>
      </c>
      <c r="E57" s="23">
        <f>'Post Reactions '!F48</f>
        <v>0</v>
      </c>
      <c r="F57" s="23">
        <f>'Post Reactions '!G48</f>
        <v>0</v>
      </c>
      <c r="G57" s="23">
        <f>'Post Reactions '!H48/12</f>
        <v>0</v>
      </c>
      <c r="H57" s="24">
        <f>'Post Reactions '!I48/12</f>
        <v>0</v>
      </c>
      <c r="J57" s="30">
        <f>ABS((D57*($D$6+$D$10)))+$D$7*$D$12*($D$6/2)*0.7+ABS(H57)+IF(E57&lt;0,ABS(E57*($D$4/2)))</f>
        <v>0</v>
      </c>
      <c r="K57" s="23">
        <f>$D$7*($D$4/2)+$D$11*$D$10*$D$4*$D$5*($D$4/2)+IF(E57&gt;0, ABS(E57*$D$4/2),0)</f>
        <v>35280</v>
      </c>
      <c r="L57" s="111" t="e">
        <f t="shared" si="13"/>
        <v>#DIV/0!</v>
      </c>
      <c r="M57" s="136">
        <f t="shared" si="14"/>
        <v>3967.2</v>
      </c>
      <c r="N57" s="109" t="str">
        <f>IFERROR(M57/SQRT(D57^2+F57^2+(0.7*$D$12*$D$7)^2),"")</f>
        <v/>
      </c>
      <c r="Q57" s="8">
        <v>12</v>
      </c>
      <c r="R57" s="108">
        <v>1</v>
      </c>
      <c r="S57" s="112" t="s">
        <v>26</v>
      </c>
      <c r="T57" s="23">
        <f>'Post Reactions '!E101</f>
        <v>0</v>
      </c>
      <c r="U57" s="23">
        <f>'Post Reactions '!F101</f>
        <v>0</v>
      </c>
      <c r="V57" s="23">
        <f>'Post Reactions '!G101</f>
        <v>0</v>
      </c>
      <c r="W57" s="23">
        <f>'Post Reactions '!H101/12</f>
        <v>0</v>
      </c>
      <c r="X57" s="24">
        <f>'Post Reactions '!I101/12</f>
        <v>0</v>
      </c>
      <c r="Z57" s="30">
        <f>ABS((T57*($T$6+$T$10)))+$T$7*$T$12*($T$6/2)*0.7+ABS(X57)+IF(U57&lt;0,ABS(U57*($T$4/2)))</f>
        <v>0</v>
      </c>
      <c r="AA57" s="23">
        <f>$T$7*($T$4/2)+$T$11*$T$10*$T$4*$T$5*($T$4/2)+IF(U57&gt;0, ABS(U57*$T$4/2),0)</f>
        <v>35280</v>
      </c>
      <c r="AB57" s="111" t="e">
        <f t="shared" si="18"/>
        <v>#DIV/0!</v>
      </c>
      <c r="AC57" s="136">
        <f t="shared" si="19"/>
        <v>3967.2</v>
      </c>
      <c r="AD57" s="109" t="str">
        <f>IFERROR(AC57/SQRT(T57^2+V57^2+(0.7*$T$12*$T$7)^2),"")</f>
        <v/>
      </c>
    </row>
    <row r="58" spans="1:30" x14ac:dyDescent="0.25">
      <c r="A58" s="8">
        <v>13</v>
      </c>
      <c r="B58" s="108">
        <v>1</v>
      </c>
      <c r="C58" s="112" t="s">
        <v>27</v>
      </c>
      <c r="D58" s="23">
        <f>'Post Reactions '!E49</f>
        <v>0</v>
      </c>
      <c r="E58" s="23">
        <f>'Post Reactions '!F49</f>
        <v>0</v>
      </c>
      <c r="F58" s="23">
        <f>'Post Reactions '!G49</f>
        <v>0</v>
      </c>
      <c r="G58" s="23">
        <f>'Post Reactions '!H49/12</f>
        <v>0</v>
      </c>
      <c r="H58" s="24">
        <f>'Post Reactions '!I49/12</f>
        <v>0</v>
      </c>
      <c r="J58" s="30">
        <f>ABS((F58*($D$6+$D$10)))+$D$7*$D$12*($D$6/2)*0.7+ABS(G58)+IF(E58&lt;0,ABS(E58*($D$4/2)))</f>
        <v>0</v>
      </c>
      <c r="K58" s="23">
        <f>$D$7*($D$5/2)+$D$11*$D$10*$D$4*$D$5*($D$5/2)+IF(E58&gt;0, ABS(E58*$D$5/2),0)</f>
        <v>23520</v>
      </c>
      <c r="L58" s="111" t="e">
        <f t="shared" si="13"/>
        <v>#DIV/0!</v>
      </c>
      <c r="M58" s="136">
        <f t="shared" si="14"/>
        <v>3967.2</v>
      </c>
      <c r="N58" s="109" t="str">
        <f>IFERROR(M58/SQRT(D58^2+F58^2+(0.7*$D$12*$D$7)^2),"")</f>
        <v/>
      </c>
      <c r="Q58" s="8">
        <v>13</v>
      </c>
      <c r="R58" s="108">
        <v>1</v>
      </c>
      <c r="S58" s="112" t="s">
        <v>27</v>
      </c>
      <c r="T58" s="23">
        <f>'Post Reactions '!E102</f>
        <v>0</v>
      </c>
      <c r="U58" s="23">
        <f>'Post Reactions '!F102</f>
        <v>0</v>
      </c>
      <c r="V58" s="23">
        <f>'Post Reactions '!G102</f>
        <v>0</v>
      </c>
      <c r="W58" s="23">
        <f>'Post Reactions '!H102/12</f>
        <v>0</v>
      </c>
      <c r="X58" s="24">
        <f>'Post Reactions '!I102/12</f>
        <v>0</v>
      </c>
      <c r="Z58" s="30">
        <f>ABS((V58*($T$6+$T$10)))+$T$7*$T$12*($T$6/2)*0.7+ABS(W58)+IF(U58&lt;0,ABS(U58*($T$4/2)))</f>
        <v>0</v>
      </c>
      <c r="AA58" s="23">
        <f>$T$7*($T$5/2)+$T$11*$T$10*$T$4*$T$5*($T$5/2)+IF(U58&gt;0, ABS(U58*$T$5/2),0)</f>
        <v>23520</v>
      </c>
      <c r="AB58" s="111" t="e">
        <f t="shared" si="18"/>
        <v>#DIV/0!</v>
      </c>
      <c r="AC58" s="136">
        <f t="shared" si="19"/>
        <v>3967.2</v>
      </c>
      <c r="AD58" s="109" t="str">
        <f>IFERROR(AC58/SQRT(T58^2+V58^2+(0.7*$T$12*$T$7)^2),"")</f>
        <v/>
      </c>
    </row>
    <row r="59" spans="1:30" x14ac:dyDescent="0.25">
      <c r="A59" s="8">
        <v>14</v>
      </c>
      <c r="B59" s="108">
        <v>1</v>
      </c>
      <c r="C59" s="112" t="s">
        <v>28</v>
      </c>
      <c r="D59" s="23">
        <f>'Post Reactions '!E50</f>
        <v>0</v>
      </c>
      <c r="E59" s="23">
        <f>'Post Reactions '!F50</f>
        <v>0</v>
      </c>
      <c r="F59" s="23">
        <f>'Post Reactions '!G50</f>
        <v>0</v>
      </c>
      <c r="G59" s="23">
        <f>'Post Reactions '!H50/12</f>
        <v>0</v>
      </c>
      <c r="H59" s="24">
        <f>'Post Reactions '!I50/12</f>
        <v>0</v>
      </c>
      <c r="J59" s="30">
        <f>ABS((F59*($D$6+$D$10)))+$D$7*$D$12*($D$6/2)*0.7+ABS(G59)+IF(E59&lt;0,ABS(E59*($D$4/2)))</f>
        <v>0</v>
      </c>
      <c r="K59" s="23">
        <f>$D$7*($D$5/2)+$D$11*$D$10*$D$4*$D$5*($D$5/2)+IF(E59&gt;0, ABS(E59*$D$5/2),0)</f>
        <v>23520</v>
      </c>
      <c r="L59" s="111" t="e">
        <f t="shared" si="13"/>
        <v>#DIV/0!</v>
      </c>
      <c r="M59" s="136">
        <f t="shared" si="14"/>
        <v>3967.2</v>
      </c>
      <c r="N59" s="109" t="str">
        <f>IFERROR(M59/SQRT(D59^2+F59^2+(0.7*$D$12*$D$7)^2),"")</f>
        <v/>
      </c>
      <c r="Q59" s="8">
        <v>14</v>
      </c>
      <c r="R59" s="108">
        <v>1</v>
      </c>
      <c r="S59" s="112" t="s">
        <v>28</v>
      </c>
      <c r="T59" s="23">
        <f>'Post Reactions '!E103</f>
        <v>0</v>
      </c>
      <c r="U59" s="23">
        <f>'Post Reactions '!F103</f>
        <v>0</v>
      </c>
      <c r="V59" s="23">
        <f>'Post Reactions '!G103</f>
        <v>0</v>
      </c>
      <c r="W59" s="23">
        <f>'Post Reactions '!H103/12</f>
        <v>0</v>
      </c>
      <c r="X59" s="24">
        <f>'Post Reactions '!I103/12</f>
        <v>0</v>
      </c>
      <c r="Z59" s="30">
        <f>ABS((V59*($T$6+$T$10)))+$T$7*$T$12*($T$6/2)*0.7+ABS(W59)+IF(U59&lt;0,ABS(U59*($T$4/2)))</f>
        <v>0</v>
      </c>
      <c r="AA59" s="23">
        <f>$T$7*($T$5/2)+$T$11*$T$10*$T$4*$T$5*($T$5/2)+IF(U59&gt;0, ABS(U59*$T$5/2),0)</f>
        <v>23520</v>
      </c>
      <c r="AB59" s="111" t="e">
        <f t="shared" si="18"/>
        <v>#DIV/0!</v>
      </c>
      <c r="AC59" s="136">
        <f t="shared" si="19"/>
        <v>3967.2</v>
      </c>
      <c r="AD59" s="109" t="str">
        <f>IFERROR(AC59/SQRT(T59^2+V59^2+(0.7*$T$12*$T$7)^2),"")</f>
        <v/>
      </c>
    </row>
    <row r="60" spans="1:30" x14ac:dyDescent="0.25">
      <c r="A60" s="8">
        <v>15</v>
      </c>
      <c r="B60" s="108">
        <v>1</v>
      </c>
      <c r="C60" s="112" t="s">
        <v>29</v>
      </c>
      <c r="D60" s="23">
        <f>'Post Reactions '!E51</f>
        <v>0</v>
      </c>
      <c r="E60" s="23">
        <f>'Post Reactions '!F51</f>
        <v>0</v>
      </c>
      <c r="F60" s="23">
        <f>'Post Reactions '!G51</f>
        <v>0</v>
      </c>
      <c r="G60" s="23">
        <f>'Post Reactions '!H51/12</f>
        <v>0</v>
      </c>
      <c r="H60" s="24">
        <f>'Post Reactions '!I51/12</f>
        <v>0</v>
      </c>
      <c r="J60" s="30">
        <f>ABS((D60*($D$6+$D$10)))+0.525*$D$7*$D$12*($D$6/2)+ABS(H60)+IF(E60&lt;0,ABS(E60*($D$4/2)))</f>
        <v>0</v>
      </c>
      <c r="K60" s="23">
        <f>$D$7*($D$4/2)+$D$11*$D$10*$D$4*$D$5*($D$4/2)+IF(E60&gt;0, ABS(E60*$D$4/2),0)</f>
        <v>35280</v>
      </c>
      <c r="L60" s="111" t="e">
        <f t="shared" si="13"/>
        <v>#DIV/0!</v>
      </c>
      <c r="M60" s="136">
        <f t="shared" si="14"/>
        <v>3967.2</v>
      </c>
      <c r="N60" s="109" t="str">
        <f>IFERROR(M60/SQRT(D60^2+F60^2+(0.525*$D$12*$D$7)^2),"")</f>
        <v/>
      </c>
      <c r="Q60" s="8">
        <v>15</v>
      </c>
      <c r="R60" s="108">
        <v>1</v>
      </c>
      <c r="S60" s="112" t="s">
        <v>29</v>
      </c>
      <c r="T60" s="23">
        <f>'Post Reactions '!E104</f>
        <v>0</v>
      </c>
      <c r="U60" s="23">
        <f>'Post Reactions '!F104</f>
        <v>0</v>
      </c>
      <c r="V60" s="23">
        <f>'Post Reactions '!G104</f>
        <v>0</v>
      </c>
      <c r="W60" s="23">
        <f>'Post Reactions '!H104/12</f>
        <v>0</v>
      </c>
      <c r="X60" s="24">
        <f>'Post Reactions '!I104/12</f>
        <v>0</v>
      </c>
      <c r="Z60" s="30">
        <f>ABS((T60*($T$6+$T$10)))+0.525*$T$7*$T$12*($T$6/2)+ABS(X60)+IF(U60&lt;0,ABS(U60*($T$4/2)))</f>
        <v>0</v>
      </c>
      <c r="AA60" s="23">
        <f>$T$7*($T$4/2)+$T$11*$T$10*$T$4*$T$5*($T$4/2)+IF(U60&gt;0, ABS(U60*$T$4/2),0)</f>
        <v>35280</v>
      </c>
      <c r="AB60" s="111" t="e">
        <f t="shared" si="18"/>
        <v>#DIV/0!</v>
      </c>
      <c r="AC60" s="136">
        <f t="shared" si="19"/>
        <v>3967.2</v>
      </c>
      <c r="AD60" s="109" t="str">
        <f>IFERROR(AC60/SQRT(T60^2+V60^2+(0.525*$T$12*$T$7)^2),"")</f>
        <v/>
      </c>
    </row>
    <row r="61" spans="1:30" x14ac:dyDescent="0.25">
      <c r="A61" s="8">
        <v>16</v>
      </c>
      <c r="B61" s="108">
        <v>1</v>
      </c>
      <c r="C61" s="112" t="s">
        <v>30</v>
      </c>
      <c r="D61" s="23">
        <f>'Post Reactions '!E52</f>
        <v>0</v>
      </c>
      <c r="E61" s="23">
        <f>'Post Reactions '!F52</f>
        <v>0</v>
      </c>
      <c r="F61" s="23">
        <f>'Post Reactions '!G52</f>
        <v>0</v>
      </c>
      <c r="G61" s="23">
        <f>'Post Reactions '!H52/12</f>
        <v>0</v>
      </c>
      <c r="H61" s="24">
        <f>'Post Reactions '!I52/12</f>
        <v>0</v>
      </c>
      <c r="J61" s="30">
        <f>ABS((D61*($D$6+$D$10)))+0.525*$D$7*$D$12*($D$6/2)+ABS(H61)+IF(E61&lt;0,ABS(E61*($D$4/2)))</f>
        <v>0</v>
      </c>
      <c r="K61" s="23">
        <f>$D$7*($D$4/2)+$D$11*$D$10*$D$4*$D$5*($D$4/2)+IF(E61&gt;0, ABS(E61*$D$4/2),0)</f>
        <v>35280</v>
      </c>
      <c r="L61" s="111" t="e">
        <f t="shared" si="13"/>
        <v>#DIV/0!</v>
      </c>
      <c r="M61" s="136">
        <f t="shared" si="14"/>
        <v>3967.2</v>
      </c>
      <c r="N61" s="109" t="str">
        <f>IFERROR(M61/SQRT(D61^2+F61^2+(0.525*$D$12*$D$7)^2),"")</f>
        <v/>
      </c>
      <c r="Q61" s="8">
        <v>16</v>
      </c>
      <c r="R61" s="108">
        <v>1</v>
      </c>
      <c r="S61" s="112" t="s">
        <v>30</v>
      </c>
      <c r="T61" s="23">
        <f>'Post Reactions '!E105</f>
        <v>0</v>
      </c>
      <c r="U61" s="23">
        <f>'Post Reactions '!F105</f>
        <v>0</v>
      </c>
      <c r="V61" s="23">
        <f>'Post Reactions '!G105</f>
        <v>0</v>
      </c>
      <c r="W61" s="23">
        <f>'Post Reactions '!H105/12</f>
        <v>0</v>
      </c>
      <c r="X61" s="24">
        <f>'Post Reactions '!I105/12</f>
        <v>0</v>
      </c>
      <c r="Z61" s="30">
        <f>ABS((T61*($T$6+$T$10)))+0.525*$T$7*$T$12*($T$6/2)+ABS(X61)+IF(U61&lt;0,ABS(U61*($T$4/2)))</f>
        <v>0</v>
      </c>
      <c r="AA61" s="23">
        <f>$T$7*($T$4/2)+$T$11*$T$10*$T$4*$T$5*($T$4/2)+IF(U61&gt;0, ABS(U61*$T$4/2),0)</f>
        <v>35280</v>
      </c>
      <c r="AB61" s="111" t="e">
        <f t="shared" si="18"/>
        <v>#DIV/0!</v>
      </c>
      <c r="AC61" s="136">
        <f t="shared" si="19"/>
        <v>3967.2</v>
      </c>
      <c r="AD61" s="109" t="str">
        <f>IFERROR(AC61/SQRT(T61^2+V61^2+(0.525*$T$12*$T$7)^2),"")</f>
        <v/>
      </c>
    </row>
    <row r="62" spans="1:30" x14ac:dyDescent="0.25">
      <c r="A62" s="8">
        <v>17</v>
      </c>
      <c r="B62" s="108">
        <v>1</v>
      </c>
      <c r="C62" s="112" t="s">
        <v>31</v>
      </c>
      <c r="D62" s="23">
        <f>'Post Reactions '!E53</f>
        <v>0</v>
      </c>
      <c r="E62" s="23">
        <f>'Post Reactions '!F53</f>
        <v>0</v>
      </c>
      <c r="F62" s="23">
        <f>'Post Reactions '!G53</f>
        <v>0</v>
      </c>
      <c r="G62" s="23">
        <f>'Post Reactions '!H53/12</f>
        <v>0</v>
      </c>
      <c r="H62" s="24">
        <f>'Post Reactions '!I53/12</f>
        <v>0</v>
      </c>
      <c r="J62" s="30">
        <f>ABS((F62*($D$6+$D$10)))+$D$7*$D$12*($D$6/2)*0.525+ABS(G62)+IF(E62&lt;0,ABS(E62*($D$4/2)))</f>
        <v>0</v>
      </c>
      <c r="K62" s="23">
        <f>$D$7*($D$5/2)+$D$11*$D$10*$D$4*$D$5*($D$5/2)+IF(E62&gt;0, ABS(E62*$D$5/2),0)</f>
        <v>23520</v>
      </c>
      <c r="L62" s="111" t="e">
        <f t="shared" si="13"/>
        <v>#DIV/0!</v>
      </c>
      <c r="M62" s="136">
        <f t="shared" si="14"/>
        <v>3967.2</v>
      </c>
      <c r="N62" s="109" t="str">
        <f>IFERROR(M62/SQRT(D62^2+F62^2+(0.525*$D$12*$D$7)^2),"")</f>
        <v/>
      </c>
      <c r="Q62" s="8">
        <v>17</v>
      </c>
      <c r="R62" s="108">
        <v>1</v>
      </c>
      <c r="S62" s="112" t="s">
        <v>31</v>
      </c>
      <c r="T62" s="23">
        <f>'Post Reactions '!E106</f>
        <v>0</v>
      </c>
      <c r="U62" s="23">
        <f>'Post Reactions '!F106</f>
        <v>0</v>
      </c>
      <c r="V62" s="23">
        <f>'Post Reactions '!G106</f>
        <v>0</v>
      </c>
      <c r="W62" s="23">
        <f>'Post Reactions '!H106/12</f>
        <v>0</v>
      </c>
      <c r="X62" s="24">
        <f>'Post Reactions '!I106/12</f>
        <v>0</v>
      </c>
      <c r="Z62" s="30">
        <f>ABS((V62*($T$6+$T$10)))+$T$7*$T$12*($T$6/2)*0.525+ABS(W62)+IF(U62&lt;0,ABS(U62*($T$4/2)))</f>
        <v>0</v>
      </c>
      <c r="AA62" s="23">
        <f>$T$7*($T$5/2)+$T$11*$T$10*$T$4*$T$5*($T$5/2)+IF(U62&gt;0, ABS(U62*$T$5/2),0)</f>
        <v>23520</v>
      </c>
      <c r="AB62" s="111" t="e">
        <f t="shared" si="18"/>
        <v>#DIV/0!</v>
      </c>
      <c r="AC62" s="136">
        <f t="shared" si="19"/>
        <v>3967.2</v>
      </c>
      <c r="AD62" s="109" t="str">
        <f>IFERROR(AC62/SQRT(T62^2+V62^2+(0.525*$T$12*$T$7)^2),"")</f>
        <v/>
      </c>
    </row>
    <row r="63" spans="1:30" x14ac:dyDescent="0.25">
      <c r="A63" s="8">
        <v>18</v>
      </c>
      <c r="B63" s="108">
        <v>1</v>
      </c>
      <c r="C63" s="112" t="s">
        <v>32</v>
      </c>
      <c r="D63" s="23">
        <f>'Post Reactions '!E54</f>
        <v>0</v>
      </c>
      <c r="E63" s="23">
        <f>'Post Reactions '!F54</f>
        <v>0</v>
      </c>
      <c r="F63" s="23">
        <f>'Post Reactions '!G54</f>
        <v>0</v>
      </c>
      <c r="G63" s="23">
        <f>'Post Reactions '!H54/12</f>
        <v>0</v>
      </c>
      <c r="H63" s="24">
        <f>'Post Reactions '!I54/12</f>
        <v>0</v>
      </c>
      <c r="J63" s="30">
        <f>ABS((F63*($D$6+$D$10)))+$D$7*$D$12*($D$6/2)*0.525+ABS(G63)+IF(E63&lt;0,ABS(E63*($D$4/2)))</f>
        <v>0</v>
      </c>
      <c r="K63" s="23">
        <f>$D$7*($D$5/2)+$D$11*$D$10*$D$4*$D$5*($D$5/2)+IF(E63&gt;0, ABS(E63*$D$5/2),0)</f>
        <v>23520</v>
      </c>
      <c r="L63" s="111" t="e">
        <f t="shared" si="13"/>
        <v>#DIV/0!</v>
      </c>
      <c r="M63" s="136">
        <f t="shared" si="14"/>
        <v>3967.2</v>
      </c>
      <c r="N63" s="109" t="str">
        <f>IFERROR(M63/SQRT(D63^2+F63^2+(0.525*$D$12*$D$7)^2),"")</f>
        <v/>
      </c>
      <c r="Q63" s="8">
        <v>18</v>
      </c>
      <c r="R63" s="108">
        <v>1</v>
      </c>
      <c r="S63" s="112" t="s">
        <v>32</v>
      </c>
      <c r="T63" s="23">
        <f>'Post Reactions '!E107</f>
        <v>0</v>
      </c>
      <c r="U63" s="23">
        <f>'Post Reactions '!F107</f>
        <v>0</v>
      </c>
      <c r="V63" s="23">
        <f>'Post Reactions '!G107</f>
        <v>0</v>
      </c>
      <c r="W63" s="23">
        <f>'Post Reactions '!H107/12</f>
        <v>0</v>
      </c>
      <c r="X63" s="24">
        <f>'Post Reactions '!I107/12</f>
        <v>0</v>
      </c>
      <c r="Z63" s="30">
        <f>ABS((V63*($T$6+$T$10)))+$T$7*$T$12*($T$6/2)*0.525+ABS(W63)+IF(U63&lt;0,ABS(U63*($T$4/2)))</f>
        <v>0</v>
      </c>
      <c r="AA63" s="23">
        <f>$T$7*($T$5/2)+$T$11*$T$10*$T$4*$T$5*($T$5/2)+IF(U63&gt;0, ABS(U63*$T$5/2),0)</f>
        <v>23520</v>
      </c>
      <c r="AB63" s="111" t="e">
        <f t="shared" si="18"/>
        <v>#DIV/0!</v>
      </c>
      <c r="AC63" s="136">
        <f t="shared" si="19"/>
        <v>3967.2</v>
      </c>
      <c r="AD63" s="109" t="str">
        <f>IFERROR(AC63/SQRT(T63^2+V63^2+(0.525*$T$12*$T$7)^2),"")</f>
        <v/>
      </c>
    </row>
    <row r="64" spans="1:30" x14ac:dyDescent="0.25">
      <c r="A64" s="8">
        <v>19</v>
      </c>
      <c r="B64" s="108">
        <v>0.6</v>
      </c>
      <c r="C64" s="112" t="s">
        <v>37</v>
      </c>
      <c r="D64" s="23">
        <f>'Post Reactions '!E55</f>
        <v>0</v>
      </c>
      <c r="E64" s="23">
        <f>'Post Reactions '!F55</f>
        <v>0</v>
      </c>
      <c r="F64" s="23">
        <f>'Post Reactions '!G55</f>
        <v>0</v>
      </c>
      <c r="G64" s="23">
        <f>'Post Reactions '!H55/12</f>
        <v>0</v>
      </c>
      <c r="H64" s="24">
        <f>'Post Reactions '!I55/12</f>
        <v>0</v>
      </c>
      <c r="J64" s="30">
        <f>IF(H64="","",ABS((D64*($D$6+$D$10))))+$D$7*$D$12*($D$6/2)*0.7+ABS(H64)+IF(E64&lt;0,ABS(E64*($D$4/2)))</f>
        <v>0</v>
      </c>
      <c r="K64" s="23">
        <f>0.6*$D$7*($D$4/2)+0.6*$D$11*$D$10*$D$4*$D$5*($D$4/2)+IF(E64&gt;0, ABS(E64*$D$4/2),0)</f>
        <v>21168</v>
      </c>
      <c r="L64" s="111" t="e">
        <f t="shared" si="13"/>
        <v>#DIV/0!</v>
      </c>
      <c r="M64" s="136">
        <f t="shared" si="14"/>
        <v>2380.3199999999997</v>
      </c>
      <c r="N64" s="109" t="str">
        <f>IFERROR(M64/SQRT(D64^2+F64^2+(0.7*$D$12*$D$7)^2),"")</f>
        <v/>
      </c>
      <c r="Q64" s="8">
        <v>19</v>
      </c>
      <c r="R64" s="108">
        <v>0.6</v>
      </c>
      <c r="S64" s="112" t="s">
        <v>37</v>
      </c>
      <c r="T64" s="23">
        <f>'Post Reactions '!E108</f>
        <v>0</v>
      </c>
      <c r="U64" s="23">
        <f>'Post Reactions '!F108</f>
        <v>0</v>
      </c>
      <c r="V64" s="23">
        <f>'Post Reactions '!G108</f>
        <v>0</v>
      </c>
      <c r="W64" s="23">
        <f>'Post Reactions '!H108/12</f>
        <v>0</v>
      </c>
      <c r="X64" s="24">
        <f>'Post Reactions '!I108/12</f>
        <v>0</v>
      </c>
      <c r="Z64" s="30">
        <f>IF(X64="","",ABS((T64*($T$6+$T$10))))+$T$7*$T$12*($T$6/2)*0.7+ABS(X64)+IF(U64&lt;0,ABS(U64*($T$4/2)))</f>
        <v>0</v>
      </c>
      <c r="AA64" s="23">
        <f>0.6*$T$7*($T$4/2)+0.6*$T$11*$T$10*$T$4*$T$5*($T$4/2)+IF(U64&gt;0, ABS(U64*$T$4/2),0)</f>
        <v>21168</v>
      </c>
      <c r="AB64" s="111" t="e">
        <f t="shared" si="18"/>
        <v>#DIV/0!</v>
      </c>
      <c r="AC64" s="136">
        <f t="shared" si="19"/>
        <v>2380.3199999999997</v>
      </c>
      <c r="AD64" s="109" t="str">
        <f>IFERROR(AC64/SQRT(T64^2+V64^2+(0.7*$T$12*$T$7)^2),"")</f>
        <v/>
      </c>
    </row>
    <row r="65" spans="1:53" x14ac:dyDescent="0.25">
      <c r="A65" s="8">
        <v>20</v>
      </c>
      <c r="B65" s="108">
        <v>0.6</v>
      </c>
      <c r="C65" s="112" t="s">
        <v>38</v>
      </c>
      <c r="D65" s="23">
        <f>'Post Reactions '!E56</f>
        <v>0</v>
      </c>
      <c r="E65" s="23">
        <f>'Post Reactions '!F56</f>
        <v>0</v>
      </c>
      <c r="F65" s="23">
        <f>'Post Reactions '!G56</f>
        <v>0</v>
      </c>
      <c r="G65" s="23">
        <f>'Post Reactions '!H56/12</f>
        <v>0</v>
      </c>
      <c r="H65" s="24">
        <f>'Post Reactions '!I56/12</f>
        <v>0</v>
      </c>
      <c r="J65" s="30">
        <f>IF(H65="","",ABS((D65*($D$6+$D$10))))+$D$7*$D$12*($D$6/2)*0.7+ABS(H65)+IF(E65&lt;0,ABS(E65*($D$4/2)))</f>
        <v>0</v>
      </c>
      <c r="K65" s="23">
        <f>0.6*$D$7*($D$4/2)+0.6*$D$11*$D$10*$D$4*$D$5*($D$4/2)+IF(E65&gt;0, ABS(E65*$D$4/2),0)</f>
        <v>21168</v>
      </c>
      <c r="L65" s="111" t="e">
        <f t="shared" si="13"/>
        <v>#DIV/0!</v>
      </c>
      <c r="M65" s="136">
        <f t="shared" si="14"/>
        <v>2380.3199999999997</v>
      </c>
      <c r="N65" s="109" t="str">
        <f>IFERROR(M65/SQRT(D65^2+F65^2+(0.7*$D$12*$D$7)^2),"")</f>
        <v/>
      </c>
      <c r="Q65" s="8">
        <v>20</v>
      </c>
      <c r="R65" s="108">
        <v>0.6</v>
      </c>
      <c r="S65" s="112" t="s">
        <v>38</v>
      </c>
      <c r="T65" s="23">
        <f>'Post Reactions '!E109</f>
        <v>0</v>
      </c>
      <c r="U65" s="23">
        <f>'Post Reactions '!F109</f>
        <v>0</v>
      </c>
      <c r="V65" s="23">
        <f>'Post Reactions '!G109</f>
        <v>0</v>
      </c>
      <c r="W65" s="23">
        <f>'Post Reactions '!H109/12</f>
        <v>0</v>
      </c>
      <c r="X65" s="24">
        <f>'Post Reactions '!I109/12</f>
        <v>0</v>
      </c>
      <c r="Z65" s="30">
        <f>IF(X65="","",ABS((T65*($T$6+$T$10))))+$T$7*$T$12*($T$6/2)*0.7+ABS(X65)+IF(U65&lt;0,ABS(U65*($T$4/2)))</f>
        <v>0</v>
      </c>
      <c r="AA65" s="23">
        <f>0.6*$T$7*($T$4/2)+0.6*$T$11*$T$10*$T$4*$T$5*($T$4/2)+IF(U65&gt;0, ABS(U65*$T$4/2),0)</f>
        <v>21168</v>
      </c>
      <c r="AB65" s="111" t="e">
        <f t="shared" si="18"/>
        <v>#DIV/0!</v>
      </c>
      <c r="AC65" s="136">
        <f t="shared" si="19"/>
        <v>2380.3199999999997</v>
      </c>
      <c r="AD65" s="109" t="str">
        <f>IFERROR(AC65/SQRT(T65^2+V65^2+(0.7*$T$12*$T$7)^2),"")</f>
        <v/>
      </c>
    </row>
    <row r="66" spans="1:53" x14ac:dyDescent="0.25">
      <c r="A66" s="8">
        <v>21</v>
      </c>
      <c r="B66" s="108">
        <v>0.6</v>
      </c>
      <c r="C66" s="112" t="s">
        <v>39</v>
      </c>
      <c r="D66" s="23">
        <f>'Post Reactions '!E57</f>
        <v>0</v>
      </c>
      <c r="E66" s="23">
        <f>'Post Reactions '!F57</f>
        <v>0</v>
      </c>
      <c r="F66" s="23">
        <f>'Post Reactions '!G57</f>
        <v>0</v>
      </c>
      <c r="G66" s="23">
        <f>'Post Reactions '!H57/12</f>
        <v>0</v>
      </c>
      <c r="H66" s="24">
        <f>'Post Reactions '!I57/12</f>
        <v>0</v>
      </c>
      <c r="J66" s="30">
        <f>IF(H66="","",ABS((F66*($D$6+$D$10))))+$D$7*$D$12*($D$6/2)*0.7+ABS(G66)+IF(E66&lt;0,ABS(E66*($D$4/2)))</f>
        <v>0</v>
      </c>
      <c r="K66" s="23">
        <f>0.6*$D$7*($D$5/2)+0.6*$D$11*$D$10*$D$4*$D$5*($D$5/2)+IF(E66&gt;0, ABS(E66*$D$5/2),0)</f>
        <v>14112</v>
      </c>
      <c r="L66" s="111" t="e">
        <f t="shared" si="13"/>
        <v>#DIV/0!</v>
      </c>
      <c r="M66" s="136">
        <f t="shared" si="14"/>
        <v>2380.3199999999997</v>
      </c>
      <c r="N66" s="109" t="str">
        <f>IFERROR(M66/SQRT(D66^2+F66^2+(0.7*$D$12*$D$7)^2),"")</f>
        <v/>
      </c>
      <c r="Q66" s="8">
        <v>21</v>
      </c>
      <c r="R66" s="108">
        <v>0.6</v>
      </c>
      <c r="S66" s="112" t="s">
        <v>39</v>
      </c>
      <c r="T66" s="23">
        <f>'Post Reactions '!E110</f>
        <v>0</v>
      </c>
      <c r="U66" s="23">
        <f>'Post Reactions '!F110</f>
        <v>0</v>
      </c>
      <c r="V66" s="23">
        <f>'Post Reactions '!G110</f>
        <v>0</v>
      </c>
      <c r="W66" s="23">
        <f>'Post Reactions '!H110/12</f>
        <v>0</v>
      </c>
      <c r="X66" s="24">
        <f>'Post Reactions '!I110/12</f>
        <v>0</v>
      </c>
      <c r="Z66" s="30">
        <f>IF(X66="","",ABS((V66*($T$6+$T$10))))+$T$7*$T$12*($T$6/2)*0.7+ABS(W66)+IF(U66&lt;0,ABS(U66*($T$4/2)))</f>
        <v>0</v>
      </c>
      <c r="AA66" s="23">
        <f>0.6*$T$7*($T$5/2)+0.6*$T$11*$T$10*$T$4*$T$5*($T$5/2)+IF(U66&gt;0, ABS(U66*$T$5/2),0)</f>
        <v>14112</v>
      </c>
      <c r="AB66" s="111" t="e">
        <f t="shared" si="18"/>
        <v>#DIV/0!</v>
      </c>
      <c r="AC66" s="136">
        <f t="shared" si="19"/>
        <v>2380.3199999999997</v>
      </c>
      <c r="AD66" s="109" t="str">
        <f>IFERROR(AC66/SQRT(T66^2+V66^2+(0.7*$T$12*$T$7)^2),"")</f>
        <v/>
      </c>
    </row>
    <row r="67" spans="1:53" ht="15.75" thickBot="1" x14ac:dyDescent="0.3">
      <c r="A67" s="8">
        <v>22</v>
      </c>
      <c r="B67" s="108">
        <v>0.6</v>
      </c>
      <c r="C67" s="107" t="s">
        <v>40</v>
      </c>
      <c r="D67" s="31">
        <f>'Post Reactions '!E58</f>
        <v>0</v>
      </c>
      <c r="E67" s="31">
        <f>'Post Reactions '!F58</f>
        <v>0</v>
      </c>
      <c r="F67" s="31">
        <f>'Post Reactions '!G58</f>
        <v>0</v>
      </c>
      <c r="G67" s="31">
        <f>'Post Reactions '!H58/12</f>
        <v>0</v>
      </c>
      <c r="H67" s="32">
        <f>'Post Reactions '!I58/12</f>
        <v>0</v>
      </c>
      <c r="J67" s="33">
        <f>IF(H67="","",ABS((F67*($D$6+$D$10))))+$D$7*$D$12*($D$6/2)*0.7+ABS(G67)+IF(E67&lt;0,ABS(E67*($D$4/2)))</f>
        <v>0</v>
      </c>
      <c r="K67" s="31">
        <f>0.6*$D$7*($D$5/2)+0.6*$D$11*$D$10*$D$4*$D$5*($D$5/2)+IF(E67&gt;0, ABS(E67*$D$5/2),0)</f>
        <v>14112</v>
      </c>
      <c r="L67" s="106" t="e">
        <f t="shared" si="13"/>
        <v>#DIV/0!</v>
      </c>
      <c r="M67" s="135">
        <f t="shared" si="14"/>
        <v>2380.3199999999997</v>
      </c>
      <c r="N67" s="104" t="str">
        <f>IFERROR(M67/SQRT(D67^2+F67^2+(0.7*$D$12*$D$7)^2),"")</f>
        <v/>
      </c>
      <c r="Q67" s="8">
        <v>22</v>
      </c>
      <c r="R67" s="108">
        <v>0.6</v>
      </c>
      <c r="S67" s="107" t="s">
        <v>40</v>
      </c>
      <c r="T67" s="31">
        <f>'Post Reactions '!E111</f>
        <v>0</v>
      </c>
      <c r="U67" s="31">
        <f>'Post Reactions '!F111</f>
        <v>0</v>
      </c>
      <c r="V67" s="31">
        <f>'Post Reactions '!G111</f>
        <v>0</v>
      </c>
      <c r="W67" s="31">
        <f>'Post Reactions '!H111/12</f>
        <v>0</v>
      </c>
      <c r="X67" s="32">
        <f>'Post Reactions '!I111/12</f>
        <v>0</v>
      </c>
      <c r="Z67" s="33">
        <f>IF(X67="","",ABS((V67*($T$6+$T$10))))+$T$7*$T$12*($T$6/2)*0.7+ABS(W67)+IF(U67&lt;0,ABS(U67*($T$4/2)))</f>
        <v>0</v>
      </c>
      <c r="AA67" s="31">
        <f>0.6*$T$7*($T$5/2)+0.6*$T$11*$T$10*$T$4*$T$5*($T$5/2)+IF(U67&gt;0, ABS(U67*$T$5/2),0)</f>
        <v>14112</v>
      </c>
      <c r="AB67" s="106" t="e">
        <f t="shared" si="18"/>
        <v>#DIV/0!</v>
      </c>
      <c r="AC67" s="135">
        <f t="shared" si="19"/>
        <v>2380.3199999999997</v>
      </c>
      <c r="AD67" s="104" t="str">
        <f>IFERROR(AC67/SQRT(T67^2+V67^2+(0.7*$T$12*$T$7)^2),"")</f>
        <v/>
      </c>
    </row>
    <row r="68" spans="1:53" x14ac:dyDescent="0.25">
      <c r="C68" s="7"/>
      <c r="D68" s="125"/>
      <c r="E68" s="125"/>
      <c r="F68" s="125"/>
      <c r="G68" s="125"/>
      <c r="H68" s="125"/>
      <c r="J68" s="125"/>
      <c r="K68" s="125"/>
      <c r="L68" s="124"/>
    </row>
    <row r="69" spans="1:53" x14ac:dyDescent="0.25">
      <c r="C69" s="7"/>
      <c r="P69" s="7"/>
    </row>
    <row r="70" spans="1:53" ht="15.75" thickBot="1" x14ac:dyDescent="0.3"/>
    <row r="71" spans="1:53" ht="15.75" thickBot="1" x14ac:dyDescent="0.3">
      <c r="C71" s="395" t="s">
        <v>127</v>
      </c>
      <c r="D71" s="396"/>
      <c r="S71" s="485" t="s">
        <v>127</v>
      </c>
      <c r="T71" s="486"/>
      <c r="AH71" s="485" t="s">
        <v>127</v>
      </c>
      <c r="AI71" s="486"/>
      <c r="AW71" s="485" t="s">
        <v>127</v>
      </c>
      <c r="AX71" s="486"/>
    </row>
    <row r="72" spans="1:53" x14ac:dyDescent="0.25">
      <c r="C72" s="134" t="s">
        <v>126</v>
      </c>
      <c r="D72" s="133">
        <v>8</v>
      </c>
      <c r="S72" s="134" t="s">
        <v>126</v>
      </c>
      <c r="T72" s="133">
        <f>D72</f>
        <v>8</v>
      </c>
      <c r="AH72" s="134" t="s">
        <v>126</v>
      </c>
      <c r="AI72" s="133">
        <f>D72</f>
        <v>8</v>
      </c>
      <c r="AW72" s="134" t="s">
        <v>126</v>
      </c>
      <c r="AX72" s="133">
        <f>D72</f>
        <v>8</v>
      </c>
    </row>
    <row r="73" spans="1:53" x14ac:dyDescent="0.25">
      <c r="C73" s="131" t="s">
        <v>125</v>
      </c>
      <c r="D73" s="130">
        <v>4.5</v>
      </c>
      <c r="S73" s="131" t="s">
        <v>125</v>
      </c>
      <c r="T73" s="130">
        <f t="shared" ref="T73:T84" si="21">D73</f>
        <v>4.5</v>
      </c>
      <c r="AH73" s="131" t="s">
        <v>125</v>
      </c>
      <c r="AI73" s="130">
        <f t="shared" ref="AI73:AI84" si="22">D73</f>
        <v>4.5</v>
      </c>
      <c r="AW73" s="131" t="s">
        <v>125</v>
      </c>
      <c r="AX73" s="130">
        <f t="shared" ref="AX73:AX83" si="23">D73</f>
        <v>4.5</v>
      </c>
    </row>
    <row r="74" spans="1:53" x14ac:dyDescent="0.25">
      <c r="C74" s="131" t="s">
        <v>124</v>
      </c>
      <c r="D74" s="130">
        <v>2</v>
      </c>
      <c r="S74" s="131" t="s">
        <v>124</v>
      </c>
      <c r="T74" s="130">
        <f t="shared" si="21"/>
        <v>2</v>
      </c>
      <c r="AH74" s="131" t="s">
        <v>124</v>
      </c>
      <c r="AI74" s="130">
        <f t="shared" si="22"/>
        <v>2</v>
      </c>
      <c r="AW74" s="131" t="s">
        <v>124</v>
      </c>
      <c r="AX74" s="130">
        <f t="shared" si="23"/>
        <v>2</v>
      </c>
    </row>
    <row r="75" spans="1:53" x14ac:dyDescent="0.25">
      <c r="C75" s="131" t="s">
        <v>123</v>
      </c>
      <c r="D75" s="24">
        <f>D72*D73*D74*D76</f>
        <v>10440</v>
      </c>
      <c r="S75" s="131" t="s">
        <v>123</v>
      </c>
      <c r="T75" s="130">
        <f t="shared" si="21"/>
        <v>10440</v>
      </c>
      <c r="AH75" s="131" t="s">
        <v>123</v>
      </c>
      <c r="AI75" s="130">
        <f t="shared" si="22"/>
        <v>10440</v>
      </c>
      <c r="AW75" s="131" t="s">
        <v>123</v>
      </c>
      <c r="AX75" s="130">
        <f t="shared" si="23"/>
        <v>10440</v>
      </c>
    </row>
    <row r="76" spans="1:53" x14ac:dyDescent="0.25">
      <c r="C76" s="131" t="s">
        <v>122</v>
      </c>
      <c r="D76" s="24">
        <f>$D$8</f>
        <v>145</v>
      </c>
      <c r="S76" s="131" t="s">
        <v>122</v>
      </c>
      <c r="T76" s="130">
        <f t="shared" si="21"/>
        <v>145</v>
      </c>
      <c r="AH76" s="131" t="s">
        <v>122</v>
      </c>
      <c r="AI76" s="130">
        <f t="shared" si="22"/>
        <v>145</v>
      </c>
      <c r="AW76" s="131" t="s">
        <v>122</v>
      </c>
      <c r="AX76" s="130">
        <f t="shared" si="23"/>
        <v>145</v>
      </c>
    </row>
    <row r="77" spans="1:53" x14ac:dyDescent="0.25">
      <c r="C77" s="131" t="s">
        <v>121</v>
      </c>
      <c r="D77" s="130">
        <f>$D$9</f>
        <v>0.56999999999999995</v>
      </c>
      <c r="S77" s="131" t="s">
        <v>121</v>
      </c>
      <c r="T77" s="130">
        <f t="shared" si="21"/>
        <v>0.56999999999999995</v>
      </c>
      <c r="AH77" s="131" t="s">
        <v>121</v>
      </c>
      <c r="AI77" s="130">
        <f t="shared" si="22"/>
        <v>0.56999999999999995</v>
      </c>
      <c r="AW77" s="131" t="s">
        <v>121</v>
      </c>
      <c r="AX77" s="130">
        <f t="shared" si="23"/>
        <v>0.56999999999999995</v>
      </c>
    </row>
    <row r="78" spans="1:53" x14ac:dyDescent="0.25">
      <c r="C78" s="131" t="s">
        <v>120</v>
      </c>
      <c r="D78" s="130">
        <f>D10</f>
        <v>2</v>
      </c>
      <c r="F78" s="7"/>
      <c r="G78" s="7"/>
      <c r="S78" s="131" t="s">
        <v>120</v>
      </c>
      <c r="T78" s="130">
        <f t="shared" si="21"/>
        <v>2</v>
      </c>
      <c r="V78" s="7"/>
      <c r="W78" s="7"/>
      <c r="AH78" s="131" t="s">
        <v>120</v>
      </c>
      <c r="AI78" s="130">
        <f t="shared" si="22"/>
        <v>2</v>
      </c>
      <c r="AK78" s="7"/>
      <c r="AL78" s="7"/>
      <c r="AW78" s="131" t="s">
        <v>120</v>
      </c>
      <c r="AX78" s="130">
        <f t="shared" si="23"/>
        <v>2</v>
      </c>
      <c r="AZ78" s="7"/>
      <c r="BA78" s="7"/>
    </row>
    <row r="79" spans="1:53" x14ac:dyDescent="0.25">
      <c r="C79" s="131" t="s">
        <v>119</v>
      </c>
      <c r="D79" s="24">
        <v>100</v>
      </c>
      <c r="F79" s="1"/>
      <c r="S79" s="131" t="s">
        <v>119</v>
      </c>
      <c r="T79" s="130">
        <f t="shared" si="21"/>
        <v>100</v>
      </c>
      <c r="V79" s="1"/>
      <c r="AH79" s="131" t="s">
        <v>119</v>
      </c>
      <c r="AI79" s="130">
        <f t="shared" si="22"/>
        <v>100</v>
      </c>
      <c r="AK79" s="1"/>
      <c r="AW79" s="131" t="s">
        <v>119</v>
      </c>
      <c r="AX79" s="130">
        <f t="shared" si="23"/>
        <v>100</v>
      </c>
      <c r="AZ79" s="1"/>
    </row>
    <row r="80" spans="1:53" x14ac:dyDescent="0.25">
      <c r="C80" s="131" t="s">
        <v>118</v>
      </c>
      <c r="D80" s="132" t="str">
        <f>IF($D$12="","",$D$12)</f>
        <v/>
      </c>
      <c r="S80" s="131" t="s">
        <v>118</v>
      </c>
      <c r="T80" s="130" t="str">
        <f t="shared" si="21"/>
        <v/>
      </c>
      <c r="AH80" s="131" t="s">
        <v>118</v>
      </c>
      <c r="AI80" s="130" t="str">
        <f t="shared" si="22"/>
        <v/>
      </c>
      <c r="AW80" s="131" t="s">
        <v>118</v>
      </c>
      <c r="AX80" s="130" t="str">
        <f t="shared" si="23"/>
        <v/>
      </c>
    </row>
    <row r="81" spans="1:60" x14ac:dyDescent="0.25">
      <c r="C81" s="131" t="s">
        <v>117</v>
      </c>
      <c r="D81" s="24" t="str">
        <f>IF($D$13="","",$D$13)</f>
        <v/>
      </c>
      <c r="S81" s="131" t="s">
        <v>117</v>
      </c>
      <c r="T81" s="130" t="str">
        <f t="shared" si="21"/>
        <v/>
      </c>
      <c r="AH81" s="131" t="s">
        <v>117</v>
      </c>
      <c r="AI81" s="130" t="str">
        <f t="shared" si="22"/>
        <v/>
      </c>
      <c r="AW81" s="131" t="s">
        <v>117</v>
      </c>
      <c r="AX81" s="130" t="str">
        <f t="shared" si="23"/>
        <v/>
      </c>
    </row>
    <row r="82" spans="1:60" x14ac:dyDescent="0.25">
      <c r="C82" s="131" t="s">
        <v>116</v>
      </c>
      <c r="D82" s="132">
        <f>IF($D$14="","",$D$14)</f>
        <v>0.56999999999999995</v>
      </c>
      <c r="S82" s="131" t="s">
        <v>116</v>
      </c>
      <c r="T82" s="130">
        <f t="shared" si="21"/>
        <v>0.56999999999999995</v>
      </c>
      <c r="AH82" s="131" t="s">
        <v>116</v>
      </c>
      <c r="AI82" s="130">
        <f t="shared" si="22"/>
        <v>0.56999999999999995</v>
      </c>
      <c r="AW82" s="131" t="s">
        <v>116</v>
      </c>
      <c r="AX82" s="130">
        <f t="shared" si="23"/>
        <v>0.56999999999999995</v>
      </c>
    </row>
    <row r="83" spans="1:60" x14ac:dyDescent="0.25">
      <c r="C83" s="131" t="s">
        <v>115</v>
      </c>
      <c r="D83" s="130">
        <f>IF($D$15="","",$D$15)</f>
        <v>2</v>
      </c>
      <c r="S83" s="131" t="s">
        <v>115</v>
      </c>
      <c r="T83" s="130">
        <f t="shared" si="21"/>
        <v>2</v>
      </c>
      <c r="AH83" s="131" t="s">
        <v>115</v>
      </c>
      <c r="AI83" s="130">
        <f t="shared" si="22"/>
        <v>2</v>
      </c>
      <c r="AW83" s="131" t="s">
        <v>115</v>
      </c>
      <c r="AX83" s="130">
        <f t="shared" si="23"/>
        <v>2</v>
      </c>
    </row>
    <row r="84" spans="1:60" ht="15.75" thickBot="1" x14ac:dyDescent="0.3">
      <c r="C84" s="129" t="s">
        <v>114</v>
      </c>
      <c r="D84" s="128">
        <f>IF($D$16="","",$D$16)</f>
        <v>100</v>
      </c>
      <c r="S84" s="129" t="s">
        <v>114</v>
      </c>
      <c r="T84" s="148">
        <f t="shared" si="21"/>
        <v>100</v>
      </c>
      <c r="AH84" s="129" t="s">
        <v>114</v>
      </c>
      <c r="AI84" s="148">
        <f t="shared" si="22"/>
        <v>100</v>
      </c>
      <c r="AW84" s="129" t="s">
        <v>114</v>
      </c>
      <c r="AX84" s="148">
        <f>D84</f>
        <v>100</v>
      </c>
    </row>
    <row r="85" spans="1:60" ht="15.75" thickBot="1" x14ac:dyDescent="0.3">
      <c r="D85"/>
    </row>
    <row r="86" spans="1:60" ht="15.75" thickBot="1" x14ac:dyDescent="0.3">
      <c r="C86" s="496" t="s">
        <v>155</v>
      </c>
      <c r="D86" s="497"/>
      <c r="E86" s="497"/>
      <c r="F86" s="497"/>
      <c r="G86" s="497"/>
      <c r="H86" s="497"/>
      <c r="I86" s="497"/>
      <c r="J86" s="497"/>
      <c r="K86" s="497"/>
      <c r="L86" s="497"/>
      <c r="M86" s="497"/>
      <c r="N86" s="500"/>
      <c r="S86" s="493" t="s">
        <v>156</v>
      </c>
      <c r="T86" s="494"/>
      <c r="U86" s="494"/>
      <c r="V86" s="494"/>
      <c r="W86" s="494"/>
      <c r="X86" s="494"/>
      <c r="Y86" s="494"/>
      <c r="Z86" s="494"/>
      <c r="AA86" s="494"/>
      <c r="AB86" s="494"/>
      <c r="AC86" s="494"/>
      <c r="AD86" s="495"/>
      <c r="AH86" s="487" t="s">
        <v>158</v>
      </c>
      <c r="AI86" s="488"/>
      <c r="AJ86" s="488"/>
      <c r="AK86" s="488"/>
      <c r="AL86" s="488"/>
      <c r="AM86" s="488"/>
      <c r="AN86" s="488"/>
      <c r="AO86" s="488"/>
      <c r="AP86" s="488"/>
      <c r="AQ86" s="488"/>
      <c r="AR86" s="488"/>
      <c r="AS86" s="489"/>
      <c r="AW86" s="490" t="s">
        <v>160</v>
      </c>
      <c r="AX86" s="491"/>
      <c r="AY86" s="491"/>
      <c r="AZ86" s="491"/>
      <c r="BA86" s="491"/>
      <c r="BB86" s="491"/>
      <c r="BC86" s="491"/>
      <c r="BD86" s="491"/>
      <c r="BE86" s="491"/>
      <c r="BF86" s="491"/>
      <c r="BG86" s="491"/>
      <c r="BH86" s="492"/>
    </row>
    <row r="87" spans="1:60" ht="15.75" thickBot="1" x14ac:dyDescent="0.3">
      <c r="C87" s="123" t="s">
        <v>19</v>
      </c>
      <c r="D87" s="123" t="s">
        <v>113</v>
      </c>
      <c r="E87" s="123" t="s">
        <v>112</v>
      </c>
      <c r="F87" s="123" t="s">
        <v>111</v>
      </c>
      <c r="G87" s="123" t="s">
        <v>110</v>
      </c>
      <c r="H87" s="123" t="s">
        <v>109</v>
      </c>
      <c r="I87" s="122"/>
      <c r="J87" s="121" t="s">
        <v>108</v>
      </c>
      <c r="K87" s="120" t="s">
        <v>107</v>
      </c>
      <c r="L87" s="120" t="s">
        <v>106</v>
      </c>
      <c r="M87" s="120" t="s">
        <v>105</v>
      </c>
      <c r="N87" s="119" t="s">
        <v>104</v>
      </c>
      <c r="S87" s="123" t="s">
        <v>19</v>
      </c>
      <c r="T87" s="123" t="s">
        <v>113</v>
      </c>
      <c r="U87" s="123" t="s">
        <v>112</v>
      </c>
      <c r="V87" s="123" t="s">
        <v>111</v>
      </c>
      <c r="W87" s="123" t="s">
        <v>110</v>
      </c>
      <c r="X87" s="123" t="s">
        <v>109</v>
      </c>
      <c r="Y87" s="122"/>
      <c r="Z87" s="121" t="s">
        <v>108</v>
      </c>
      <c r="AA87" s="120" t="s">
        <v>107</v>
      </c>
      <c r="AB87" s="120" t="s">
        <v>106</v>
      </c>
      <c r="AC87" s="120" t="s">
        <v>105</v>
      </c>
      <c r="AD87" s="119" t="s">
        <v>104</v>
      </c>
      <c r="AH87" s="123" t="s">
        <v>19</v>
      </c>
      <c r="AI87" s="123" t="s">
        <v>113</v>
      </c>
      <c r="AJ87" s="123" t="s">
        <v>112</v>
      </c>
      <c r="AK87" s="123" t="s">
        <v>111</v>
      </c>
      <c r="AL87" s="123" t="s">
        <v>110</v>
      </c>
      <c r="AM87" s="123" t="s">
        <v>109</v>
      </c>
      <c r="AN87" s="122"/>
      <c r="AO87" s="121" t="s">
        <v>108</v>
      </c>
      <c r="AP87" s="120" t="s">
        <v>107</v>
      </c>
      <c r="AQ87" s="120" t="s">
        <v>106</v>
      </c>
      <c r="AR87" s="120" t="s">
        <v>105</v>
      </c>
      <c r="AS87" s="119" t="s">
        <v>104</v>
      </c>
      <c r="AW87" s="123" t="s">
        <v>19</v>
      </c>
      <c r="AX87" s="123" t="s">
        <v>113</v>
      </c>
      <c r="AY87" s="123" t="s">
        <v>112</v>
      </c>
      <c r="AZ87" s="123" t="s">
        <v>111</v>
      </c>
      <c r="BA87" s="123" t="s">
        <v>110</v>
      </c>
      <c r="BB87" s="123" t="s">
        <v>109</v>
      </c>
      <c r="BC87" s="122"/>
      <c r="BD87" s="121" t="s">
        <v>108</v>
      </c>
      <c r="BE87" s="120" t="s">
        <v>107</v>
      </c>
      <c r="BF87" s="120" t="s">
        <v>106</v>
      </c>
      <c r="BG87" s="120" t="s">
        <v>105</v>
      </c>
      <c r="BH87" s="119" t="s">
        <v>104</v>
      </c>
    </row>
    <row r="88" spans="1:60" x14ac:dyDescent="0.25">
      <c r="A88" s="8">
        <v>1</v>
      </c>
      <c r="B88" s="108">
        <v>1</v>
      </c>
      <c r="C88" s="118" t="s">
        <v>0</v>
      </c>
      <c r="D88" s="21">
        <f>'Post Reactions '!P11</f>
        <v>0</v>
      </c>
      <c r="E88" s="21">
        <f>'Post Reactions '!Q11</f>
        <v>0</v>
      </c>
      <c r="F88" s="21">
        <f>'Post Reactions '!R11</f>
        <v>0</v>
      </c>
      <c r="G88" s="21">
        <f>'Post Reactions '!S11/12</f>
        <v>0</v>
      </c>
      <c r="H88" s="22">
        <f>'Post Reactions '!T11/12</f>
        <v>0</v>
      </c>
      <c r="I88" s="113"/>
      <c r="J88" s="41">
        <f t="shared" ref="J88:J97" si="24">ABS((D88*($D$74+$D$78)))+ABS(H88)+IF(E88&lt;0,ABS(E88*($D$72/2)))</f>
        <v>0</v>
      </c>
      <c r="K88" s="21">
        <f t="shared" ref="K88:K95" si="25">$D$75*($D$72/2)+$D$79*$D$78*$D$72*$D$73*($D$72/2)+IF(E88&gt;0, ABS(E88*$D$72/2),0)</f>
        <v>70560</v>
      </c>
      <c r="L88" s="127" t="e">
        <f t="shared" ref="L88:L109" si="26">K88/J88</f>
        <v>#DIV/0!</v>
      </c>
      <c r="M88" s="126">
        <f t="shared" ref="M88:M109" si="27">($D$82*(E88+$D$75*B88))</f>
        <v>5950.7999999999993</v>
      </c>
      <c r="N88" s="114" t="str">
        <f t="shared" ref="N88:N97" si="28">IFERROR(M88/SQRT(D88^2+F88^2),"")</f>
        <v/>
      </c>
      <c r="Q88" s="8">
        <v>1</v>
      </c>
      <c r="R88" s="108">
        <v>1</v>
      </c>
      <c r="S88" s="150" t="s">
        <v>0</v>
      </c>
      <c r="T88" s="41">
        <f>'Post Reactions '!P64</f>
        <v>0</v>
      </c>
      <c r="U88" s="21">
        <f>'Post Reactions '!Q64</f>
        <v>0</v>
      </c>
      <c r="V88" s="21">
        <f>'Post Reactions '!R64</f>
        <v>0</v>
      </c>
      <c r="W88" s="21">
        <f>'Post Reactions '!S64/12</f>
        <v>0</v>
      </c>
      <c r="X88" s="22">
        <f>'Post Reactions '!T64/12</f>
        <v>0</v>
      </c>
      <c r="Y88" s="113"/>
      <c r="Z88" s="41">
        <f t="shared" ref="Z88:Z97" si="29">ABS((T88*($T$74+$T$78)))+ABS(X88)+IF(U88&lt;0,ABS(U88*($T$72/2)))</f>
        <v>0</v>
      </c>
      <c r="AA88" s="21">
        <f t="shared" ref="AA88:AA95" si="30">$T$75*($T$72/2)+$T$79*$T$78*$T$72*$T$73*($T$72/2)+IF(U88&gt;0, ABS(U88*$T$72/2),0)</f>
        <v>70560</v>
      </c>
      <c r="AB88" s="127" t="e">
        <f t="shared" ref="AB88:AB109" si="31">AA88/Z88</f>
        <v>#DIV/0!</v>
      </c>
      <c r="AC88" s="126">
        <f t="shared" ref="AC88:AC109" si="32">($T$82*(U88+$T$75*R88))</f>
        <v>5950.7999999999993</v>
      </c>
      <c r="AD88" s="114" t="str">
        <f t="shared" ref="AD88:AD97" si="33">IFERROR(AC88/SQRT(T88^2+V88^2),"")</f>
        <v/>
      </c>
      <c r="AF88" s="8">
        <v>1</v>
      </c>
      <c r="AG88" s="108">
        <v>1</v>
      </c>
      <c r="AH88" s="118" t="s">
        <v>0</v>
      </c>
      <c r="AI88" s="21">
        <f>'Post Reactions '!P117</f>
        <v>0</v>
      </c>
      <c r="AJ88" s="21">
        <f>'Post Reactions '!Q117</f>
        <v>0</v>
      </c>
      <c r="AK88" s="21">
        <f>'Post Reactions '!R117</f>
        <v>0</v>
      </c>
      <c r="AL88" s="21">
        <f>'Post Reactions '!S117/12</f>
        <v>0</v>
      </c>
      <c r="AM88" s="22">
        <f>'Post Reactions '!T117/12</f>
        <v>0</v>
      </c>
      <c r="AN88" s="113"/>
      <c r="AO88" s="41">
        <f t="shared" ref="AO88:AO97" si="34">ABS((AI88*($AI$74+$AI$78)))+ABS(AM88)+IF(AJ88&lt;0,ABS(AJ88*($AI$72/2)))</f>
        <v>0</v>
      </c>
      <c r="AP88" s="21">
        <f t="shared" ref="AP88:AP95" si="35">$AI$75*($AI$72/2)+$AI$79*$AI$78*$AI$72*$AI$73*($AI$72/2)+IF(AJ88&gt;0, ABS(AJ88*$AI$72/2),0)</f>
        <v>70560</v>
      </c>
      <c r="AQ88" s="127" t="e">
        <f t="shared" ref="AQ88:AQ109" si="36">AP88/AO88</f>
        <v>#DIV/0!</v>
      </c>
      <c r="AR88" s="126">
        <f t="shared" ref="AR88:AR109" si="37">($AI$82*(AJ88+$AI$75*AG88))</f>
        <v>5950.7999999999993</v>
      </c>
      <c r="AS88" s="114" t="str">
        <f t="shared" ref="AS88:AS97" si="38">IFERROR(AR88/SQRT(AI88^2+AK88^2),"")</f>
        <v/>
      </c>
      <c r="AU88" s="8">
        <v>1</v>
      </c>
      <c r="AV88" s="108">
        <v>1</v>
      </c>
      <c r="AW88" s="118" t="s">
        <v>0</v>
      </c>
      <c r="AX88" s="21">
        <f>'Post Reactions '!P170</f>
        <v>0</v>
      </c>
      <c r="AY88" s="21">
        <f>'Post Reactions '!Q170</f>
        <v>0</v>
      </c>
      <c r="AZ88" s="21">
        <f>'Post Reactions '!R170</f>
        <v>0</v>
      </c>
      <c r="BA88" s="21">
        <f>'Post Reactions '!S170/12</f>
        <v>0</v>
      </c>
      <c r="BB88" s="22">
        <f>'Post Reactions '!T170/12</f>
        <v>0</v>
      </c>
      <c r="BC88" s="113"/>
      <c r="BD88" s="41">
        <f t="shared" ref="BD88:BD97" si="39">ABS((AX88*($AX$74+$AX$78)))+ABS(BB88)+IF(AY88&lt;0,ABS(AY88*($AX$72/2)))</f>
        <v>0</v>
      </c>
      <c r="BE88" s="21">
        <f t="shared" ref="BE88:BE95" si="40">$AX$75*($AX$72/2)+$AX$79*$AX$78*$AX$72*$AX$73*($AX$72/2)+IF(AY88&gt;0, ABS(AY88*$AX$72/2),0)</f>
        <v>70560</v>
      </c>
      <c r="BF88" s="127" t="e">
        <f t="shared" ref="BF88:BF109" si="41">BE88/BD88</f>
        <v>#DIV/0!</v>
      </c>
      <c r="BG88" s="126">
        <f t="shared" ref="BG88:BG109" si="42">($AX$82*(AY88+$AX$75*AV88))</f>
        <v>5950.7999999999993</v>
      </c>
      <c r="BH88" s="114" t="str">
        <f t="shared" ref="BH88:BH97" si="43">IFERROR(BG88/SQRT(AX88^2+AZ88^2),"")</f>
        <v/>
      </c>
    </row>
    <row r="89" spans="1:60" x14ac:dyDescent="0.25">
      <c r="A89" s="8">
        <v>2</v>
      </c>
      <c r="B89" s="108">
        <v>1</v>
      </c>
      <c r="C89" s="112" t="s">
        <v>20</v>
      </c>
      <c r="D89" s="23">
        <f>'Post Reactions '!P12</f>
        <v>0</v>
      </c>
      <c r="E89" s="23">
        <f>'Post Reactions '!Q12</f>
        <v>0</v>
      </c>
      <c r="F89" s="23">
        <f>'Post Reactions '!R12</f>
        <v>0</v>
      </c>
      <c r="G89" s="23">
        <f>'Post Reactions '!S12/12</f>
        <v>0</v>
      </c>
      <c r="H89" s="24">
        <f>'Post Reactions '!T12/12</f>
        <v>0</v>
      </c>
      <c r="I89" s="113"/>
      <c r="J89" s="30">
        <f t="shared" si="24"/>
        <v>0</v>
      </c>
      <c r="K89" s="23">
        <f t="shared" si="25"/>
        <v>70560</v>
      </c>
      <c r="L89" s="111" t="e">
        <f t="shared" si="26"/>
        <v>#DIV/0!</v>
      </c>
      <c r="M89" s="110">
        <f t="shared" si="27"/>
        <v>5950.7999999999993</v>
      </c>
      <c r="N89" s="109" t="str">
        <f t="shared" si="28"/>
        <v/>
      </c>
      <c r="Q89" s="8">
        <v>2</v>
      </c>
      <c r="R89" s="108">
        <v>1</v>
      </c>
      <c r="S89" s="151" t="s">
        <v>20</v>
      </c>
      <c r="T89" s="30">
        <f>'Post Reactions '!P65</f>
        <v>0</v>
      </c>
      <c r="U89" s="23">
        <f>'Post Reactions '!Q65</f>
        <v>0</v>
      </c>
      <c r="V89" s="23">
        <f>'Post Reactions '!R65</f>
        <v>0</v>
      </c>
      <c r="W89" s="23">
        <f>'Post Reactions '!S65/12</f>
        <v>0</v>
      </c>
      <c r="X89" s="24">
        <f>'Post Reactions '!T65/12</f>
        <v>0</v>
      </c>
      <c r="Y89" s="113"/>
      <c r="Z89" s="30">
        <f t="shared" si="29"/>
        <v>0</v>
      </c>
      <c r="AA89" s="23">
        <f t="shared" si="30"/>
        <v>70560</v>
      </c>
      <c r="AB89" s="111" t="e">
        <f t="shared" si="31"/>
        <v>#DIV/0!</v>
      </c>
      <c r="AC89" s="110">
        <f t="shared" si="32"/>
        <v>5950.7999999999993</v>
      </c>
      <c r="AD89" s="109" t="str">
        <f t="shared" si="33"/>
        <v/>
      </c>
      <c r="AF89" s="8">
        <v>2</v>
      </c>
      <c r="AG89" s="108">
        <v>1</v>
      </c>
      <c r="AH89" s="112" t="s">
        <v>20</v>
      </c>
      <c r="AI89" s="23">
        <f>'Post Reactions '!P118</f>
        <v>0</v>
      </c>
      <c r="AJ89" s="23">
        <f>'Post Reactions '!Q118</f>
        <v>0</v>
      </c>
      <c r="AK89" s="23">
        <f>'Post Reactions '!R118</f>
        <v>0</v>
      </c>
      <c r="AL89" s="23">
        <f>'Post Reactions '!S118/12</f>
        <v>0</v>
      </c>
      <c r="AM89" s="24">
        <f>'Post Reactions '!T118/12</f>
        <v>0</v>
      </c>
      <c r="AN89" s="113"/>
      <c r="AO89" s="30">
        <f t="shared" si="34"/>
        <v>0</v>
      </c>
      <c r="AP89" s="23">
        <f t="shared" si="35"/>
        <v>70560</v>
      </c>
      <c r="AQ89" s="111" t="e">
        <f t="shared" si="36"/>
        <v>#DIV/0!</v>
      </c>
      <c r="AR89" s="110">
        <f t="shared" si="37"/>
        <v>5950.7999999999993</v>
      </c>
      <c r="AS89" s="109" t="str">
        <f t="shared" si="38"/>
        <v/>
      </c>
      <c r="AU89" s="8">
        <v>2</v>
      </c>
      <c r="AV89" s="108">
        <v>1</v>
      </c>
      <c r="AW89" s="112" t="s">
        <v>20</v>
      </c>
      <c r="AX89" s="23">
        <f>'Post Reactions '!P171</f>
        <v>0</v>
      </c>
      <c r="AY89" s="23">
        <f>'Post Reactions '!Q171</f>
        <v>0</v>
      </c>
      <c r="AZ89" s="23">
        <f>'Post Reactions '!R171</f>
        <v>0</v>
      </c>
      <c r="BA89" s="23">
        <f>'Post Reactions '!S171/12</f>
        <v>0</v>
      </c>
      <c r="BB89" s="24">
        <f>'Post Reactions '!T171/12</f>
        <v>0</v>
      </c>
      <c r="BC89" s="113"/>
      <c r="BD89" s="30">
        <f t="shared" si="39"/>
        <v>0</v>
      </c>
      <c r="BE89" s="23">
        <f t="shared" si="40"/>
        <v>70560</v>
      </c>
      <c r="BF89" s="111" t="e">
        <f t="shared" si="41"/>
        <v>#DIV/0!</v>
      </c>
      <c r="BG89" s="110">
        <f t="shared" si="42"/>
        <v>5950.7999999999993</v>
      </c>
      <c r="BH89" s="109" t="str">
        <f t="shared" si="43"/>
        <v/>
      </c>
    </row>
    <row r="90" spans="1:60" x14ac:dyDescent="0.25">
      <c r="A90" s="8">
        <v>3</v>
      </c>
      <c r="B90" s="108">
        <v>1</v>
      </c>
      <c r="C90" s="112" t="s">
        <v>21</v>
      </c>
      <c r="D90" s="23">
        <f>'Post Reactions '!P13</f>
        <v>0</v>
      </c>
      <c r="E90" s="23">
        <f>'Post Reactions '!Q13</f>
        <v>0</v>
      </c>
      <c r="F90" s="23">
        <f>'Post Reactions '!R13</f>
        <v>0</v>
      </c>
      <c r="G90" s="23">
        <f>'Post Reactions '!S13/12</f>
        <v>0</v>
      </c>
      <c r="H90" s="24">
        <f>'Post Reactions '!T13/12</f>
        <v>0</v>
      </c>
      <c r="I90" s="113"/>
      <c r="J90" s="30">
        <f t="shared" si="24"/>
        <v>0</v>
      </c>
      <c r="K90" s="23">
        <f t="shared" si="25"/>
        <v>70560</v>
      </c>
      <c r="L90" s="111" t="e">
        <f t="shared" si="26"/>
        <v>#DIV/0!</v>
      </c>
      <c r="M90" s="110">
        <f t="shared" si="27"/>
        <v>5950.7999999999993</v>
      </c>
      <c r="N90" s="109" t="str">
        <f t="shared" si="28"/>
        <v/>
      </c>
      <c r="Q90" s="8">
        <v>3</v>
      </c>
      <c r="R90" s="108">
        <v>1</v>
      </c>
      <c r="S90" s="151" t="s">
        <v>21</v>
      </c>
      <c r="T90" s="30">
        <f>'Post Reactions '!P66</f>
        <v>0</v>
      </c>
      <c r="U90" s="23">
        <f>'Post Reactions '!Q66</f>
        <v>0</v>
      </c>
      <c r="V90" s="23">
        <f>'Post Reactions '!R66</f>
        <v>0</v>
      </c>
      <c r="W90" s="23">
        <f>'Post Reactions '!S66/12</f>
        <v>0</v>
      </c>
      <c r="X90" s="24">
        <f>'Post Reactions '!T66/12</f>
        <v>0</v>
      </c>
      <c r="Y90" s="113"/>
      <c r="Z90" s="30">
        <f t="shared" si="29"/>
        <v>0</v>
      </c>
      <c r="AA90" s="23">
        <f t="shared" si="30"/>
        <v>70560</v>
      </c>
      <c r="AB90" s="111" t="e">
        <f t="shared" si="31"/>
        <v>#DIV/0!</v>
      </c>
      <c r="AC90" s="110">
        <f t="shared" si="32"/>
        <v>5950.7999999999993</v>
      </c>
      <c r="AD90" s="109" t="str">
        <f t="shared" si="33"/>
        <v/>
      </c>
      <c r="AF90" s="8">
        <v>3</v>
      </c>
      <c r="AG90" s="108">
        <v>1</v>
      </c>
      <c r="AH90" s="112" t="s">
        <v>21</v>
      </c>
      <c r="AI90" s="23">
        <f>'Post Reactions '!P119</f>
        <v>0</v>
      </c>
      <c r="AJ90" s="23">
        <f>'Post Reactions '!Q119</f>
        <v>0</v>
      </c>
      <c r="AK90" s="23">
        <f>'Post Reactions '!R119</f>
        <v>0</v>
      </c>
      <c r="AL90" s="23">
        <f>'Post Reactions '!S119/12</f>
        <v>0</v>
      </c>
      <c r="AM90" s="24">
        <f>'Post Reactions '!T119/12</f>
        <v>0</v>
      </c>
      <c r="AN90" s="113"/>
      <c r="AO90" s="30">
        <f t="shared" si="34"/>
        <v>0</v>
      </c>
      <c r="AP90" s="23">
        <f t="shared" si="35"/>
        <v>70560</v>
      </c>
      <c r="AQ90" s="111" t="e">
        <f t="shared" si="36"/>
        <v>#DIV/0!</v>
      </c>
      <c r="AR90" s="110">
        <f t="shared" si="37"/>
        <v>5950.7999999999993</v>
      </c>
      <c r="AS90" s="109" t="str">
        <f t="shared" si="38"/>
        <v/>
      </c>
      <c r="AU90" s="8">
        <v>3</v>
      </c>
      <c r="AV90" s="108">
        <v>1</v>
      </c>
      <c r="AW90" s="112" t="s">
        <v>21</v>
      </c>
      <c r="AX90" s="23">
        <f>'Post Reactions '!P172</f>
        <v>0</v>
      </c>
      <c r="AY90" s="23">
        <f>'Post Reactions '!Q172</f>
        <v>0</v>
      </c>
      <c r="AZ90" s="23">
        <f>'Post Reactions '!R172</f>
        <v>0</v>
      </c>
      <c r="BA90" s="23">
        <f>'Post Reactions '!S172/12</f>
        <v>0</v>
      </c>
      <c r="BB90" s="24">
        <f>'Post Reactions '!T172/12</f>
        <v>0</v>
      </c>
      <c r="BC90" s="113"/>
      <c r="BD90" s="30">
        <f t="shared" si="39"/>
        <v>0</v>
      </c>
      <c r="BE90" s="23">
        <f t="shared" si="40"/>
        <v>70560</v>
      </c>
      <c r="BF90" s="111" t="e">
        <f t="shared" si="41"/>
        <v>#DIV/0!</v>
      </c>
      <c r="BG90" s="110">
        <f t="shared" si="42"/>
        <v>5950.7999999999993</v>
      </c>
      <c r="BH90" s="109" t="str">
        <f t="shared" si="43"/>
        <v/>
      </c>
    </row>
    <row r="91" spans="1:60" x14ac:dyDescent="0.25">
      <c r="A91" s="8">
        <v>4</v>
      </c>
      <c r="B91" s="108">
        <v>1</v>
      </c>
      <c r="C91" s="112" t="s">
        <v>22</v>
      </c>
      <c r="D91" s="23">
        <f>'Post Reactions '!P14</f>
        <v>0</v>
      </c>
      <c r="E91" s="23">
        <f>'Post Reactions '!Q14</f>
        <v>0</v>
      </c>
      <c r="F91" s="23">
        <f>'Post Reactions '!R14</f>
        <v>0</v>
      </c>
      <c r="G91" s="23">
        <f>'Post Reactions '!S14/12</f>
        <v>0</v>
      </c>
      <c r="H91" s="24">
        <f>'Post Reactions '!T14/12</f>
        <v>0</v>
      </c>
      <c r="I91" s="113"/>
      <c r="J91" s="30">
        <f t="shared" si="24"/>
        <v>0</v>
      </c>
      <c r="K91" s="23">
        <f t="shared" si="25"/>
        <v>70560</v>
      </c>
      <c r="L91" s="111" t="e">
        <f t="shared" si="26"/>
        <v>#DIV/0!</v>
      </c>
      <c r="M91" s="110">
        <f t="shared" si="27"/>
        <v>5950.7999999999993</v>
      </c>
      <c r="N91" s="109" t="str">
        <f t="shared" si="28"/>
        <v/>
      </c>
      <c r="Q91" s="8">
        <v>4</v>
      </c>
      <c r="R91" s="108">
        <v>1</v>
      </c>
      <c r="S91" s="151" t="s">
        <v>22</v>
      </c>
      <c r="T91" s="30">
        <f>'Post Reactions '!P67</f>
        <v>0</v>
      </c>
      <c r="U91" s="23">
        <f>'Post Reactions '!Q67</f>
        <v>0</v>
      </c>
      <c r="V91" s="23">
        <f>'Post Reactions '!R67</f>
        <v>0</v>
      </c>
      <c r="W91" s="23">
        <f>'Post Reactions '!S67/12</f>
        <v>0</v>
      </c>
      <c r="X91" s="24">
        <f>'Post Reactions '!T67/12</f>
        <v>0</v>
      </c>
      <c r="Y91" s="113"/>
      <c r="Z91" s="30">
        <f t="shared" si="29"/>
        <v>0</v>
      </c>
      <c r="AA91" s="23">
        <f t="shared" si="30"/>
        <v>70560</v>
      </c>
      <c r="AB91" s="111" t="e">
        <f t="shared" si="31"/>
        <v>#DIV/0!</v>
      </c>
      <c r="AC91" s="110">
        <f t="shared" si="32"/>
        <v>5950.7999999999993</v>
      </c>
      <c r="AD91" s="109" t="str">
        <f t="shared" si="33"/>
        <v/>
      </c>
      <c r="AF91" s="8">
        <v>4</v>
      </c>
      <c r="AG91" s="108">
        <v>1</v>
      </c>
      <c r="AH91" s="112" t="s">
        <v>22</v>
      </c>
      <c r="AI91" s="23">
        <f>'Post Reactions '!P120</f>
        <v>0</v>
      </c>
      <c r="AJ91" s="23">
        <f>'Post Reactions '!Q120</f>
        <v>0</v>
      </c>
      <c r="AK91" s="23">
        <f>'Post Reactions '!R120</f>
        <v>0</v>
      </c>
      <c r="AL91" s="23">
        <f>'Post Reactions '!S120/12</f>
        <v>0</v>
      </c>
      <c r="AM91" s="24">
        <f>'Post Reactions '!T120/12</f>
        <v>0</v>
      </c>
      <c r="AN91" s="113"/>
      <c r="AO91" s="30">
        <f t="shared" si="34"/>
        <v>0</v>
      </c>
      <c r="AP91" s="23">
        <f t="shared" si="35"/>
        <v>70560</v>
      </c>
      <c r="AQ91" s="111" t="e">
        <f t="shared" si="36"/>
        <v>#DIV/0!</v>
      </c>
      <c r="AR91" s="110">
        <f t="shared" si="37"/>
        <v>5950.7999999999993</v>
      </c>
      <c r="AS91" s="109" t="str">
        <f t="shared" si="38"/>
        <v/>
      </c>
      <c r="AU91" s="8">
        <v>4</v>
      </c>
      <c r="AV91" s="108">
        <v>1</v>
      </c>
      <c r="AW91" s="112" t="s">
        <v>22</v>
      </c>
      <c r="AX91" s="23">
        <f>'Post Reactions '!P173</f>
        <v>0</v>
      </c>
      <c r="AY91" s="23">
        <f>'Post Reactions '!Q173</f>
        <v>0</v>
      </c>
      <c r="AZ91" s="23">
        <f>'Post Reactions '!R173</f>
        <v>0</v>
      </c>
      <c r="BA91" s="23">
        <f>'Post Reactions '!S173/12</f>
        <v>0</v>
      </c>
      <c r="BB91" s="24">
        <f>'Post Reactions '!T173/12</f>
        <v>0</v>
      </c>
      <c r="BC91" s="113"/>
      <c r="BD91" s="30">
        <f t="shared" si="39"/>
        <v>0</v>
      </c>
      <c r="BE91" s="23">
        <f t="shared" si="40"/>
        <v>70560</v>
      </c>
      <c r="BF91" s="111" t="e">
        <f t="shared" si="41"/>
        <v>#DIV/0!</v>
      </c>
      <c r="BG91" s="110">
        <f t="shared" si="42"/>
        <v>5950.7999999999993</v>
      </c>
      <c r="BH91" s="109" t="str">
        <f t="shared" si="43"/>
        <v/>
      </c>
    </row>
    <row r="92" spans="1:60" x14ac:dyDescent="0.25">
      <c r="A92" s="8">
        <v>5</v>
      </c>
      <c r="B92" s="108">
        <v>1</v>
      </c>
      <c r="C92" s="112" t="s">
        <v>35</v>
      </c>
      <c r="D92" s="23">
        <f>'Post Reactions '!P15</f>
        <v>0</v>
      </c>
      <c r="E92" s="23">
        <f>'Post Reactions '!Q15</f>
        <v>0</v>
      </c>
      <c r="F92" s="23">
        <f>'Post Reactions '!R15</f>
        <v>0</v>
      </c>
      <c r="G92" s="23">
        <f>'Post Reactions '!S15/12</f>
        <v>0</v>
      </c>
      <c r="H92" s="24">
        <f>'Post Reactions '!T15/12</f>
        <v>0</v>
      </c>
      <c r="I92" s="113"/>
      <c r="J92" s="30">
        <f t="shared" si="24"/>
        <v>0</v>
      </c>
      <c r="K92" s="23">
        <f t="shared" si="25"/>
        <v>70560</v>
      </c>
      <c r="L92" s="111" t="e">
        <f t="shared" si="26"/>
        <v>#DIV/0!</v>
      </c>
      <c r="M92" s="110">
        <f t="shared" si="27"/>
        <v>5950.7999999999993</v>
      </c>
      <c r="N92" s="109" t="str">
        <f t="shared" si="28"/>
        <v/>
      </c>
      <c r="Q92" s="8">
        <v>5</v>
      </c>
      <c r="R92" s="108">
        <v>1</v>
      </c>
      <c r="S92" s="151" t="s">
        <v>35</v>
      </c>
      <c r="T92" s="30">
        <f>'Post Reactions '!P68</f>
        <v>0</v>
      </c>
      <c r="U92" s="23">
        <f>'Post Reactions '!Q68</f>
        <v>0</v>
      </c>
      <c r="V92" s="23">
        <f>'Post Reactions '!R68</f>
        <v>0</v>
      </c>
      <c r="W92" s="23">
        <f>'Post Reactions '!S68/12</f>
        <v>0</v>
      </c>
      <c r="X92" s="24">
        <f>'Post Reactions '!T68/12</f>
        <v>0</v>
      </c>
      <c r="Y92" s="113"/>
      <c r="Z92" s="30">
        <f t="shared" si="29"/>
        <v>0</v>
      </c>
      <c r="AA92" s="23">
        <f t="shared" si="30"/>
        <v>70560</v>
      </c>
      <c r="AB92" s="111" t="e">
        <f t="shared" si="31"/>
        <v>#DIV/0!</v>
      </c>
      <c r="AC92" s="110">
        <f t="shared" si="32"/>
        <v>5950.7999999999993</v>
      </c>
      <c r="AD92" s="109" t="str">
        <f t="shared" si="33"/>
        <v/>
      </c>
      <c r="AF92" s="8">
        <v>5</v>
      </c>
      <c r="AG92" s="108">
        <v>1</v>
      </c>
      <c r="AH92" s="112" t="s">
        <v>35</v>
      </c>
      <c r="AI92" s="23">
        <f>'Post Reactions '!P121</f>
        <v>0</v>
      </c>
      <c r="AJ92" s="23">
        <f>'Post Reactions '!Q121</f>
        <v>0</v>
      </c>
      <c r="AK92" s="23">
        <f>'Post Reactions '!R121</f>
        <v>0</v>
      </c>
      <c r="AL92" s="23">
        <f>'Post Reactions '!S121/12</f>
        <v>0</v>
      </c>
      <c r="AM92" s="24">
        <f>'Post Reactions '!T121/12</f>
        <v>0</v>
      </c>
      <c r="AN92" s="113"/>
      <c r="AO92" s="30">
        <f t="shared" si="34"/>
        <v>0</v>
      </c>
      <c r="AP92" s="23">
        <f t="shared" si="35"/>
        <v>70560</v>
      </c>
      <c r="AQ92" s="111" t="e">
        <f t="shared" si="36"/>
        <v>#DIV/0!</v>
      </c>
      <c r="AR92" s="110">
        <f t="shared" si="37"/>
        <v>5950.7999999999993</v>
      </c>
      <c r="AS92" s="109" t="str">
        <f t="shared" si="38"/>
        <v/>
      </c>
      <c r="AU92" s="8">
        <v>5</v>
      </c>
      <c r="AV92" s="108">
        <v>1</v>
      </c>
      <c r="AW92" s="112" t="s">
        <v>35</v>
      </c>
      <c r="AX92" s="23">
        <f>'Post Reactions '!P174</f>
        <v>0</v>
      </c>
      <c r="AY92" s="23">
        <f>'Post Reactions '!Q174</f>
        <v>0</v>
      </c>
      <c r="AZ92" s="23">
        <f>'Post Reactions '!R174</f>
        <v>0</v>
      </c>
      <c r="BA92" s="23">
        <f>'Post Reactions '!S174/12</f>
        <v>0</v>
      </c>
      <c r="BB92" s="24">
        <f>'Post Reactions '!T174/12</f>
        <v>0</v>
      </c>
      <c r="BC92" s="113"/>
      <c r="BD92" s="30">
        <f t="shared" si="39"/>
        <v>0</v>
      </c>
      <c r="BE92" s="23">
        <f t="shared" si="40"/>
        <v>70560</v>
      </c>
      <c r="BF92" s="111" t="e">
        <f t="shared" si="41"/>
        <v>#DIV/0!</v>
      </c>
      <c r="BG92" s="110">
        <f t="shared" si="42"/>
        <v>5950.7999999999993</v>
      </c>
      <c r="BH92" s="109" t="str">
        <f t="shared" si="43"/>
        <v/>
      </c>
    </row>
    <row r="93" spans="1:60" x14ac:dyDescent="0.25">
      <c r="A93" s="8">
        <v>6</v>
      </c>
      <c r="B93" s="108">
        <v>1</v>
      </c>
      <c r="C93" s="112" t="s">
        <v>36</v>
      </c>
      <c r="D93" s="23">
        <f>'Post Reactions '!P16</f>
        <v>0</v>
      </c>
      <c r="E93" s="23">
        <f>'Post Reactions '!Q16</f>
        <v>0</v>
      </c>
      <c r="F93" s="23">
        <f>'Post Reactions '!R16</f>
        <v>0</v>
      </c>
      <c r="G93" s="23">
        <f>'Post Reactions '!S16/12</f>
        <v>0</v>
      </c>
      <c r="H93" s="24">
        <f>'Post Reactions '!T16/12</f>
        <v>0</v>
      </c>
      <c r="I93" s="113"/>
      <c r="J93" s="30">
        <f t="shared" si="24"/>
        <v>0</v>
      </c>
      <c r="K93" s="23">
        <f t="shared" si="25"/>
        <v>70560</v>
      </c>
      <c r="L93" s="111" t="e">
        <f t="shared" si="26"/>
        <v>#DIV/0!</v>
      </c>
      <c r="M93" s="110">
        <f t="shared" si="27"/>
        <v>5950.7999999999993</v>
      </c>
      <c r="N93" s="109" t="str">
        <f t="shared" si="28"/>
        <v/>
      </c>
      <c r="Q93" s="8">
        <v>6</v>
      </c>
      <c r="R93" s="108">
        <v>1</v>
      </c>
      <c r="S93" s="151" t="s">
        <v>36</v>
      </c>
      <c r="T93" s="30">
        <f>'Post Reactions '!P69</f>
        <v>0</v>
      </c>
      <c r="U93" s="23">
        <f>'Post Reactions '!Q69</f>
        <v>0</v>
      </c>
      <c r="V93" s="23">
        <f>'Post Reactions '!R69</f>
        <v>0</v>
      </c>
      <c r="W93" s="23">
        <f>'Post Reactions '!S69/12</f>
        <v>0</v>
      </c>
      <c r="X93" s="24">
        <f>'Post Reactions '!T69/12</f>
        <v>0</v>
      </c>
      <c r="Y93" s="113"/>
      <c r="Z93" s="30">
        <f t="shared" si="29"/>
        <v>0</v>
      </c>
      <c r="AA93" s="23">
        <f t="shared" si="30"/>
        <v>70560</v>
      </c>
      <c r="AB93" s="111" t="e">
        <f t="shared" si="31"/>
        <v>#DIV/0!</v>
      </c>
      <c r="AC93" s="110">
        <f t="shared" si="32"/>
        <v>5950.7999999999993</v>
      </c>
      <c r="AD93" s="109" t="str">
        <f t="shared" si="33"/>
        <v/>
      </c>
      <c r="AF93" s="8">
        <v>6</v>
      </c>
      <c r="AG93" s="108">
        <v>1</v>
      </c>
      <c r="AH93" s="112" t="s">
        <v>36</v>
      </c>
      <c r="AI93" s="23">
        <f>'Post Reactions '!P122</f>
        <v>0</v>
      </c>
      <c r="AJ93" s="23">
        <f>'Post Reactions '!Q122</f>
        <v>0</v>
      </c>
      <c r="AK93" s="23">
        <f>'Post Reactions '!R122</f>
        <v>0</v>
      </c>
      <c r="AL93" s="23">
        <f>'Post Reactions '!S122/12</f>
        <v>0</v>
      </c>
      <c r="AM93" s="24">
        <f>'Post Reactions '!T122/12</f>
        <v>0</v>
      </c>
      <c r="AN93" s="113"/>
      <c r="AO93" s="30">
        <f t="shared" si="34"/>
        <v>0</v>
      </c>
      <c r="AP93" s="23">
        <f t="shared" si="35"/>
        <v>70560</v>
      </c>
      <c r="AQ93" s="111" t="e">
        <f t="shared" si="36"/>
        <v>#DIV/0!</v>
      </c>
      <c r="AR93" s="110">
        <f t="shared" si="37"/>
        <v>5950.7999999999993</v>
      </c>
      <c r="AS93" s="109" t="str">
        <f t="shared" si="38"/>
        <v/>
      </c>
      <c r="AU93" s="8">
        <v>6</v>
      </c>
      <c r="AV93" s="108">
        <v>1</v>
      </c>
      <c r="AW93" s="112" t="s">
        <v>36</v>
      </c>
      <c r="AX93" s="23">
        <f>'Post Reactions '!P175</f>
        <v>0</v>
      </c>
      <c r="AY93" s="23">
        <f>'Post Reactions '!Q175</f>
        <v>0</v>
      </c>
      <c r="AZ93" s="23">
        <f>'Post Reactions '!R175</f>
        <v>0</v>
      </c>
      <c r="BA93" s="23">
        <f>'Post Reactions '!S175/12</f>
        <v>0</v>
      </c>
      <c r="BB93" s="24">
        <f>'Post Reactions '!T175/12</f>
        <v>0</v>
      </c>
      <c r="BC93" s="113"/>
      <c r="BD93" s="30">
        <f t="shared" si="39"/>
        <v>0</v>
      </c>
      <c r="BE93" s="23">
        <f t="shared" si="40"/>
        <v>70560</v>
      </c>
      <c r="BF93" s="111" t="e">
        <f t="shared" si="41"/>
        <v>#DIV/0!</v>
      </c>
      <c r="BG93" s="110">
        <f t="shared" si="42"/>
        <v>5950.7999999999993</v>
      </c>
      <c r="BH93" s="109" t="str">
        <f t="shared" si="43"/>
        <v/>
      </c>
    </row>
    <row r="94" spans="1:60" x14ac:dyDescent="0.25">
      <c r="A94" s="8">
        <v>7</v>
      </c>
      <c r="B94" s="108">
        <v>1</v>
      </c>
      <c r="C94" s="112" t="s">
        <v>33</v>
      </c>
      <c r="D94" s="23">
        <f>'Post Reactions '!P17</f>
        <v>0</v>
      </c>
      <c r="E94" s="23">
        <f>'Post Reactions '!Q17</f>
        <v>0</v>
      </c>
      <c r="F94" s="23">
        <f>'Post Reactions '!R17</f>
        <v>0</v>
      </c>
      <c r="G94" s="23">
        <f>'Post Reactions '!S17/12</f>
        <v>0</v>
      </c>
      <c r="H94" s="24">
        <f>'Post Reactions '!T17/12</f>
        <v>0</v>
      </c>
      <c r="I94" s="113"/>
      <c r="J94" s="30">
        <f t="shared" si="24"/>
        <v>0</v>
      </c>
      <c r="K94" s="23">
        <f t="shared" si="25"/>
        <v>70560</v>
      </c>
      <c r="L94" s="111" t="e">
        <f t="shared" si="26"/>
        <v>#DIV/0!</v>
      </c>
      <c r="M94" s="110">
        <f t="shared" si="27"/>
        <v>5950.7999999999993</v>
      </c>
      <c r="N94" s="109" t="str">
        <f t="shared" si="28"/>
        <v/>
      </c>
      <c r="Q94" s="8">
        <v>7</v>
      </c>
      <c r="R94" s="108">
        <v>1</v>
      </c>
      <c r="S94" s="151" t="s">
        <v>33</v>
      </c>
      <c r="T94" s="30">
        <f>'Post Reactions '!P70</f>
        <v>0</v>
      </c>
      <c r="U94" s="23">
        <f>'Post Reactions '!Q70</f>
        <v>0</v>
      </c>
      <c r="V94" s="23">
        <f>'Post Reactions '!R70</f>
        <v>0</v>
      </c>
      <c r="W94" s="23">
        <f>'Post Reactions '!S70/12</f>
        <v>0</v>
      </c>
      <c r="X94" s="24">
        <f>'Post Reactions '!T70/12</f>
        <v>0</v>
      </c>
      <c r="Y94" s="113"/>
      <c r="Z94" s="30">
        <f t="shared" si="29"/>
        <v>0</v>
      </c>
      <c r="AA94" s="23">
        <f t="shared" si="30"/>
        <v>70560</v>
      </c>
      <c r="AB94" s="111" t="e">
        <f t="shared" si="31"/>
        <v>#DIV/0!</v>
      </c>
      <c r="AC94" s="110">
        <f t="shared" si="32"/>
        <v>5950.7999999999993</v>
      </c>
      <c r="AD94" s="109" t="str">
        <f t="shared" si="33"/>
        <v/>
      </c>
      <c r="AF94" s="8">
        <v>7</v>
      </c>
      <c r="AG94" s="108">
        <v>1</v>
      </c>
      <c r="AH94" s="112" t="s">
        <v>33</v>
      </c>
      <c r="AI94" s="23">
        <f>'Post Reactions '!P123</f>
        <v>0</v>
      </c>
      <c r="AJ94" s="23">
        <f>'Post Reactions '!Q123</f>
        <v>0</v>
      </c>
      <c r="AK94" s="23">
        <f>'Post Reactions '!R123</f>
        <v>0</v>
      </c>
      <c r="AL94" s="23">
        <f>'Post Reactions '!S123/12</f>
        <v>0</v>
      </c>
      <c r="AM94" s="24">
        <f>'Post Reactions '!T123/12</f>
        <v>0</v>
      </c>
      <c r="AN94" s="113"/>
      <c r="AO94" s="30">
        <f t="shared" si="34"/>
        <v>0</v>
      </c>
      <c r="AP94" s="23">
        <f t="shared" si="35"/>
        <v>70560</v>
      </c>
      <c r="AQ94" s="111" t="e">
        <f t="shared" si="36"/>
        <v>#DIV/0!</v>
      </c>
      <c r="AR94" s="110">
        <f t="shared" si="37"/>
        <v>5950.7999999999993</v>
      </c>
      <c r="AS94" s="109" t="str">
        <f t="shared" si="38"/>
        <v/>
      </c>
      <c r="AU94" s="8">
        <v>7</v>
      </c>
      <c r="AV94" s="108">
        <v>1</v>
      </c>
      <c r="AW94" s="112" t="s">
        <v>33</v>
      </c>
      <c r="AX94" s="23">
        <f>'Post Reactions '!P176</f>
        <v>0</v>
      </c>
      <c r="AY94" s="23">
        <f>'Post Reactions '!Q176</f>
        <v>0</v>
      </c>
      <c r="AZ94" s="23">
        <f>'Post Reactions '!R176</f>
        <v>0</v>
      </c>
      <c r="BA94" s="23">
        <f>'Post Reactions '!S176/12</f>
        <v>0</v>
      </c>
      <c r="BB94" s="24">
        <f>'Post Reactions '!T176/12</f>
        <v>0</v>
      </c>
      <c r="BC94" s="113"/>
      <c r="BD94" s="30">
        <f t="shared" si="39"/>
        <v>0</v>
      </c>
      <c r="BE94" s="23">
        <f t="shared" si="40"/>
        <v>70560</v>
      </c>
      <c r="BF94" s="111" t="e">
        <f t="shared" si="41"/>
        <v>#DIV/0!</v>
      </c>
      <c r="BG94" s="110">
        <f t="shared" si="42"/>
        <v>5950.7999999999993</v>
      </c>
      <c r="BH94" s="109" t="str">
        <f t="shared" si="43"/>
        <v/>
      </c>
    </row>
    <row r="95" spans="1:60" x14ac:dyDescent="0.25">
      <c r="A95" s="8">
        <v>8</v>
      </c>
      <c r="B95" s="108">
        <v>1</v>
      </c>
      <c r="C95" s="112" t="s">
        <v>34</v>
      </c>
      <c r="D95" s="23">
        <f>'Post Reactions '!P18</f>
        <v>0</v>
      </c>
      <c r="E95" s="23">
        <f>'Post Reactions '!Q18</f>
        <v>0</v>
      </c>
      <c r="F95" s="23">
        <f>'Post Reactions '!R18</f>
        <v>0</v>
      </c>
      <c r="G95" s="23">
        <f>'Post Reactions '!S18/12</f>
        <v>0</v>
      </c>
      <c r="H95" s="24">
        <f>'Post Reactions '!T18/12</f>
        <v>0</v>
      </c>
      <c r="I95" s="113"/>
      <c r="J95" s="30">
        <f t="shared" si="24"/>
        <v>0</v>
      </c>
      <c r="K95" s="23">
        <f t="shared" si="25"/>
        <v>70560</v>
      </c>
      <c r="L95" s="111" t="e">
        <f t="shared" si="26"/>
        <v>#DIV/0!</v>
      </c>
      <c r="M95" s="110">
        <f t="shared" si="27"/>
        <v>5950.7999999999993</v>
      </c>
      <c r="N95" s="109" t="str">
        <f t="shared" si="28"/>
        <v/>
      </c>
      <c r="Q95" s="8">
        <v>8</v>
      </c>
      <c r="R95" s="108">
        <v>1</v>
      </c>
      <c r="S95" s="151" t="s">
        <v>34</v>
      </c>
      <c r="T95" s="30">
        <f>'Post Reactions '!P71</f>
        <v>0</v>
      </c>
      <c r="U95" s="23">
        <f>'Post Reactions '!Q71</f>
        <v>0</v>
      </c>
      <c r="V95" s="23">
        <f>'Post Reactions '!R71</f>
        <v>0</v>
      </c>
      <c r="W95" s="23">
        <f>'Post Reactions '!S71/12</f>
        <v>0</v>
      </c>
      <c r="X95" s="24">
        <f>'Post Reactions '!T71/12</f>
        <v>0</v>
      </c>
      <c r="Y95" s="113"/>
      <c r="Z95" s="30">
        <f t="shared" si="29"/>
        <v>0</v>
      </c>
      <c r="AA95" s="23">
        <f t="shared" si="30"/>
        <v>70560</v>
      </c>
      <c r="AB95" s="111" t="e">
        <f t="shared" si="31"/>
        <v>#DIV/0!</v>
      </c>
      <c r="AC95" s="110">
        <f t="shared" si="32"/>
        <v>5950.7999999999993</v>
      </c>
      <c r="AD95" s="109" t="str">
        <f t="shared" si="33"/>
        <v/>
      </c>
      <c r="AF95" s="8">
        <v>8</v>
      </c>
      <c r="AG95" s="108">
        <v>1</v>
      </c>
      <c r="AH95" s="112" t="s">
        <v>34</v>
      </c>
      <c r="AI95" s="23">
        <f>'Post Reactions '!P124</f>
        <v>0</v>
      </c>
      <c r="AJ95" s="23">
        <f>'Post Reactions '!Q124</f>
        <v>0</v>
      </c>
      <c r="AK95" s="23">
        <f>'Post Reactions '!R124</f>
        <v>0</v>
      </c>
      <c r="AL95" s="23">
        <f>'Post Reactions '!S124/12</f>
        <v>0</v>
      </c>
      <c r="AM95" s="24">
        <f>'Post Reactions '!T124/12</f>
        <v>0</v>
      </c>
      <c r="AN95" s="113"/>
      <c r="AO95" s="30">
        <f t="shared" si="34"/>
        <v>0</v>
      </c>
      <c r="AP95" s="23">
        <f t="shared" si="35"/>
        <v>70560</v>
      </c>
      <c r="AQ95" s="111" t="e">
        <f t="shared" si="36"/>
        <v>#DIV/0!</v>
      </c>
      <c r="AR95" s="110">
        <f t="shared" si="37"/>
        <v>5950.7999999999993</v>
      </c>
      <c r="AS95" s="109" t="str">
        <f t="shared" si="38"/>
        <v/>
      </c>
      <c r="AU95" s="8">
        <v>8</v>
      </c>
      <c r="AV95" s="108">
        <v>1</v>
      </c>
      <c r="AW95" s="112" t="s">
        <v>34</v>
      </c>
      <c r="AX95" s="23">
        <f>'Post Reactions '!P177</f>
        <v>0</v>
      </c>
      <c r="AY95" s="23">
        <f>'Post Reactions '!Q177</f>
        <v>0</v>
      </c>
      <c r="AZ95" s="23">
        <f>'Post Reactions '!R177</f>
        <v>0</v>
      </c>
      <c r="BA95" s="23">
        <f>'Post Reactions '!S177/12</f>
        <v>0</v>
      </c>
      <c r="BB95" s="24">
        <f>'Post Reactions '!T177/12</f>
        <v>0</v>
      </c>
      <c r="BC95" s="113"/>
      <c r="BD95" s="30">
        <f t="shared" si="39"/>
        <v>0</v>
      </c>
      <c r="BE95" s="23">
        <f t="shared" si="40"/>
        <v>70560</v>
      </c>
      <c r="BF95" s="111" t="e">
        <f t="shared" si="41"/>
        <v>#DIV/0!</v>
      </c>
      <c r="BG95" s="110">
        <f t="shared" si="42"/>
        <v>5950.7999999999993</v>
      </c>
      <c r="BH95" s="109" t="str">
        <f t="shared" si="43"/>
        <v/>
      </c>
    </row>
    <row r="96" spans="1:60" x14ac:dyDescent="0.25">
      <c r="A96" s="8">
        <v>9</v>
      </c>
      <c r="B96" s="108">
        <v>0.6</v>
      </c>
      <c r="C96" s="112" t="s">
        <v>23</v>
      </c>
      <c r="D96" s="23">
        <f>'Post Reactions '!P19</f>
        <v>0</v>
      </c>
      <c r="E96" s="23">
        <f>'Post Reactions '!Q19</f>
        <v>0</v>
      </c>
      <c r="F96" s="23">
        <f>'Post Reactions '!R19</f>
        <v>0</v>
      </c>
      <c r="G96" s="23">
        <f>'Post Reactions '!S19/12</f>
        <v>0</v>
      </c>
      <c r="H96" s="24">
        <f>'Post Reactions '!T19/12</f>
        <v>0</v>
      </c>
      <c r="I96" s="113"/>
      <c r="J96" s="30">
        <f t="shared" si="24"/>
        <v>0</v>
      </c>
      <c r="K96" s="23">
        <f>0.6*$D$75*($D$72/2)+0.6*$D$79*$D$78*$D$72*$D$73*($D$72/2)+IF(E96&gt;0, ABS(E96*$D$72/2),0)</f>
        <v>42336</v>
      </c>
      <c r="L96" s="111" t="e">
        <f t="shared" si="26"/>
        <v>#DIV/0!</v>
      </c>
      <c r="M96" s="110">
        <f t="shared" si="27"/>
        <v>3570.4799999999996</v>
      </c>
      <c r="N96" s="109" t="str">
        <f t="shared" si="28"/>
        <v/>
      </c>
      <c r="Q96" s="8">
        <v>9</v>
      </c>
      <c r="R96" s="108">
        <v>0.6</v>
      </c>
      <c r="S96" s="151" t="s">
        <v>23</v>
      </c>
      <c r="T96" s="30">
        <f>'Post Reactions '!P72</f>
        <v>0</v>
      </c>
      <c r="U96" s="23">
        <f>'Post Reactions '!Q72</f>
        <v>0</v>
      </c>
      <c r="V96" s="23">
        <f>'Post Reactions '!R72</f>
        <v>0</v>
      </c>
      <c r="W96" s="23">
        <f>'Post Reactions '!S72/12</f>
        <v>0</v>
      </c>
      <c r="X96" s="24">
        <f>'Post Reactions '!T72/12</f>
        <v>0</v>
      </c>
      <c r="Y96" s="113"/>
      <c r="Z96" s="30">
        <f t="shared" si="29"/>
        <v>0</v>
      </c>
      <c r="AA96" s="23">
        <f>0.6*$T$75*($T$72/2)+0.6*$T$79*$T$78*$T$72*$T$73*($T$72/2)+IF(U96&gt;0, ABS(U96*$T$72/2),0)</f>
        <v>42336</v>
      </c>
      <c r="AB96" s="111" t="e">
        <f t="shared" si="31"/>
        <v>#DIV/0!</v>
      </c>
      <c r="AC96" s="110">
        <f t="shared" si="32"/>
        <v>3570.4799999999996</v>
      </c>
      <c r="AD96" s="109" t="str">
        <f t="shared" si="33"/>
        <v/>
      </c>
      <c r="AF96" s="8">
        <v>9</v>
      </c>
      <c r="AG96" s="108">
        <v>0.6</v>
      </c>
      <c r="AH96" s="112" t="s">
        <v>23</v>
      </c>
      <c r="AI96" s="23">
        <f>'Post Reactions '!P125</f>
        <v>0</v>
      </c>
      <c r="AJ96" s="23">
        <f>'Post Reactions '!Q125</f>
        <v>0</v>
      </c>
      <c r="AK96" s="23">
        <f>'Post Reactions '!R125</f>
        <v>0</v>
      </c>
      <c r="AL96" s="23">
        <f>'Post Reactions '!S125/12</f>
        <v>0</v>
      </c>
      <c r="AM96" s="24">
        <f>'Post Reactions '!T125/12</f>
        <v>0</v>
      </c>
      <c r="AN96" s="113"/>
      <c r="AO96" s="30">
        <f t="shared" si="34"/>
        <v>0</v>
      </c>
      <c r="AP96" s="23">
        <f>0.6*$AI$75*($AI$72/2)+0.6*$AI$79*$AI$78*$AI$72*$AI$73*($AI$72/2)+IF(AJ96&gt;0, ABS(AJ96*$AI$72/2),0)</f>
        <v>42336</v>
      </c>
      <c r="AQ96" s="111" t="e">
        <f t="shared" si="36"/>
        <v>#DIV/0!</v>
      </c>
      <c r="AR96" s="110">
        <f t="shared" si="37"/>
        <v>3570.4799999999996</v>
      </c>
      <c r="AS96" s="109" t="str">
        <f t="shared" si="38"/>
        <v/>
      </c>
      <c r="AU96" s="8">
        <v>9</v>
      </c>
      <c r="AV96" s="108">
        <v>0.6</v>
      </c>
      <c r="AW96" s="112" t="s">
        <v>23</v>
      </c>
      <c r="AX96" s="23">
        <f>'Post Reactions '!P178</f>
        <v>0</v>
      </c>
      <c r="AY96" s="23">
        <f>'Post Reactions '!Q178</f>
        <v>0</v>
      </c>
      <c r="AZ96" s="23">
        <f>'Post Reactions '!R178</f>
        <v>0</v>
      </c>
      <c r="BA96" s="23">
        <f>'Post Reactions '!S178/12</f>
        <v>0</v>
      </c>
      <c r="BB96" s="24">
        <f>'Post Reactions '!T178/12</f>
        <v>0</v>
      </c>
      <c r="BC96" s="113"/>
      <c r="BD96" s="30">
        <f t="shared" si="39"/>
        <v>0</v>
      </c>
      <c r="BE96" s="23">
        <f>0.6*$AX$75*($AX$72/2)+0.6*$AX$79*$AX$78*$AX$72*$AX$73*($AX$72/2)+IF(AY96&gt;0, ABS(AY96*$AX$72/2),0)</f>
        <v>42336</v>
      </c>
      <c r="BF96" s="111" t="e">
        <f t="shared" si="41"/>
        <v>#DIV/0!</v>
      </c>
      <c r="BG96" s="110">
        <f t="shared" si="42"/>
        <v>3570.4799999999996</v>
      </c>
      <c r="BH96" s="109" t="str">
        <f t="shared" si="43"/>
        <v/>
      </c>
    </row>
    <row r="97" spans="1:60" x14ac:dyDescent="0.25">
      <c r="A97" s="8">
        <v>10</v>
      </c>
      <c r="B97" s="108">
        <v>0.6</v>
      </c>
      <c r="C97" s="112" t="s">
        <v>24</v>
      </c>
      <c r="D97" s="23">
        <f>'Post Reactions '!P20</f>
        <v>0</v>
      </c>
      <c r="E97" s="23">
        <f>'Post Reactions '!Q20</f>
        <v>0</v>
      </c>
      <c r="F97" s="23">
        <f>'Post Reactions '!R20</f>
        <v>0</v>
      </c>
      <c r="G97" s="23">
        <f>'Post Reactions '!S20/12</f>
        <v>0</v>
      </c>
      <c r="H97" s="24">
        <f>'Post Reactions '!T20/12</f>
        <v>0</v>
      </c>
      <c r="I97" s="113"/>
      <c r="J97" s="30">
        <f t="shared" si="24"/>
        <v>0</v>
      </c>
      <c r="K97" s="23">
        <f>0.6*$D$75*($D$72/2)+0.6*$D$79*$D$78*$D$72*$D$73*($D$72/2)+IF(E97&gt;0, ABS(E97*$D$72/2),0)</f>
        <v>42336</v>
      </c>
      <c r="L97" s="111" t="e">
        <f t="shared" si="26"/>
        <v>#DIV/0!</v>
      </c>
      <c r="M97" s="110">
        <f t="shared" si="27"/>
        <v>3570.4799999999996</v>
      </c>
      <c r="N97" s="109" t="str">
        <f t="shared" si="28"/>
        <v/>
      </c>
      <c r="Q97" s="8">
        <v>10</v>
      </c>
      <c r="R97" s="108">
        <v>0.6</v>
      </c>
      <c r="S97" s="151" t="s">
        <v>24</v>
      </c>
      <c r="T97" s="30">
        <f>'Post Reactions '!P73</f>
        <v>0</v>
      </c>
      <c r="U97" s="23">
        <f>'Post Reactions '!Q73</f>
        <v>0</v>
      </c>
      <c r="V97" s="23">
        <f>'Post Reactions '!R73</f>
        <v>0</v>
      </c>
      <c r="W97" s="23">
        <f>'Post Reactions '!S73/12</f>
        <v>0</v>
      </c>
      <c r="X97" s="24">
        <f>'Post Reactions '!T73/12</f>
        <v>0</v>
      </c>
      <c r="Y97" s="113"/>
      <c r="Z97" s="30">
        <f t="shared" si="29"/>
        <v>0</v>
      </c>
      <c r="AA97" s="23">
        <f>0.6*$T$75*($T$72/2)+0.6*$T$79*$T$78*$T$72*$T$73*($T$72/2)+IF(U97&gt;0, ABS(U97*$T$72/2),0)</f>
        <v>42336</v>
      </c>
      <c r="AB97" s="111" t="e">
        <f t="shared" si="31"/>
        <v>#DIV/0!</v>
      </c>
      <c r="AC97" s="110">
        <f t="shared" si="32"/>
        <v>3570.4799999999996</v>
      </c>
      <c r="AD97" s="109" t="str">
        <f t="shared" si="33"/>
        <v/>
      </c>
      <c r="AF97" s="8">
        <v>10</v>
      </c>
      <c r="AG97" s="108">
        <v>0.6</v>
      </c>
      <c r="AH97" s="112" t="s">
        <v>24</v>
      </c>
      <c r="AI97" s="23">
        <f>'Post Reactions '!P126</f>
        <v>0</v>
      </c>
      <c r="AJ97" s="23">
        <f>'Post Reactions '!Q126</f>
        <v>0</v>
      </c>
      <c r="AK97" s="23">
        <f>'Post Reactions '!R126</f>
        <v>0</v>
      </c>
      <c r="AL97" s="23">
        <f>'Post Reactions '!S126/12</f>
        <v>0</v>
      </c>
      <c r="AM97" s="24">
        <f>'Post Reactions '!T126/12</f>
        <v>0</v>
      </c>
      <c r="AN97" s="113"/>
      <c r="AO97" s="30">
        <f t="shared" si="34"/>
        <v>0</v>
      </c>
      <c r="AP97" s="23">
        <f>0.6*$AI$75*($AI$72/2)+0.6*$AI$79*$AI$78*$AI$72*$AI$73*($AI$72/2)+IF(AJ97&gt;0, ABS(AJ97*$AI$72/2),0)</f>
        <v>42336</v>
      </c>
      <c r="AQ97" s="111" t="e">
        <f t="shared" si="36"/>
        <v>#DIV/0!</v>
      </c>
      <c r="AR97" s="110">
        <f t="shared" si="37"/>
        <v>3570.4799999999996</v>
      </c>
      <c r="AS97" s="109" t="str">
        <f t="shared" si="38"/>
        <v/>
      </c>
      <c r="AU97" s="8">
        <v>10</v>
      </c>
      <c r="AV97" s="108">
        <v>0.6</v>
      </c>
      <c r="AW97" s="112" t="s">
        <v>24</v>
      </c>
      <c r="AX97" s="23">
        <f>'Post Reactions '!P179</f>
        <v>0</v>
      </c>
      <c r="AY97" s="23">
        <f>'Post Reactions '!Q179</f>
        <v>0</v>
      </c>
      <c r="AZ97" s="23">
        <f>'Post Reactions '!R179</f>
        <v>0</v>
      </c>
      <c r="BA97" s="23">
        <f>'Post Reactions '!S179/12</f>
        <v>0</v>
      </c>
      <c r="BB97" s="24">
        <f>'Post Reactions '!T179/12</f>
        <v>0</v>
      </c>
      <c r="BC97" s="113"/>
      <c r="BD97" s="30">
        <f t="shared" si="39"/>
        <v>0</v>
      </c>
      <c r="BE97" s="23">
        <f>0.6*$AX$75*($AX$72/2)+0.6*$AX$79*$AX$78*$AX$72*$AX$73*($AX$72/2)+IF(AY97&gt;0, ABS(AY97*$AX$72/2),0)</f>
        <v>42336</v>
      </c>
      <c r="BF97" s="111" t="e">
        <f t="shared" si="41"/>
        <v>#DIV/0!</v>
      </c>
      <c r="BG97" s="110">
        <f t="shared" si="42"/>
        <v>3570.4799999999996</v>
      </c>
      <c r="BH97" s="109" t="str">
        <f t="shared" si="43"/>
        <v/>
      </c>
    </row>
    <row r="98" spans="1:60" x14ac:dyDescent="0.25">
      <c r="A98" s="8">
        <v>11</v>
      </c>
      <c r="B98" s="108">
        <v>1</v>
      </c>
      <c r="C98" s="112" t="s">
        <v>25</v>
      </c>
      <c r="D98" s="23">
        <f>'Post Reactions '!P21</f>
        <v>0</v>
      </c>
      <c r="E98" s="23">
        <f>'Post Reactions '!Q21</f>
        <v>0</v>
      </c>
      <c r="F98" s="23">
        <f>'Post Reactions '!R21</f>
        <v>0</v>
      </c>
      <c r="G98" s="23">
        <f>'Post Reactions '!S21/12</f>
        <v>0</v>
      </c>
      <c r="H98" s="24">
        <f>'Post Reactions '!T21/12</f>
        <v>0</v>
      </c>
      <c r="I98" s="113"/>
      <c r="J98" s="30">
        <f>ABS((D98*($D$74+$D$78)))+$D$75*$D$12*($D$74/2)*0.7+ABS(H98)+IF(E98&lt;0,ABS(E98*($D$72/2)))</f>
        <v>0</v>
      </c>
      <c r="K98" s="23">
        <f>$D$75*($D$72/2)+$D$79*$D$78*$D$72*$D$73*($D$72/2)+IF(E98&gt;0, ABS(E98*$D$72/2),0)</f>
        <v>70560</v>
      </c>
      <c r="L98" s="111" t="e">
        <f t="shared" si="26"/>
        <v>#DIV/0!</v>
      </c>
      <c r="M98" s="110">
        <f t="shared" si="27"/>
        <v>5950.7999999999993</v>
      </c>
      <c r="N98" s="109" t="str">
        <f>IFERROR(M98/SQRT(D98^2+F98^2+(0.7*$D$80*$D$75)^2),"")</f>
        <v/>
      </c>
      <c r="Q98" s="8">
        <v>11</v>
      </c>
      <c r="R98" s="108">
        <v>1</v>
      </c>
      <c r="S98" s="151" t="s">
        <v>25</v>
      </c>
      <c r="T98" s="30">
        <f>'Post Reactions '!P74</f>
        <v>0</v>
      </c>
      <c r="U98" s="23">
        <f>'Post Reactions '!Q74</f>
        <v>0</v>
      </c>
      <c r="V98" s="23">
        <f>'Post Reactions '!R74</f>
        <v>0</v>
      </c>
      <c r="W98" s="23">
        <f>'Post Reactions '!S74/12</f>
        <v>0</v>
      </c>
      <c r="X98" s="24">
        <f>'Post Reactions '!T74/12</f>
        <v>0</v>
      </c>
      <c r="Y98" s="113"/>
      <c r="Z98" s="30">
        <f>ABS((T98*($T$74+$T$78)))+$T$75*$T$12*($T$74/2)*0.7+ABS(X98)+IF(U98&lt;0,ABS(U98*($T$72/2)))</f>
        <v>0</v>
      </c>
      <c r="AA98" s="23">
        <f>$T$75*($T$72/2)+$T$79*$T$78*$T$72*$T$73*($T$72/2)+IF(U98&gt;0, ABS(U98*$T$72/2),0)</f>
        <v>70560</v>
      </c>
      <c r="AB98" s="111" t="e">
        <f t="shared" si="31"/>
        <v>#DIV/0!</v>
      </c>
      <c r="AC98" s="110">
        <f t="shared" si="32"/>
        <v>5950.7999999999993</v>
      </c>
      <c r="AD98" s="109" t="str">
        <f>IFERROR(AC98/SQRT(T98^2+V98^2+(0.7*$T$80*$T$75)^2),"")</f>
        <v/>
      </c>
      <c r="AF98" s="8">
        <v>11</v>
      </c>
      <c r="AG98" s="108">
        <v>1</v>
      </c>
      <c r="AH98" s="112" t="s">
        <v>25</v>
      </c>
      <c r="AI98" s="23">
        <f>'Post Reactions '!P127</f>
        <v>0</v>
      </c>
      <c r="AJ98" s="23">
        <f>'Post Reactions '!Q127</f>
        <v>0</v>
      </c>
      <c r="AK98" s="23">
        <f>'Post Reactions '!R127</f>
        <v>0</v>
      </c>
      <c r="AL98" s="23">
        <f>'Post Reactions '!S127/12</f>
        <v>0</v>
      </c>
      <c r="AM98" s="24">
        <f>'Post Reactions '!T127/12</f>
        <v>0</v>
      </c>
      <c r="AN98" s="113"/>
      <c r="AO98" s="30">
        <f>ABS((AI98*($AI$74+$AI$78)))+$AI$75*$AI$12*($AI$74/2)*0.7+ABS(AM98)+IF(AJ98&lt;0,ABS(AJ98*($AI$72/2)))</f>
        <v>0</v>
      </c>
      <c r="AP98" s="23">
        <f>$AI$75*($AI$72/2)+$AI$79*$AI$78*$AI$72*$AI$73*($AI$72/2)+IF(AJ98&gt;0, ABS(AJ98*$AI$72/2),0)</f>
        <v>70560</v>
      </c>
      <c r="AQ98" s="111" t="e">
        <f t="shared" si="36"/>
        <v>#DIV/0!</v>
      </c>
      <c r="AR98" s="110">
        <f t="shared" si="37"/>
        <v>5950.7999999999993</v>
      </c>
      <c r="AS98" s="109" t="str">
        <f>IFERROR(AR98/SQRT(AI98^2+AK98^2+(0.7*$AI$80*$AI$75)^2),"")</f>
        <v/>
      </c>
      <c r="AU98" s="8">
        <v>11</v>
      </c>
      <c r="AV98" s="108">
        <v>1</v>
      </c>
      <c r="AW98" s="112" t="s">
        <v>25</v>
      </c>
      <c r="AX98" s="23">
        <f>'Post Reactions '!P180</f>
        <v>0</v>
      </c>
      <c r="AY98" s="23">
        <f>'Post Reactions '!Q180</f>
        <v>0</v>
      </c>
      <c r="AZ98" s="23">
        <f>'Post Reactions '!R180</f>
        <v>0</v>
      </c>
      <c r="BA98" s="23">
        <f>'Post Reactions '!S180/12</f>
        <v>0</v>
      </c>
      <c r="BB98" s="24">
        <f>'Post Reactions '!T180/12</f>
        <v>0</v>
      </c>
      <c r="BC98" s="113"/>
      <c r="BD98" s="30">
        <f>ABS((AX98*($AX$74+$AX$78)))+$AX$75*$AX$12*($AX$74/2)*0.7+ABS(BB98)+IF(AY98&lt;0,ABS(AY98*($AX$72/2)))</f>
        <v>0</v>
      </c>
      <c r="BE98" s="23">
        <f>$AX$75*($AX$72/2)+$AX$79*$AX$78*$AX$72*$AX$73*($AX$72/2)+IF(AY98&gt;0, ABS(AY98*$AX$72/2),0)</f>
        <v>70560</v>
      </c>
      <c r="BF98" s="111" t="e">
        <f t="shared" si="41"/>
        <v>#DIV/0!</v>
      </c>
      <c r="BG98" s="110">
        <f t="shared" si="42"/>
        <v>5950.7999999999993</v>
      </c>
      <c r="BH98" s="109" t="str">
        <f>IFERROR(BG98/SQRT(AX98^2+AZ98^2+(0.7*$AX$80*$AX$75)^2),"")</f>
        <v/>
      </c>
    </row>
    <row r="99" spans="1:60" x14ac:dyDescent="0.25">
      <c r="A99" s="8">
        <v>12</v>
      </c>
      <c r="B99" s="108">
        <v>1</v>
      </c>
      <c r="C99" s="112" t="s">
        <v>26</v>
      </c>
      <c r="D99" s="23">
        <f>'Post Reactions '!P22</f>
        <v>0</v>
      </c>
      <c r="E99" s="23">
        <f>'Post Reactions '!Q22</f>
        <v>0</v>
      </c>
      <c r="F99" s="23">
        <f>'Post Reactions '!R22</f>
        <v>0</v>
      </c>
      <c r="G99" s="23">
        <f>'Post Reactions '!S22/12</f>
        <v>0</v>
      </c>
      <c r="H99" s="24">
        <f>'Post Reactions '!T22/12</f>
        <v>0</v>
      </c>
      <c r="I99" s="113"/>
      <c r="J99" s="30">
        <f>ABS((D99*($D$74+$D$78)))+$D$75*$D$12*($D$74/2)*0.7+ABS(H99)+IF(E99&lt;0,ABS(E99*($D$72/2)))</f>
        <v>0</v>
      </c>
      <c r="K99" s="23">
        <f>$D$75*($D$72/2)+$D$79*$D$78*$D$72*$D$73*($D$72/2)+IF(E99&gt;0, ABS(E99*$D$72/2),0)</f>
        <v>70560</v>
      </c>
      <c r="L99" s="111" t="e">
        <f t="shared" si="26"/>
        <v>#DIV/0!</v>
      </c>
      <c r="M99" s="110">
        <f t="shared" si="27"/>
        <v>5950.7999999999993</v>
      </c>
      <c r="N99" s="109" t="str">
        <f>IFERROR(M99/SQRT(D99^2+F99^2+(0.7*$D$80*$D$75)^2),"")</f>
        <v/>
      </c>
      <c r="Q99" s="8">
        <v>12</v>
      </c>
      <c r="R99" s="108">
        <v>1</v>
      </c>
      <c r="S99" s="151" t="s">
        <v>26</v>
      </c>
      <c r="T99" s="30">
        <f>'Post Reactions '!P75</f>
        <v>0</v>
      </c>
      <c r="U99" s="23">
        <f>'Post Reactions '!Q75</f>
        <v>0</v>
      </c>
      <c r="V99" s="23">
        <f>'Post Reactions '!R75</f>
        <v>0</v>
      </c>
      <c r="W99" s="23">
        <f>'Post Reactions '!S75/12</f>
        <v>0</v>
      </c>
      <c r="X99" s="24">
        <f>'Post Reactions '!T75/12</f>
        <v>0</v>
      </c>
      <c r="Y99" s="113"/>
      <c r="Z99" s="30">
        <f>ABS((T99*($T$74+$T$78)))+$T$75*$T$12*($T$74/2)*0.7+ABS(X99)+IF(U99&lt;0,ABS(U99*($T$72/2)))</f>
        <v>0</v>
      </c>
      <c r="AA99" s="23">
        <f>$T$75*($T$72/2)+$T$79*$T$78*$T$72*$T$73*($T$72/2)+IF(U99&gt;0, ABS(U99*$T$72/2),0)</f>
        <v>70560</v>
      </c>
      <c r="AB99" s="111" t="e">
        <f t="shared" si="31"/>
        <v>#DIV/0!</v>
      </c>
      <c r="AC99" s="110">
        <f t="shared" si="32"/>
        <v>5950.7999999999993</v>
      </c>
      <c r="AD99" s="109" t="str">
        <f>IFERROR(AC99/SQRT(T99^2+V99^2+(0.7*$T$80*$T$75)^2),"")</f>
        <v/>
      </c>
      <c r="AF99" s="8">
        <v>12</v>
      </c>
      <c r="AG99" s="108">
        <v>1</v>
      </c>
      <c r="AH99" s="112" t="s">
        <v>26</v>
      </c>
      <c r="AI99" s="23">
        <f>'Post Reactions '!P128</f>
        <v>0</v>
      </c>
      <c r="AJ99" s="23">
        <f>'Post Reactions '!Q128</f>
        <v>0</v>
      </c>
      <c r="AK99" s="23">
        <f>'Post Reactions '!R128</f>
        <v>0</v>
      </c>
      <c r="AL99" s="23">
        <f>'Post Reactions '!S128/12</f>
        <v>0</v>
      </c>
      <c r="AM99" s="24">
        <f>'Post Reactions '!T128/12</f>
        <v>0</v>
      </c>
      <c r="AN99" s="113"/>
      <c r="AO99" s="30">
        <f>ABS((AI99*($AI$74+$AI$78)))+$AI$75*$AI$12*($AI$74/2)*0.7+ABS(AM99)+IF(AJ99&lt;0,ABS(AJ99*($AI$72/2)))</f>
        <v>0</v>
      </c>
      <c r="AP99" s="23">
        <f>$AI$75*($AI$72/2)+$AI$79*$AI$78*$AI$72*$AI$73*($AI$72/2)+IF(AJ99&gt;0, ABS(AJ99*$AI$72/2),0)</f>
        <v>70560</v>
      </c>
      <c r="AQ99" s="111" t="e">
        <f t="shared" si="36"/>
        <v>#DIV/0!</v>
      </c>
      <c r="AR99" s="110">
        <f t="shared" si="37"/>
        <v>5950.7999999999993</v>
      </c>
      <c r="AS99" s="109" t="str">
        <f>IFERROR(AR99/SQRT(AI99^2+AK99^2+(0.7*$AI$80*$AI$75)^2),"")</f>
        <v/>
      </c>
      <c r="AU99" s="8">
        <v>12</v>
      </c>
      <c r="AV99" s="108">
        <v>1</v>
      </c>
      <c r="AW99" s="112" t="s">
        <v>26</v>
      </c>
      <c r="AX99" s="23">
        <f>'Post Reactions '!P181</f>
        <v>0</v>
      </c>
      <c r="AY99" s="23">
        <f>'Post Reactions '!Q181</f>
        <v>0</v>
      </c>
      <c r="AZ99" s="23">
        <f>'Post Reactions '!R181</f>
        <v>0</v>
      </c>
      <c r="BA99" s="23">
        <f>'Post Reactions '!S181/12</f>
        <v>0</v>
      </c>
      <c r="BB99" s="24">
        <f>'Post Reactions '!T181/12</f>
        <v>0</v>
      </c>
      <c r="BC99" s="113"/>
      <c r="BD99" s="30">
        <f>ABS((AX99*($AX$74+$AX$78)))+$AX$75*$AX$12*($AX$74/2)*0.7+ABS(BB99)+IF(AY99&lt;0,ABS(AY99*($AX$72/2)))</f>
        <v>0</v>
      </c>
      <c r="BE99" s="23">
        <f>$AX$75*($AX$72/2)+$AX$79*$AX$78*$AX$72*$AX$73*($AX$72/2)+IF(AY99&gt;0, ABS(AY99*$AX$72/2),0)</f>
        <v>70560</v>
      </c>
      <c r="BF99" s="111" t="e">
        <f t="shared" si="41"/>
        <v>#DIV/0!</v>
      </c>
      <c r="BG99" s="110">
        <f t="shared" si="42"/>
        <v>5950.7999999999993</v>
      </c>
      <c r="BH99" s="109" t="str">
        <f>IFERROR(BG99/SQRT(AX99^2+AZ99^2+(0.7*$AX$80*$AX$75)^2),"")</f>
        <v/>
      </c>
    </row>
    <row r="100" spans="1:60" x14ac:dyDescent="0.25">
      <c r="A100" s="8">
        <v>13</v>
      </c>
      <c r="B100" s="108">
        <v>1</v>
      </c>
      <c r="C100" s="112" t="s">
        <v>27</v>
      </c>
      <c r="D100" s="23">
        <f>'Post Reactions '!P23</f>
        <v>0</v>
      </c>
      <c r="E100" s="23">
        <f>'Post Reactions '!Q23</f>
        <v>0</v>
      </c>
      <c r="F100" s="23">
        <f>'Post Reactions '!R23</f>
        <v>0</v>
      </c>
      <c r="G100" s="23">
        <f>'Post Reactions '!S23/12</f>
        <v>0</v>
      </c>
      <c r="H100" s="24">
        <f>'Post Reactions '!T23/12</f>
        <v>0</v>
      </c>
      <c r="I100" s="8"/>
      <c r="J100" s="30">
        <f>ABS((F100*($D$74+$D$78)))+$D$75*$D$12*($D$74/2)*0.7+ABS(G100)+IF(E100&lt;0,ABS(E100*($D$72/2)))</f>
        <v>0</v>
      </c>
      <c r="K100" s="23">
        <f>$D$75*($D$73/2)+$D$79*$D$78*$D$72*$D$73*($D$73/2)+IF(E100&gt;0, ABS(E100*$D$73/2),0)</f>
        <v>39690</v>
      </c>
      <c r="L100" s="111" t="e">
        <f t="shared" si="26"/>
        <v>#DIV/0!</v>
      </c>
      <c r="M100" s="110">
        <f t="shared" si="27"/>
        <v>5950.7999999999993</v>
      </c>
      <c r="N100" s="109" t="str">
        <f>IFERROR(M100/SQRT(D100^2+F100^2+(0.7*$D$80*$D$75)^2),"")</f>
        <v/>
      </c>
      <c r="Q100" s="8">
        <v>13</v>
      </c>
      <c r="R100" s="108">
        <v>1</v>
      </c>
      <c r="S100" s="151" t="s">
        <v>27</v>
      </c>
      <c r="T100" s="30">
        <f>'Post Reactions '!P76</f>
        <v>0</v>
      </c>
      <c r="U100" s="23">
        <f>'Post Reactions '!Q76</f>
        <v>0</v>
      </c>
      <c r="V100" s="23">
        <f>'Post Reactions '!R76</f>
        <v>0</v>
      </c>
      <c r="W100" s="23">
        <f>'Post Reactions '!S76/12</f>
        <v>0</v>
      </c>
      <c r="X100" s="24">
        <f>'Post Reactions '!T76/12</f>
        <v>0</v>
      </c>
      <c r="Y100" s="8"/>
      <c r="Z100" s="30">
        <f>ABS((V100*($T$74+$T$78)))+$T$75*$T$12*($T$74/2)*0.7+ABS(W100)+IF(U100&lt;0,ABS(U100*($T$72/2)))</f>
        <v>0</v>
      </c>
      <c r="AA100" s="23">
        <f>$T$75*($T$73/2)+$T$79*$T$78*$T$72*$T$73*($T$73/2)+IF(U100&gt;0, ABS(U100*$T$73/2),0)</f>
        <v>39690</v>
      </c>
      <c r="AB100" s="111" t="e">
        <f t="shared" si="31"/>
        <v>#DIV/0!</v>
      </c>
      <c r="AC100" s="110">
        <f t="shared" si="32"/>
        <v>5950.7999999999993</v>
      </c>
      <c r="AD100" s="109" t="str">
        <f>IFERROR(AC100/SQRT(T100^2+V100^2+(0.7*$T$80*$T$75)^2),"")</f>
        <v/>
      </c>
      <c r="AF100" s="8">
        <v>13</v>
      </c>
      <c r="AG100" s="108">
        <v>1</v>
      </c>
      <c r="AH100" s="112" t="s">
        <v>27</v>
      </c>
      <c r="AI100" s="23">
        <f>'Post Reactions '!P129</f>
        <v>0</v>
      </c>
      <c r="AJ100" s="23">
        <f>'Post Reactions '!Q129</f>
        <v>0</v>
      </c>
      <c r="AK100" s="23">
        <f>'Post Reactions '!R129</f>
        <v>0</v>
      </c>
      <c r="AL100" s="23">
        <f>'Post Reactions '!S129/12</f>
        <v>0</v>
      </c>
      <c r="AM100" s="24">
        <f>'Post Reactions '!T129/12</f>
        <v>0</v>
      </c>
      <c r="AN100" s="8"/>
      <c r="AO100" s="30">
        <f>ABS((AK100*($AI$74+$AI$78)))+$AI$75*$AI$12*($AI$74/2)*0.7+ABS(AL100)+IF(AJ100&lt;0,ABS(AJ100*($AI$72/2)))</f>
        <v>0</v>
      </c>
      <c r="AP100" s="23">
        <f>$AI$75*($AI$73/2)+$AI$79*$AI$78*$AI$72*$AI$73*($AI$73/2)+IF(AJ100&gt;0, ABS(AJ100*$AI$73/2),0)</f>
        <v>39690</v>
      </c>
      <c r="AQ100" s="111" t="e">
        <f t="shared" si="36"/>
        <v>#DIV/0!</v>
      </c>
      <c r="AR100" s="110">
        <f t="shared" si="37"/>
        <v>5950.7999999999993</v>
      </c>
      <c r="AS100" s="109" t="str">
        <f>IFERROR(AR100/SQRT(AI100^2+AK100^2+(0.7*$AI$80*$AI$75)^2),"")</f>
        <v/>
      </c>
      <c r="AU100" s="8">
        <v>13</v>
      </c>
      <c r="AV100" s="108">
        <v>1</v>
      </c>
      <c r="AW100" s="112" t="s">
        <v>27</v>
      </c>
      <c r="AX100" s="23">
        <f>'Post Reactions '!P182</f>
        <v>0</v>
      </c>
      <c r="AY100" s="23">
        <f>'Post Reactions '!Q182</f>
        <v>0</v>
      </c>
      <c r="AZ100" s="23">
        <f>'Post Reactions '!R182</f>
        <v>0</v>
      </c>
      <c r="BA100" s="23">
        <f>'Post Reactions '!S182/12</f>
        <v>0</v>
      </c>
      <c r="BB100" s="24">
        <f>'Post Reactions '!T182/12</f>
        <v>0</v>
      </c>
      <c r="BC100" s="8"/>
      <c r="BD100" s="30">
        <f>ABS((AZ100*($AX$74+$AX$78)))+$AX$75*$AX$12*($AX$74/2)*0.7+ABS(BA100)+IF(AY100&lt;0,ABS(AY100*($AX$72/2)))</f>
        <v>0</v>
      </c>
      <c r="BE100" s="23">
        <f>$AX$75*($AX$73/2)+$AX$79*$AX$78*$AX$72*$AX$73*($AX$73/2)+IF(AY100&gt;0, ABS(AY100*$AX$73/2),0)</f>
        <v>39690</v>
      </c>
      <c r="BF100" s="111" t="e">
        <f t="shared" si="41"/>
        <v>#DIV/0!</v>
      </c>
      <c r="BG100" s="110">
        <f t="shared" si="42"/>
        <v>5950.7999999999993</v>
      </c>
      <c r="BH100" s="109" t="str">
        <f>IFERROR(BG100/SQRT(AX100^2+AZ100^2+(0.7*$AX$80*$AX$75)^2),"")</f>
        <v/>
      </c>
    </row>
    <row r="101" spans="1:60" x14ac:dyDescent="0.25">
      <c r="A101" s="8">
        <v>14</v>
      </c>
      <c r="B101" s="108">
        <v>1</v>
      </c>
      <c r="C101" s="112" t="s">
        <v>28</v>
      </c>
      <c r="D101" s="23">
        <f>'Post Reactions '!P24</f>
        <v>0</v>
      </c>
      <c r="E101" s="23">
        <f>'Post Reactions '!Q24</f>
        <v>0</v>
      </c>
      <c r="F101" s="23">
        <f>'Post Reactions '!R24</f>
        <v>0</v>
      </c>
      <c r="G101" s="23">
        <f>'Post Reactions '!S24/12</f>
        <v>0</v>
      </c>
      <c r="H101" s="24">
        <f>'Post Reactions '!T24/12</f>
        <v>0</v>
      </c>
      <c r="I101" s="8"/>
      <c r="J101" s="30">
        <f>ABS((F101*($D$74+$D$78)))+$D$75*$D$12*($D$74/2)*0.7+ABS(G101)+IF(E101&lt;0,ABS(E101*($D$72/2)))</f>
        <v>0</v>
      </c>
      <c r="K101" s="23">
        <f>$D$75*($D$73/2)+$D$79*$D$78*$D$72*$D$73*($D$73/2)+IF(E101&gt;0, ABS(E101*$D$73/2),0)</f>
        <v>39690</v>
      </c>
      <c r="L101" s="111" t="e">
        <f t="shared" si="26"/>
        <v>#DIV/0!</v>
      </c>
      <c r="M101" s="110">
        <f t="shared" si="27"/>
        <v>5950.7999999999993</v>
      </c>
      <c r="N101" s="109" t="str">
        <f>IFERROR(M101/SQRT(D101^2+F101^2+(0.7*$D$80*$D$75)^2),"")</f>
        <v/>
      </c>
      <c r="Q101" s="8">
        <v>14</v>
      </c>
      <c r="R101" s="108">
        <v>1</v>
      </c>
      <c r="S101" s="151" t="s">
        <v>28</v>
      </c>
      <c r="T101" s="30">
        <f>'Post Reactions '!P77</f>
        <v>0</v>
      </c>
      <c r="U101" s="23">
        <f>'Post Reactions '!Q77</f>
        <v>0</v>
      </c>
      <c r="V101" s="23">
        <f>'Post Reactions '!R77</f>
        <v>0</v>
      </c>
      <c r="W101" s="23">
        <f>'Post Reactions '!S77/12</f>
        <v>0</v>
      </c>
      <c r="X101" s="24">
        <f>'Post Reactions '!T77/12</f>
        <v>0</v>
      </c>
      <c r="Y101" s="8"/>
      <c r="Z101" s="30">
        <f>ABS((V101*($T$74+$T$78)))+$T$75*$T$12*($T$74/2)*0.7+ABS(W101)+IF(U101&lt;0,ABS(U101*($T$72/2)))</f>
        <v>0</v>
      </c>
      <c r="AA101" s="23">
        <f>$T$75*($T$73/2)+$T$79*$T$78*$T$72*$T$73*($T$73/2)+IF(U101&gt;0, ABS(U101*$T$73/2),0)</f>
        <v>39690</v>
      </c>
      <c r="AB101" s="111" t="e">
        <f t="shared" si="31"/>
        <v>#DIV/0!</v>
      </c>
      <c r="AC101" s="110">
        <f t="shared" si="32"/>
        <v>5950.7999999999993</v>
      </c>
      <c r="AD101" s="109" t="str">
        <f>IFERROR(AC101/SQRT(T101^2+V101^2+(0.7*$T$80*$T$75)^2),"")</f>
        <v/>
      </c>
      <c r="AF101" s="8">
        <v>14</v>
      </c>
      <c r="AG101" s="108">
        <v>1</v>
      </c>
      <c r="AH101" s="112" t="s">
        <v>28</v>
      </c>
      <c r="AI101" s="23">
        <f>'Post Reactions '!P130</f>
        <v>0</v>
      </c>
      <c r="AJ101" s="23">
        <f>'Post Reactions '!Q130</f>
        <v>0</v>
      </c>
      <c r="AK101" s="23">
        <f>'Post Reactions '!R130</f>
        <v>0</v>
      </c>
      <c r="AL101" s="23">
        <f>'Post Reactions '!S130/12</f>
        <v>0</v>
      </c>
      <c r="AM101" s="24">
        <f>'Post Reactions '!T130/12</f>
        <v>0</v>
      </c>
      <c r="AN101" s="8"/>
      <c r="AO101" s="30">
        <f>ABS((AK101*($AI$74+$AI$78)))+$AI$75*$AI$12*($AI$74/2)*0.7+ABS(AL101)+IF(AJ101&lt;0,ABS(AJ101*($AI$72/2)))</f>
        <v>0</v>
      </c>
      <c r="AP101" s="23">
        <f>$AI$75*($AI$73/2)+$AI$79*$AI$78*$AI$72*$AI$73*($AI$73/2)+IF(AJ101&gt;0, ABS(AJ101*$AI$73/2),0)</f>
        <v>39690</v>
      </c>
      <c r="AQ101" s="111" t="e">
        <f t="shared" si="36"/>
        <v>#DIV/0!</v>
      </c>
      <c r="AR101" s="110">
        <f t="shared" si="37"/>
        <v>5950.7999999999993</v>
      </c>
      <c r="AS101" s="109" t="str">
        <f>IFERROR(AR101/SQRT(AI101^2+AK101^2+(0.7*$AI$80*$AI$75)^2),"")</f>
        <v/>
      </c>
      <c r="AU101" s="8">
        <v>14</v>
      </c>
      <c r="AV101" s="108">
        <v>1</v>
      </c>
      <c r="AW101" s="112" t="s">
        <v>28</v>
      </c>
      <c r="AX101" s="23">
        <f>'Post Reactions '!P183</f>
        <v>0</v>
      </c>
      <c r="AY101" s="23">
        <f>'Post Reactions '!Q183</f>
        <v>0</v>
      </c>
      <c r="AZ101" s="23">
        <f>'Post Reactions '!R183</f>
        <v>0</v>
      </c>
      <c r="BA101" s="23">
        <f>'Post Reactions '!S183/12</f>
        <v>0</v>
      </c>
      <c r="BB101" s="24">
        <f>'Post Reactions '!T183/12</f>
        <v>0</v>
      </c>
      <c r="BC101" s="8"/>
      <c r="BD101" s="30">
        <f>ABS((AZ101*($AX$74+$AX$78)))+$AX$75*$AX$12*($AX$74/2)*0.7+ABS(BA101)+IF(AY101&lt;0,ABS(AY101*($AX$72/2)))</f>
        <v>0</v>
      </c>
      <c r="BE101" s="23">
        <f>$AX$75*($AX$73/2)+$AX$79*$AX$78*$AX$72*$AX$73*($AX$73/2)+IF(AY101&gt;0, ABS(AY101*$AX$73/2),0)</f>
        <v>39690</v>
      </c>
      <c r="BF101" s="111" t="e">
        <f t="shared" si="41"/>
        <v>#DIV/0!</v>
      </c>
      <c r="BG101" s="110">
        <f t="shared" si="42"/>
        <v>5950.7999999999993</v>
      </c>
      <c r="BH101" s="109" t="str">
        <f>IFERROR(BG101/SQRT(AX101^2+AZ101^2+(0.7*$AX$80*$AX$75)^2),"")</f>
        <v/>
      </c>
    </row>
    <row r="102" spans="1:60" x14ac:dyDescent="0.25">
      <c r="A102" s="8">
        <v>15</v>
      </c>
      <c r="B102" s="108">
        <v>1</v>
      </c>
      <c r="C102" s="112" t="s">
        <v>29</v>
      </c>
      <c r="D102" s="23">
        <f>'Post Reactions '!P25</f>
        <v>0</v>
      </c>
      <c r="E102" s="23">
        <f>'Post Reactions '!Q25</f>
        <v>0</v>
      </c>
      <c r="F102" s="23">
        <f>'Post Reactions '!R25</f>
        <v>0</v>
      </c>
      <c r="G102" s="23">
        <f>'Post Reactions '!S25/12</f>
        <v>0</v>
      </c>
      <c r="H102" s="24">
        <f>'Post Reactions '!T25/12</f>
        <v>0</v>
      </c>
      <c r="I102" s="8"/>
      <c r="J102" s="30">
        <f>ABS((D102*($D$74+$D$78)))+0.525*$D$75*$D$12*($D$74/2)+ABS(H102)+IF(E102&lt;0,ABS(E102*($D$72/2)))</f>
        <v>0</v>
      </c>
      <c r="K102" s="23">
        <f>$D$75*($D$72/2)+$D$79*$D$78*$D$72*$D$73*($D$72/2)+IF(E102&gt;0, ABS(E102*$D$72/2),0)</f>
        <v>70560</v>
      </c>
      <c r="L102" s="111" t="e">
        <f t="shared" si="26"/>
        <v>#DIV/0!</v>
      </c>
      <c r="M102" s="110">
        <f t="shared" si="27"/>
        <v>5950.7999999999993</v>
      </c>
      <c r="N102" s="109" t="str">
        <f>IFERROR(M102/SQRT(D102^2+F102^2+(0.525*$D$80*$D$75)^2),"")</f>
        <v/>
      </c>
      <c r="Q102" s="8">
        <v>15</v>
      </c>
      <c r="R102" s="108">
        <v>1</v>
      </c>
      <c r="S102" s="151" t="s">
        <v>29</v>
      </c>
      <c r="T102" s="30">
        <f>'Post Reactions '!P78</f>
        <v>0</v>
      </c>
      <c r="U102" s="23">
        <f>'Post Reactions '!Q78</f>
        <v>0</v>
      </c>
      <c r="V102" s="23">
        <f>'Post Reactions '!R78</f>
        <v>0</v>
      </c>
      <c r="W102" s="23">
        <f>'Post Reactions '!S78/12</f>
        <v>0</v>
      </c>
      <c r="X102" s="24">
        <f>'Post Reactions '!T78/12</f>
        <v>0</v>
      </c>
      <c r="Y102" s="8"/>
      <c r="Z102" s="30">
        <f>ABS((T102*($T$74+$T$78)))+0.525*$T$75*$T$12*($T$74/2)+ABS(X102)+IF(U102&lt;0,ABS(U102*($T$72/2)))</f>
        <v>0</v>
      </c>
      <c r="AA102" s="23">
        <f>$T$75*($T$72/2)+$T$79*$T$78*$T$72*$T$73*($T$72/2)+IF(U102&gt;0, ABS(U102*$T$72/2),0)</f>
        <v>70560</v>
      </c>
      <c r="AB102" s="111" t="e">
        <f t="shared" si="31"/>
        <v>#DIV/0!</v>
      </c>
      <c r="AC102" s="110">
        <f t="shared" si="32"/>
        <v>5950.7999999999993</v>
      </c>
      <c r="AD102" s="109" t="str">
        <f>IFERROR(AC102/SQRT(T102^2+V102^2+(0.525*$T$80*$T$75)^2),"")</f>
        <v/>
      </c>
      <c r="AF102" s="8">
        <v>15</v>
      </c>
      <c r="AG102" s="108">
        <v>1</v>
      </c>
      <c r="AH102" s="112" t="s">
        <v>29</v>
      </c>
      <c r="AI102" s="23">
        <f>'Post Reactions '!P131</f>
        <v>0</v>
      </c>
      <c r="AJ102" s="23">
        <f>'Post Reactions '!Q131</f>
        <v>0</v>
      </c>
      <c r="AK102" s="23">
        <f>'Post Reactions '!R131</f>
        <v>0</v>
      </c>
      <c r="AL102" s="23">
        <f>'Post Reactions '!S131/12</f>
        <v>0</v>
      </c>
      <c r="AM102" s="24">
        <f>'Post Reactions '!T131/12</f>
        <v>0</v>
      </c>
      <c r="AN102" s="8"/>
      <c r="AO102" s="30">
        <f>ABS((AI102*($AI$74+$AI$78)))+0.525*$AI$75*$AI$12*($AI$74/2)+ABS(AM102)+IF(AJ102&lt;0,ABS(AJ102*($AI$72/2)))</f>
        <v>0</v>
      </c>
      <c r="AP102" s="23">
        <f>$AI$75*($AI$72/2)+$AI$79*$AI$78*$AI$72*$AI$73*($AI$72/2)+IF(AJ102&gt;0, ABS(AJ102*$AI$72/2),0)</f>
        <v>70560</v>
      </c>
      <c r="AQ102" s="111" t="e">
        <f t="shared" si="36"/>
        <v>#DIV/0!</v>
      </c>
      <c r="AR102" s="110">
        <f t="shared" si="37"/>
        <v>5950.7999999999993</v>
      </c>
      <c r="AS102" s="109" t="str">
        <f>IFERROR(AR102/SQRT(AI102^2+AK102^2+(0.525*$AI$80*$AI$75)^2),"")</f>
        <v/>
      </c>
      <c r="AU102" s="8">
        <v>15</v>
      </c>
      <c r="AV102" s="108">
        <v>1</v>
      </c>
      <c r="AW102" s="112" t="s">
        <v>29</v>
      </c>
      <c r="AX102" s="23">
        <f>'Post Reactions '!P184</f>
        <v>0</v>
      </c>
      <c r="AY102" s="23">
        <f>'Post Reactions '!Q184</f>
        <v>0</v>
      </c>
      <c r="AZ102" s="23">
        <f>'Post Reactions '!R184</f>
        <v>0</v>
      </c>
      <c r="BA102" s="23">
        <f>'Post Reactions '!S184/12</f>
        <v>0</v>
      </c>
      <c r="BB102" s="24">
        <f>'Post Reactions '!T184/12</f>
        <v>0</v>
      </c>
      <c r="BC102" s="8"/>
      <c r="BD102" s="30">
        <f>ABS((AX102*($AX$74+$AX$78)))+0.525*$AX$75*$AX$12*($AX$74/2)+ABS(BB102)+IF(AY102&lt;0,ABS(AY102*($AX$72/2)))</f>
        <v>0</v>
      </c>
      <c r="BE102" s="23">
        <f>$AX$75*($AX$72/2)+$AX$79*$AX$78*$AX$72*$AX$73*($AX$72/2)+IF(AY102&gt;0, ABS(AY102*$AX$72/2),0)</f>
        <v>70560</v>
      </c>
      <c r="BF102" s="111" t="e">
        <f t="shared" si="41"/>
        <v>#DIV/0!</v>
      </c>
      <c r="BG102" s="110">
        <f t="shared" si="42"/>
        <v>5950.7999999999993</v>
      </c>
      <c r="BH102" s="109" t="str">
        <f>IFERROR(BG102/SQRT(AX102^2+AZ102^2+(0.525*$AX$80*$AX$75)^2),"")</f>
        <v/>
      </c>
    </row>
    <row r="103" spans="1:60" x14ac:dyDescent="0.25">
      <c r="A103" s="8">
        <v>16</v>
      </c>
      <c r="B103" s="108">
        <v>1</v>
      </c>
      <c r="C103" s="112" t="s">
        <v>30</v>
      </c>
      <c r="D103" s="23">
        <f>'Post Reactions '!P26</f>
        <v>0</v>
      </c>
      <c r="E103" s="23">
        <f>'Post Reactions '!Q26</f>
        <v>0</v>
      </c>
      <c r="F103" s="23">
        <f>'Post Reactions '!R26</f>
        <v>0</v>
      </c>
      <c r="G103" s="23">
        <f>'Post Reactions '!S26/12</f>
        <v>0</v>
      </c>
      <c r="H103" s="24">
        <f>'Post Reactions '!T26/12</f>
        <v>0</v>
      </c>
      <c r="I103" s="8"/>
      <c r="J103" s="30">
        <f>ABS((D103*($D$74+$D$78)))+0.525*$D$75*$D$12*($D$74/2)+ABS(H103)+IF(E103&lt;0,ABS(E103*($D$72/2)))</f>
        <v>0</v>
      </c>
      <c r="K103" s="23">
        <f>$D$75*($D$72/2)+$D$79*$D$78*$D$72*$D$73*($D$72/2)+IF(E103&gt;0, ABS(E103*$D$72/2),0)</f>
        <v>70560</v>
      </c>
      <c r="L103" s="111" t="e">
        <f t="shared" si="26"/>
        <v>#DIV/0!</v>
      </c>
      <c r="M103" s="110">
        <f t="shared" si="27"/>
        <v>5950.7999999999993</v>
      </c>
      <c r="N103" s="109" t="str">
        <f>IFERROR(M103/SQRT(D103^2+F103^2+(0.525*$D$80*$D$75)^2),"")</f>
        <v/>
      </c>
      <c r="Q103" s="8">
        <v>16</v>
      </c>
      <c r="R103" s="108">
        <v>1</v>
      </c>
      <c r="S103" s="151" t="s">
        <v>30</v>
      </c>
      <c r="T103" s="30">
        <f>'Post Reactions '!P79</f>
        <v>0</v>
      </c>
      <c r="U103" s="23">
        <f>'Post Reactions '!Q79</f>
        <v>0</v>
      </c>
      <c r="V103" s="23">
        <f>'Post Reactions '!R79</f>
        <v>0</v>
      </c>
      <c r="W103" s="23">
        <f>'Post Reactions '!S79/12</f>
        <v>0</v>
      </c>
      <c r="X103" s="24">
        <f>'Post Reactions '!T79/12</f>
        <v>0</v>
      </c>
      <c r="Y103" s="8"/>
      <c r="Z103" s="30">
        <f>ABS((T103*($T$74+$T$78)))+0.525*$T$75*$T$12*($T$74/2)+ABS(X103)+IF(U103&lt;0,ABS(U103*($T$72/2)))</f>
        <v>0</v>
      </c>
      <c r="AA103" s="23">
        <f>$T$75*($T$72/2)+$T$79*$T$78*$T$72*$T$73*($T$72/2)+IF(U103&gt;0, ABS(U103*$T$72/2),0)</f>
        <v>70560</v>
      </c>
      <c r="AB103" s="111" t="e">
        <f t="shared" si="31"/>
        <v>#DIV/0!</v>
      </c>
      <c r="AC103" s="110">
        <f t="shared" si="32"/>
        <v>5950.7999999999993</v>
      </c>
      <c r="AD103" s="109" t="str">
        <f>IFERROR(AC103/SQRT(T103^2+V103^2+(0.525*$T$80*$T$75)^2),"")</f>
        <v/>
      </c>
      <c r="AF103" s="8">
        <v>16</v>
      </c>
      <c r="AG103" s="108">
        <v>1</v>
      </c>
      <c r="AH103" s="112" t="s">
        <v>30</v>
      </c>
      <c r="AI103" s="23">
        <f>'Post Reactions '!P132</f>
        <v>0</v>
      </c>
      <c r="AJ103" s="23">
        <f>'Post Reactions '!Q132</f>
        <v>0</v>
      </c>
      <c r="AK103" s="23">
        <f>'Post Reactions '!R132</f>
        <v>0</v>
      </c>
      <c r="AL103" s="23">
        <f>'Post Reactions '!S132/12</f>
        <v>0</v>
      </c>
      <c r="AM103" s="24">
        <f>'Post Reactions '!T132/12</f>
        <v>0</v>
      </c>
      <c r="AN103" s="8"/>
      <c r="AO103" s="30">
        <f>ABS((AI103*($AI$74+$AI$78)))+0.525*$AI$75*$AI$12*($AI$74/2)+ABS(AM103)+IF(AJ103&lt;0,ABS(AJ103*($AI$72/2)))</f>
        <v>0</v>
      </c>
      <c r="AP103" s="23">
        <f>$AI$75*($AI$72/2)+$AI$79*$AI$78*$AI$72*$AI$73*($AI$72/2)+IF(AJ103&gt;0, ABS(AJ103*$AI$72/2),0)</f>
        <v>70560</v>
      </c>
      <c r="AQ103" s="111" t="e">
        <f t="shared" si="36"/>
        <v>#DIV/0!</v>
      </c>
      <c r="AR103" s="110">
        <f t="shared" si="37"/>
        <v>5950.7999999999993</v>
      </c>
      <c r="AS103" s="109" t="str">
        <f>IFERROR(AR103/SQRT(AI103^2+AK103^2+(0.525*$AI$80*$AI$75)^2),"")</f>
        <v/>
      </c>
      <c r="AU103" s="8">
        <v>16</v>
      </c>
      <c r="AV103" s="108">
        <v>1</v>
      </c>
      <c r="AW103" s="112" t="s">
        <v>30</v>
      </c>
      <c r="AX103" s="23">
        <f>'Post Reactions '!P185</f>
        <v>0</v>
      </c>
      <c r="AY103" s="23">
        <f>'Post Reactions '!Q185</f>
        <v>0</v>
      </c>
      <c r="AZ103" s="23">
        <f>'Post Reactions '!R185</f>
        <v>0</v>
      </c>
      <c r="BA103" s="23">
        <f>'Post Reactions '!S185/12</f>
        <v>0</v>
      </c>
      <c r="BB103" s="24">
        <f>'Post Reactions '!T185/12</f>
        <v>0</v>
      </c>
      <c r="BC103" s="8"/>
      <c r="BD103" s="30">
        <f>ABS((AX103*($AX$74+$AX$78)))+0.525*$AX$75*$AX$12*($AX$74/2)+ABS(BB103)+IF(AY103&lt;0,ABS(AY103*($AX$72/2)))</f>
        <v>0</v>
      </c>
      <c r="BE103" s="23">
        <f>$AX$75*($AX$72/2)+$AX$79*$AX$78*$AX$72*$AX$73*($AX$72/2)+IF(AY103&gt;0, ABS(AY103*$AX$72/2),0)</f>
        <v>70560</v>
      </c>
      <c r="BF103" s="111" t="e">
        <f t="shared" si="41"/>
        <v>#DIV/0!</v>
      </c>
      <c r="BG103" s="110">
        <f t="shared" si="42"/>
        <v>5950.7999999999993</v>
      </c>
      <c r="BH103" s="109" t="str">
        <f>IFERROR(BG103/SQRT(AX103^2+AZ103^2+(0.525*$AX$80*$AX$75)^2),"")</f>
        <v/>
      </c>
    </row>
    <row r="104" spans="1:60" x14ac:dyDescent="0.25">
      <c r="A104" s="8">
        <v>17</v>
      </c>
      <c r="B104" s="108">
        <v>1</v>
      </c>
      <c r="C104" s="112" t="s">
        <v>31</v>
      </c>
      <c r="D104" s="23">
        <f>'Post Reactions '!P27</f>
        <v>0</v>
      </c>
      <c r="E104" s="23">
        <f>'Post Reactions '!Q27</f>
        <v>0</v>
      </c>
      <c r="F104" s="23">
        <f>'Post Reactions '!R27</f>
        <v>0</v>
      </c>
      <c r="G104" s="23">
        <f>'Post Reactions '!S27/12</f>
        <v>0</v>
      </c>
      <c r="H104" s="24">
        <f>'Post Reactions '!T27/12</f>
        <v>0</v>
      </c>
      <c r="I104" s="8"/>
      <c r="J104" s="30">
        <f>ABS((F104*($D$74+$D$78)))+$D$75*$D$12*($D$74/2)*0.525+ABS(G104)+IF(E104&lt;0,ABS(E104*($D$72/2)))</f>
        <v>0</v>
      </c>
      <c r="K104" s="23">
        <f>$D$75*($D$73/2)+$D$79*$D$78*$D$72*$D$73*($D$73/2)+IF(E104&gt;0, ABS(E104*$D$73/2),0)</f>
        <v>39690</v>
      </c>
      <c r="L104" s="111" t="e">
        <f t="shared" si="26"/>
        <v>#DIV/0!</v>
      </c>
      <c r="M104" s="110">
        <f t="shared" si="27"/>
        <v>5950.7999999999993</v>
      </c>
      <c r="N104" s="109" t="str">
        <f>IFERROR(M104/SQRT(D104^2+F104^2+(0.525*$D$80*$D$75)^2),"")</f>
        <v/>
      </c>
      <c r="Q104" s="8">
        <v>17</v>
      </c>
      <c r="R104" s="108">
        <v>1</v>
      </c>
      <c r="S104" s="151" t="s">
        <v>31</v>
      </c>
      <c r="T104" s="30">
        <f>'Post Reactions '!P80</f>
        <v>0</v>
      </c>
      <c r="U104" s="23">
        <f>'Post Reactions '!Q80</f>
        <v>0</v>
      </c>
      <c r="V104" s="23">
        <f>'Post Reactions '!R80</f>
        <v>0</v>
      </c>
      <c r="W104" s="23">
        <f>'Post Reactions '!S80/12</f>
        <v>0</v>
      </c>
      <c r="X104" s="24">
        <f>'Post Reactions '!T80/12</f>
        <v>0</v>
      </c>
      <c r="Y104" s="8"/>
      <c r="Z104" s="30">
        <f>ABS((V104*($T$74+$T$78)))+$T$75*$T$12*($T$74/2)*0.525+ABS(W104)+IF(U104&lt;0,ABS(U104*($T$72/2)))</f>
        <v>0</v>
      </c>
      <c r="AA104" s="23">
        <f>$T$75*($T$73/2)+$T$79*$T$78*$T$72*$T$73*($T$73/2)+IF(U104&gt;0, ABS(U104*$T$73/2),0)</f>
        <v>39690</v>
      </c>
      <c r="AB104" s="111" t="e">
        <f t="shared" si="31"/>
        <v>#DIV/0!</v>
      </c>
      <c r="AC104" s="110">
        <f t="shared" si="32"/>
        <v>5950.7999999999993</v>
      </c>
      <c r="AD104" s="109" t="str">
        <f>IFERROR(AC104/SQRT(T104^2+V104^2+(0.525*$T$80*$T$75)^2),"")</f>
        <v/>
      </c>
      <c r="AF104" s="8">
        <v>17</v>
      </c>
      <c r="AG104" s="108">
        <v>1</v>
      </c>
      <c r="AH104" s="112" t="s">
        <v>31</v>
      </c>
      <c r="AI104" s="23">
        <f>'Post Reactions '!P133</f>
        <v>0</v>
      </c>
      <c r="AJ104" s="23">
        <f>'Post Reactions '!Q133</f>
        <v>0</v>
      </c>
      <c r="AK104" s="23">
        <f>'Post Reactions '!R133</f>
        <v>0</v>
      </c>
      <c r="AL104" s="23">
        <f>'Post Reactions '!S133/12</f>
        <v>0</v>
      </c>
      <c r="AM104" s="24">
        <f>'Post Reactions '!T133/12</f>
        <v>0</v>
      </c>
      <c r="AN104" s="8"/>
      <c r="AO104" s="30">
        <f>ABS((AK104*($AI$74+$AI$78)))+$AI$75*$AI$12*($AI$74/2)*0.525+ABS(AL104)+IF(AJ104&lt;0,ABS(AJ104*($AI$72/2)))</f>
        <v>0</v>
      </c>
      <c r="AP104" s="23">
        <f>$AI$75*($AI$73/2)+$AI$79*$AI$78*$AI$72*$AI$73*($AI$73/2)+IF(AJ104&gt;0, ABS(AJ104*$AI$73/2),0)</f>
        <v>39690</v>
      </c>
      <c r="AQ104" s="111" t="e">
        <f t="shared" si="36"/>
        <v>#DIV/0!</v>
      </c>
      <c r="AR104" s="110">
        <f t="shared" si="37"/>
        <v>5950.7999999999993</v>
      </c>
      <c r="AS104" s="109" t="str">
        <f>IFERROR(AR104/SQRT(AI104^2+AK104^2+(0.525*$AI$80*$AI$75)^2),"")</f>
        <v/>
      </c>
      <c r="AU104" s="8">
        <v>17</v>
      </c>
      <c r="AV104" s="108">
        <v>1</v>
      </c>
      <c r="AW104" s="112" t="s">
        <v>31</v>
      </c>
      <c r="AX104" s="23">
        <f>'Post Reactions '!P186</f>
        <v>0</v>
      </c>
      <c r="AY104" s="23">
        <f>'Post Reactions '!Q186</f>
        <v>0</v>
      </c>
      <c r="AZ104" s="23">
        <f>'Post Reactions '!R186</f>
        <v>0</v>
      </c>
      <c r="BA104" s="23">
        <f>'Post Reactions '!S186/12</f>
        <v>0</v>
      </c>
      <c r="BB104" s="24">
        <f>'Post Reactions '!T186/12</f>
        <v>0</v>
      </c>
      <c r="BC104" s="8"/>
      <c r="BD104" s="30">
        <f>ABS((AZ104*($AX$74+$AX$78)))+$AX$75*$AX$12*($AX$74/2)*0.525+ABS(BA104)+IF(AY104&lt;0,ABS(AY104*($AX$72/2)))</f>
        <v>0</v>
      </c>
      <c r="BE104" s="23">
        <f>$AX$75*($AX$73/2)+$AX$79*$AX$78*$AX$72*$AX$73*($AX$73/2)+IF(AY104&gt;0, ABS(AY104*$AX$73/2),0)</f>
        <v>39690</v>
      </c>
      <c r="BF104" s="111" t="e">
        <f t="shared" si="41"/>
        <v>#DIV/0!</v>
      </c>
      <c r="BG104" s="110">
        <f t="shared" si="42"/>
        <v>5950.7999999999993</v>
      </c>
      <c r="BH104" s="109" t="str">
        <f>IFERROR(BG104/SQRT(AX104^2+AZ104^2+(0.525*$AX$80*$AX$75)^2),"")</f>
        <v/>
      </c>
    </row>
    <row r="105" spans="1:60" x14ac:dyDescent="0.25">
      <c r="A105" s="8">
        <v>18</v>
      </c>
      <c r="B105" s="108">
        <v>1</v>
      </c>
      <c r="C105" s="112" t="s">
        <v>32</v>
      </c>
      <c r="D105" s="23">
        <f>'Post Reactions '!P28</f>
        <v>0</v>
      </c>
      <c r="E105" s="23">
        <f>'Post Reactions '!Q28</f>
        <v>0</v>
      </c>
      <c r="F105" s="23">
        <f>'Post Reactions '!R28</f>
        <v>0</v>
      </c>
      <c r="G105" s="23">
        <f>'Post Reactions '!S28/12</f>
        <v>0</v>
      </c>
      <c r="H105" s="24">
        <f>'Post Reactions '!T28/12</f>
        <v>0</v>
      </c>
      <c r="I105" s="8"/>
      <c r="J105" s="30">
        <f>ABS((F105*($D$74+$D$78)))+$D$75*$D$12*($D$74/2)*0.525+ABS(G105)+IF(E105&lt;0,ABS(E105*($D$72/2)))</f>
        <v>0</v>
      </c>
      <c r="K105" s="23">
        <f>$D$75*($D$73/2)+$D$79*$D$78*$D$72*$D$73*($D$73/2)+IF(E105&gt;0, ABS(E105*$D$73/2),0)</f>
        <v>39690</v>
      </c>
      <c r="L105" s="111" t="e">
        <f t="shared" si="26"/>
        <v>#DIV/0!</v>
      </c>
      <c r="M105" s="110">
        <f t="shared" si="27"/>
        <v>5950.7999999999993</v>
      </c>
      <c r="N105" s="109" t="str">
        <f>IFERROR(M105/SQRT(D105^2+F105^2+(0.525*$D$80*$D$75)^2),"")</f>
        <v/>
      </c>
      <c r="Q105" s="8">
        <v>18</v>
      </c>
      <c r="R105" s="108">
        <v>1</v>
      </c>
      <c r="S105" s="151" t="s">
        <v>32</v>
      </c>
      <c r="T105" s="30">
        <f>'Post Reactions '!P81</f>
        <v>0</v>
      </c>
      <c r="U105" s="23">
        <f>'Post Reactions '!Q81</f>
        <v>0</v>
      </c>
      <c r="V105" s="23">
        <f>'Post Reactions '!R81</f>
        <v>0</v>
      </c>
      <c r="W105" s="23">
        <f>'Post Reactions '!S81/12</f>
        <v>0</v>
      </c>
      <c r="X105" s="24">
        <f>'Post Reactions '!T81/12</f>
        <v>0</v>
      </c>
      <c r="Y105" s="8"/>
      <c r="Z105" s="30">
        <f>ABS((V105*($T$74+$T$78)))+$T$75*$T$12*($T$74/2)*0.525+ABS(W105)+IF(U105&lt;0,ABS(U105*($T$72/2)))</f>
        <v>0</v>
      </c>
      <c r="AA105" s="23">
        <f>$T$75*($T$73/2)+$T$79*$T$78*$T$72*$T$73*($T$73/2)+IF(U105&gt;0, ABS(U105*$T$73/2),0)</f>
        <v>39690</v>
      </c>
      <c r="AB105" s="111" t="e">
        <f t="shared" si="31"/>
        <v>#DIV/0!</v>
      </c>
      <c r="AC105" s="110">
        <f t="shared" si="32"/>
        <v>5950.7999999999993</v>
      </c>
      <c r="AD105" s="109" t="str">
        <f>IFERROR(AC105/SQRT(T105^2+V105^2+(0.525*$T$80*$T$75)^2),"")</f>
        <v/>
      </c>
      <c r="AF105" s="8">
        <v>18</v>
      </c>
      <c r="AG105" s="108">
        <v>1</v>
      </c>
      <c r="AH105" s="112" t="s">
        <v>32</v>
      </c>
      <c r="AI105" s="23">
        <f>'Post Reactions '!P134</f>
        <v>0</v>
      </c>
      <c r="AJ105" s="23">
        <f>'Post Reactions '!Q134</f>
        <v>0</v>
      </c>
      <c r="AK105" s="23">
        <f>'Post Reactions '!R134</f>
        <v>0</v>
      </c>
      <c r="AL105" s="23">
        <f>'Post Reactions '!S134/12</f>
        <v>0</v>
      </c>
      <c r="AM105" s="24">
        <f>'Post Reactions '!T134/12</f>
        <v>0</v>
      </c>
      <c r="AN105" s="8"/>
      <c r="AO105" s="30">
        <f>ABS((AK105*($AI$74+$AI$78)))+$AI$75*$AI$12*($AI$74/2)*0.525+ABS(AL105)+IF(AJ105&lt;0,ABS(AJ105*($AI$72/2)))</f>
        <v>0</v>
      </c>
      <c r="AP105" s="23">
        <f>$AI$75*($AI$73/2)+$AI$79*$AI$78*$AI$72*$AI$73*($AI$73/2)+IF(AJ105&gt;0, ABS(AJ105*$AI$73/2),0)</f>
        <v>39690</v>
      </c>
      <c r="AQ105" s="111" t="e">
        <f t="shared" si="36"/>
        <v>#DIV/0!</v>
      </c>
      <c r="AR105" s="110">
        <f t="shared" si="37"/>
        <v>5950.7999999999993</v>
      </c>
      <c r="AS105" s="109" t="str">
        <f>IFERROR(AR105/SQRT(AI105^2+AK105^2+(0.525*$AI$80*$AI$75)^2),"")</f>
        <v/>
      </c>
      <c r="AU105" s="8">
        <v>18</v>
      </c>
      <c r="AV105" s="108">
        <v>1</v>
      </c>
      <c r="AW105" s="112" t="s">
        <v>32</v>
      </c>
      <c r="AX105" s="23">
        <f>'Post Reactions '!P187</f>
        <v>0</v>
      </c>
      <c r="AY105" s="23">
        <f>'Post Reactions '!Q187</f>
        <v>0</v>
      </c>
      <c r="AZ105" s="23">
        <f>'Post Reactions '!R187</f>
        <v>0</v>
      </c>
      <c r="BA105" s="23">
        <f>'Post Reactions '!S187/12</f>
        <v>0</v>
      </c>
      <c r="BB105" s="24">
        <f>'Post Reactions '!T187/12</f>
        <v>0</v>
      </c>
      <c r="BC105" s="8"/>
      <c r="BD105" s="30">
        <f>ABS((AZ105*($AX$74+$AX$78)))+$AX$75*$AX$12*($AX$74/2)*0.525+ABS(BA105)+IF(AY105&lt;0,ABS(AY105*($AX$72/2)))</f>
        <v>0</v>
      </c>
      <c r="BE105" s="23">
        <f>$AX$75*($AX$73/2)+$AX$79*$AX$78*$AX$72*$AX$73*($AX$73/2)+IF(AY105&gt;0, ABS(AY105*$AX$73/2),0)</f>
        <v>39690</v>
      </c>
      <c r="BF105" s="111" t="e">
        <f t="shared" si="41"/>
        <v>#DIV/0!</v>
      </c>
      <c r="BG105" s="110">
        <f t="shared" si="42"/>
        <v>5950.7999999999993</v>
      </c>
      <c r="BH105" s="109" t="str">
        <f>IFERROR(BG105/SQRT(AX105^2+AZ105^2+(0.525*$AX$80*$AX$75)^2),"")</f>
        <v/>
      </c>
    </row>
    <row r="106" spans="1:60" x14ac:dyDescent="0.25">
      <c r="A106" s="8">
        <v>19</v>
      </c>
      <c r="B106" s="108">
        <v>0.6</v>
      </c>
      <c r="C106" s="112" t="s">
        <v>37</v>
      </c>
      <c r="D106" s="23">
        <f>'Post Reactions '!P29</f>
        <v>0</v>
      </c>
      <c r="E106" s="23">
        <f>'Post Reactions '!Q29</f>
        <v>0</v>
      </c>
      <c r="F106" s="23">
        <f>'Post Reactions '!R29</f>
        <v>0</v>
      </c>
      <c r="G106" s="23">
        <f>'Post Reactions '!S29/12</f>
        <v>0</v>
      </c>
      <c r="H106" s="24">
        <f>'Post Reactions '!T29/12</f>
        <v>0</v>
      </c>
      <c r="I106" s="8"/>
      <c r="J106" s="30">
        <f>ABS((D106*($D$74+$D$78)))+$D$75*$D$12*($D$74/2)*0.7+ABS(H106)+IF(E106&lt;0,ABS(E106*($D$72/2)))</f>
        <v>0</v>
      </c>
      <c r="K106" s="23">
        <f>0.6*$D$75*($D$72/2)+0.6*$D$79*$D$78*$D$72*$D$73*($D$72/2)+IF(E106&gt;0, ABS(E106*$D$72/2),0)</f>
        <v>42336</v>
      </c>
      <c r="L106" s="111" t="e">
        <f t="shared" si="26"/>
        <v>#DIV/0!</v>
      </c>
      <c r="M106" s="110">
        <f t="shared" si="27"/>
        <v>3570.4799999999996</v>
      </c>
      <c r="N106" s="109" t="str">
        <f>IFERROR(M106/SQRT(D106^2+F106^2+(0.7*$D$80*$D$75)^2),"")</f>
        <v/>
      </c>
      <c r="Q106" s="8">
        <v>19</v>
      </c>
      <c r="R106" s="108">
        <v>0.6</v>
      </c>
      <c r="S106" s="151" t="s">
        <v>37</v>
      </c>
      <c r="T106" s="30">
        <f>'Post Reactions '!P82</f>
        <v>0</v>
      </c>
      <c r="U106" s="23">
        <f>'Post Reactions '!Q82</f>
        <v>0</v>
      </c>
      <c r="V106" s="23">
        <f>'Post Reactions '!R82</f>
        <v>0</v>
      </c>
      <c r="W106" s="23">
        <f>'Post Reactions '!S82/12</f>
        <v>0</v>
      </c>
      <c r="X106" s="24">
        <f>'Post Reactions '!T82/12</f>
        <v>0</v>
      </c>
      <c r="Y106" s="8"/>
      <c r="Z106" s="30">
        <f>ABS((T106*($T$74+$T$78)))+$T$75*$T$12*($T$74/2)*0.7+ABS(X106)+IF(U106&lt;0,ABS(U106*($T$72/2)))</f>
        <v>0</v>
      </c>
      <c r="AA106" s="23">
        <f>0.6*$T$75*($T$72/2)+0.6*$T$79*$T$78*$T$72*$T$73*($T$72/2)+IF(U106&gt;0, ABS(U106*$T$72/2),0)</f>
        <v>42336</v>
      </c>
      <c r="AB106" s="111" t="e">
        <f t="shared" si="31"/>
        <v>#DIV/0!</v>
      </c>
      <c r="AC106" s="110">
        <f t="shared" si="32"/>
        <v>3570.4799999999996</v>
      </c>
      <c r="AD106" s="109" t="str">
        <f>IFERROR(AC106/SQRT(T106^2+V106^2+(0.7*$T$80*$T$75)^2),"")</f>
        <v/>
      </c>
      <c r="AF106" s="8">
        <v>19</v>
      </c>
      <c r="AG106" s="108">
        <v>0.6</v>
      </c>
      <c r="AH106" s="112" t="s">
        <v>37</v>
      </c>
      <c r="AI106" s="23">
        <f>'Post Reactions '!P135</f>
        <v>0</v>
      </c>
      <c r="AJ106" s="23">
        <f>'Post Reactions '!Q135</f>
        <v>0</v>
      </c>
      <c r="AK106" s="23">
        <f>'Post Reactions '!R135</f>
        <v>0</v>
      </c>
      <c r="AL106" s="23">
        <f>'Post Reactions '!S135/12</f>
        <v>0</v>
      </c>
      <c r="AM106" s="24">
        <f>'Post Reactions '!T135/12</f>
        <v>0</v>
      </c>
      <c r="AN106" s="8"/>
      <c r="AO106" s="30">
        <f>ABS((AI106*($AI$74+$AI$78)))+$AI$75*$AI$12*($AI$74/2)*0.7+ABS(AM106)+IF(AJ106&lt;0,ABS(AJ106*($AI$72/2)))</f>
        <v>0</v>
      </c>
      <c r="AP106" s="23">
        <f>0.6*$AI$75*($AI$72/2)+0.6*$AI$79*$AI$78*$AI$72*$AI$73*($AI$72/2)+IF(AJ106&gt;0, ABS(AJ106*$AI$72/2),0)</f>
        <v>42336</v>
      </c>
      <c r="AQ106" s="111" t="e">
        <f t="shared" si="36"/>
        <v>#DIV/0!</v>
      </c>
      <c r="AR106" s="110">
        <f t="shared" si="37"/>
        <v>3570.4799999999996</v>
      </c>
      <c r="AS106" s="109" t="str">
        <f>IFERROR(AR106/SQRT(AI106^2+AK106^2+(0.7*$AI$80*$AI$75)^2),"")</f>
        <v/>
      </c>
      <c r="AU106" s="8">
        <v>19</v>
      </c>
      <c r="AV106" s="108">
        <v>0.6</v>
      </c>
      <c r="AW106" s="112" t="s">
        <v>37</v>
      </c>
      <c r="AX106" s="23">
        <f>'Post Reactions '!P188</f>
        <v>0</v>
      </c>
      <c r="AY106" s="23">
        <f>'Post Reactions '!Q188</f>
        <v>0</v>
      </c>
      <c r="AZ106" s="23">
        <f>'Post Reactions '!R188</f>
        <v>0</v>
      </c>
      <c r="BA106" s="23">
        <f>'Post Reactions '!S188/12</f>
        <v>0</v>
      </c>
      <c r="BB106" s="24">
        <f>'Post Reactions '!T188/12</f>
        <v>0</v>
      </c>
      <c r="BC106" s="8"/>
      <c r="BD106" s="30">
        <f>ABS((AX106*($AX$74+$AX$78)))+$AX$75*$AX$12*($AX$74/2)*0.7+ABS(BB106)+IF(AY106&lt;0,ABS(AY106*($AX$72/2)))</f>
        <v>0</v>
      </c>
      <c r="BE106" s="23">
        <f>0.6*$AX$75*($AX$72/2)+0.6*$AX$79*$AX$78*$AX$72*$AX$73*($AX$72/2)+IF(AY106&gt;0, ABS(AY106*$AX$72/2),0)</f>
        <v>42336</v>
      </c>
      <c r="BF106" s="111" t="e">
        <f t="shared" si="41"/>
        <v>#DIV/0!</v>
      </c>
      <c r="BG106" s="110">
        <f t="shared" si="42"/>
        <v>3570.4799999999996</v>
      </c>
      <c r="BH106" s="109" t="str">
        <f>IFERROR(BG106/SQRT(AX106^2+AZ106^2+(0.7*$AX$80*$AX$75)^2),"")</f>
        <v/>
      </c>
    </row>
    <row r="107" spans="1:60" x14ac:dyDescent="0.25">
      <c r="A107" s="8">
        <v>20</v>
      </c>
      <c r="B107" s="108">
        <v>0.6</v>
      </c>
      <c r="C107" s="112" t="s">
        <v>38</v>
      </c>
      <c r="D107" s="23">
        <f>'Post Reactions '!P30</f>
        <v>0</v>
      </c>
      <c r="E107" s="23">
        <f>'Post Reactions '!Q30</f>
        <v>0</v>
      </c>
      <c r="F107" s="23">
        <f>'Post Reactions '!R30</f>
        <v>0</v>
      </c>
      <c r="G107" s="23">
        <f>'Post Reactions '!S30/12</f>
        <v>0</v>
      </c>
      <c r="H107" s="24">
        <f>'Post Reactions '!T30/12</f>
        <v>0</v>
      </c>
      <c r="I107" s="8"/>
      <c r="J107" s="30">
        <f>ABS((D107*($D$74+$D$78)))+$D$75*$D$12*($D$74/2)*0.7+ABS(H107)+IF(E107&lt;0,ABS(E107*($D$72/2)))</f>
        <v>0</v>
      </c>
      <c r="K107" s="23">
        <f>0.6*$D$75*($D$72/2)+0.6*$D$79*$D$78*$D$72*$D$73*($D$72/2)+IF(E107&gt;0, ABS(E107*$D$72/2),0)</f>
        <v>42336</v>
      </c>
      <c r="L107" s="111" t="e">
        <f t="shared" si="26"/>
        <v>#DIV/0!</v>
      </c>
      <c r="M107" s="110">
        <f t="shared" si="27"/>
        <v>3570.4799999999996</v>
      </c>
      <c r="N107" s="109" t="str">
        <f>IFERROR(M107/SQRT(D107^2+F107^2+(0.7*$D$80*$D$75)^2),"")</f>
        <v/>
      </c>
      <c r="Q107" s="8">
        <v>20</v>
      </c>
      <c r="R107" s="108">
        <v>0.6</v>
      </c>
      <c r="S107" s="151" t="s">
        <v>38</v>
      </c>
      <c r="T107" s="30">
        <f>'Post Reactions '!P83</f>
        <v>0</v>
      </c>
      <c r="U107" s="23">
        <f>'Post Reactions '!Q83</f>
        <v>0</v>
      </c>
      <c r="V107" s="23">
        <f>'Post Reactions '!R83</f>
        <v>0</v>
      </c>
      <c r="W107" s="23">
        <f>'Post Reactions '!S83/12</f>
        <v>0</v>
      </c>
      <c r="X107" s="24">
        <f>'Post Reactions '!T83/12</f>
        <v>0</v>
      </c>
      <c r="Y107" s="8"/>
      <c r="Z107" s="30">
        <f>ABS((T107*($T$74+$T$78)))+$T$75*$T$12*($T$74/2)*0.7+ABS(X107)+IF(U107&lt;0,ABS(U107*($T$72/2)))</f>
        <v>0</v>
      </c>
      <c r="AA107" s="23">
        <f>0.6*$T$75*($T$72/2)+0.6*$T$79*$T$78*$T$72*$T$73*($T$72/2)+IF(U107&gt;0, ABS(U107*$T$72/2),0)</f>
        <v>42336</v>
      </c>
      <c r="AB107" s="111" t="e">
        <f t="shared" si="31"/>
        <v>#DIV/0!</v>
      </c>
      <c r="AC107" s="110">
        <f t="shared" si="32"/>
        <v>3570.4799999999996</v>
      </c>
      <c r="AD107" s="109" t="str">
        <f>IFERROR(AC107/SQRT(T107^2+V107^2+(0.7*$T$80*$T$75)^2),"")</f>
        <v/>
      </c>
      <c r="AF107" s="8">
        <v>20</v>
      </c>
      <c r="AG107" s="108">
        <v>0.6</v>
      </c>
      <c r="AH107" s="112" t="s">
        <v>38</v>
      </c>
      <c r="AI107" s="23">
        <f>'Post Reactions '!P136</f>
        <v>0</v>
      </c>
      <c r="AJ107" s="23">
        <f>'Post Reactions '!Q136</f>
        <v>0</v>
      </c>
      <c r="AK107" s="23">
        <f>'Post Reactions '!R136</f>
        <v>0</v>
      </c>
      <c r="AL107" s="23">
        <f>'Post Reactions '!S136/12</f>
        <v>0</v>
      </c>
      <c r="AM107" s="24">
        <f>'Post Reactions '!T136/12</f>
        <v>0</v>
      </c>
      <c r="AN107" s="8"/>
      <c r="AO107" s="30">
        <f>ABS((AI107*($AI$74+$AI$78)))+$AI$75*$AI$12*($AI$74/2)*0.7+ABS(AM107)+IF(AJ107&lt;0,ABS(AJ107*($AI$72/2)))</f>
        <v>0</v>
      </c>
      <c r="AP107" s="23">
        <f>0.6*$AI$75*($AI$72/2)+0.6*$AI$79*$AI$78*$AI$72*$AI$73*($AI$72/2)+IF(AJ107&gt;0, ABS(AJ107*$AI$72/2),0)</f>
        <v>42336</v>
      </c>
      <c r="AQ107" s="111" t="e">
        <f t="shared" si="36"/>
        <v>#DIV/0!</v>
      </c>
      <c r="AR107" s="110">
        <f t="shared" si="37"/>
        <v>3570.4799999999996</v>
      </c>
      <c r="AS107" s="109" t="str">
        <f>IFERROR(AR107/SQRT(AI107^2+AK107^2+(0.7*$AI$80*$AI$75)^2),"")</f>
        <v/>
      </c>
      <c r="AU107" s="8">
        <v>20</v>
      </c>
      <c r="AV107" s="108">
        <v>0.6</v>
      </c>
      <c r="AW107" s="112" t="s">
        <v>38</v>
      </c>
      <c r="AX107" s="23">
        <f>'Post Reactions '!P189</f>
        <v>0</v>
      </c>
      <c r="AY107" s="23">
        <f>'Post Reactions '!Q189</f>
        <v>0</v>
      </c>
      <c r="AZ107" s="23">
        <f>'Post Reactions '!R189</f>
        <v>0</v>
      </c>
      <c r="BA107" s="23">
        <f>'Post Reactions '!S189/12</f>
        <v>0</v>
      </c>
      <c r="BB107" s="24">
        <f>'Post Reactions '!T189/12</f>
        <v>0</v>
      </c>
      <c r="BC107" s="8"/>
      <c r="BD107" s="30">
        <f>ABS((AX107*($AX$74+$AX$78)))+$AX$75*$AX$12*($AX$74/2)*0.7+ABS(BB107)+IF(AY107&lt;0,ABS(AY107*($AX$72/2)))</f>
        <v>0</v>
      </c>
      <c r="BE107" s="23">
        <f>0.6*$AX$75*($AX$72/2)+0.6*$AX$79*$AX$78*$AX$72*$AX$73*($AX$72/2)+IF(AY107&gt;0, ABS(AY107*$AX$72/2),0)</f>
        <v>42336</v>
      </c>
      <c r="BF107" s="111" t="e">
        <f t="shared" si="41"/>
        <v>#DIV/0!</v>
      </c>
      <c r="BG107" s="110">
        <f t="shared" si="42"/>
        <v>3570.4799999999996</v>
      </c>
      <c r="BH107" s="109" t="str">
        <f>IFERROR(BG107/SQRT(AX107^2+AZ107^2+(0.7*$AX$80*$AX$75)^2),"")</f>
        <v/>
      </c>
    </row>
    <row r="108" spans="1:60" x14ac:dyDescent="0.25">
      <c r="A108" s="8">
        <v>21</v>
      </c>
      <c r="B108" s="108">
        <v>0.6</v>
      </c>
      <c r="C108" s="112" t="s">
        <v>39</v>
      </c>
      <c r="D108" s="23">
        <f>'Post Reactions '!P31</f>
        <v>0</v>
      </c>
      <c r="E108" s="23">
        <f>'Post Reactions '!Q31</f>
        <v>0</v>
      </c>
      <c r="F108" s="23">
        <f>'Post Reactions '!R31</f>
        <v>0</v>
      </c>
      <c r="G108" s="23">
        <f>'Post Reactions '!S31/12</f>
        <v>0</v>
      </c>
      <c r="H108" s="24">
        <f>'Post Reactions '!T31/12</f>
        <v>0</v>
      </c>
      <c r="I108" s="8"/>
      <c r="J108" s="30">
        <f>ABS((F108*($D$74+$D$78)))+$D$75*$D$12*($D$74/2)*0.7+ABS(G108)+IF(E108&lt;0,ABS(E108*($D$72/2)))</f>
        <v>0</v>
      </c>
      <c r="K108" s="23">
        <f>0.6*$D$75*($D$73/2)+0.6*$D$79*$D$78*$D$72*$D$73*($D$73/2)+IF(E108&gt;0, ABS(E108*$D$73/2),0)</f>
        <v>23814</v>
      </c>
      <c r="L108" s="111" t="e">
        <f t="shared" si="26"/>
        <v>#DIV/0!</v>
      </c>
      <c r="M108" s="110">
        <f t="shared" si="27"/>
        <v>3570.4799999999996</v>
      </c>
      <c r="N108" s="109" t="str">
        <f>IFERROR(M108/SQRT(D108^2+F108^2+(0.7*$D$80*$D$75)^2),"")</f>
        <v/>
      </c>
      <c r="Q108" s="8">
        <v>21</v>
      </c>
      <c r="R108" s="108">
        <v>0.6</v>
      </c>
      <c r="S108" s="151" t="s">
        <v>39</v>
      </c>
      <c r="T108" s="30">
        <f>'Post Reactions '!P84</f>
        <v>0</v>
      </c>
      <c r="U108" s="23">
        <f>'Post Reactions '!Q84</f>
        <v>0</v>
      </c>
      <c r="V108" s="23">
        <f>'Post Reactions '!R84</f>
        <v>0</v>
      </c>
      <c r="W108" s="23">
        <f>'Post Reactions '!S84/12</f>
        <v>0</v>
      </c>
      <c r="X108" s="24">
        <f>'Post Reactions '!T84/12</f>
        <v>0</v>
      </c>
      <c r="Y108" s="8"/>
      <c r="Z108" s="30">
        <f>ABS((V108*($T$74+$T$78)))+$T$75*$T$12*($T$74/2)*0.7+ABS(W108)+IF(U108&lt;0,ABS(U108*($T$72/2)))</f>
        <v>0</v>
      </c>
      <c r="AA108" s="23">
        <f>0.6*$T$75*($T$73/2)+0.6*$T$79*$T$78*$T$72*$T$73*($T$73/2)+IF(U108&gt;0, ABS(U108*$T$73/2),0)</f>
        <v>23814</v>
      </c>
      <c r="AB108" s="111" t="e">
        <f t="shared" si="31"/>
        <v>#DIV/0!</v>
      </c>
      <c r="AC108" s="110">
        <f t="shared" si="32"/>
        <v>3570.4799999999996</v>
      </c>
      <c r="AD108" s="109" t="str">
        <f>IFERROR(AC108/SQRT(T108^2+V108^2+(0.7*$T$80*$T$75)^2),"")</f>
        <v/>
      </c>
      <c r="AF108" s="8">
        <v>21</v>
      </c>
      <c r="AG108" s="108">
        <v>0.6</v>
      </c>
      <c r="AH108" s="112" t="s">
        <v>39</v>
      </c>
      <c r="AI108" s="23">
        <f>'Post Reactions '!P137</f>
        <v>0</v>
      </c>
      <c r="AJ108" s="23">
        <f>'Post Reactions '!Q137</f>
        <v>0</v>
      </c>
      <c r="AK108" s="23">
        <f>'Post Reactions '!R137</f>
        <v>0</v>
      </c>
      <c r="AL108" s="23">
        <f>'Post Reactions '!S137/12</f>
        <v>0</v>
      </c>
      <c r="AM108" s="24">
        <f>'Post Reactions '!T137/12</f>
        <v>0</v>
      </c>
      <c r="AN108" s="8"/>
      <c r="AO108" s="30">
        <f>ABS((AK108*($AI$74+$AI$78)))+$AI$75*$AI$12*($AI$74/2)*0.7+ABS(AL108)+IF(AJ108&lt;0,ABS(AJ108*($AI$72/2)))</f>
        <v>0</v>
      </c>
      <c r="AP108" s="23">
        <f>0.6*$AI$75*($AI$73/2)+0.6*$AI$79*$AI$78*$AI$72*$AI$73*($AI$73/2)+IF(AJ108&gt;0, ABS(AJ108*$AI$73/2),0)</f>
        <v>23814</v>
      </c>
      <c r="AQ108" s="111" t="e">
        <f t="shared" si="36"/>
        <v>#DIV/0!</v>
      </c>
      <c r="AR108" s="110">
        <f t="shared" si="37"/>
        <v>3570.4799999999996</v>
      </c>
      <c r="AS108" s="109" t="str">
        <f>IFERROR(AR108/SQRT(AI108^2+AK108^2+(0.7*$AI$80*$AI$75)^2),"")</f>
        <v/>
      </c>
      <c r="AU108" s="8">
        <v>21</v>
      </c>
      <c r="AV108" s="108">
        <v>0.6</v>
      </c>
      <c r="AW108" s="112" t="s">
        <v>39</v>
      </c>
      <c r="AX108" s="23">
        <f>'Post Reactions '!P190</f>
        <v>0</v>
      </c>
      <c r="AY108" s="23">
        <f>'Post Reactions '!Q190</f>
        <v>0</v>
      </c>
      <c r="AZ108" s="23">
        <f>'Post Reactions '!R190</f>
        <v>0</v>
      </c>
      <c r="BA108" s="23">
        <f>'Post Reactions '!S190/12</f>
        <v>0</v>
      </c>
      <c r="BB108" s="24">
        <f>'Post Reactions '!T190/12</f>
        <v>0</v>
      </c>
      <c r="BC108" s="8"/>
      <c r="BD108" s="30">
        <f>ABS((AZ108*($AX$74+$AX$78)))+$AX$75*$AX$12*($AX$74/2)*0.7+ABS(BA108)+IF(AY108&lt;0,ABS(AY108*($AX$72/2)))</f>
        <v>0</v>
      </c>
      <c r="BE108" s="23">
        <f>0.6*$AX$75*($AX$73/2)+0.6*$AX$79*$AX$78*$AX$72*$AX$73*($AX$73/2)+IF(AY108&gt;0, ABS(AY108*$AX$73/2),0)</f>
        <v>23814</v>
      </c>
      <c r="BF108" s="111" t="e">
        <f t="shared" si="41"/>
        <v>#DIV/0!</v>
      </c>
      <c r="BG108" s="110">
        <f t="shared" si="42"/>
        <v>3570.4799999999996</v>
      </c>
      <c r="BH108" s="109" t="str">
        <f>IFERROR(BG108/SQRT(AX108^2+AZ108^2+(0.7*$AX$80*$AX$75)^2),"")</f>
        <v/>
      </c>
    </row>
    <row r="109" spans="1:60" ht="15.75" thickBot="1" x14ac:dyDescent="0.3">
      <c r="A109" s="8">
        <v>22</v>
      </c>
      <c r="B109" s="108">
        <v>0.6</v>
      </c>
      <c r="C109" s="107" t="s">
        <v>40</v>
      </c>
      <c r="D109" s="31">
        <f>'Post Reactions '!P32</f>
        <v>0</v>
      </c>
      <c r="E109" s="31">
        <f>'Post Reactions '!Q32</f>
        <v>0</v>
      </c>
      <c r="F109" s="31">
        <f>'Post Reactions '!R32</f>
        <v>0</v>
      </c>
      <c r="G109" s="31">
        <f>'Post Reactions '!S32/12</f>
        <v>0</v>
      </c>
      <c r="H109" s="32">
        <f>'Post Reactions '!T32/12</f>
        <v>0</v>
      </c>
      <c r="I109" s="8"/>
      <c r="J109" s="33">
        <f>ABS((F109*($D$74+$D$78)))+$D$75*$D$12*($D$74/2)*0.7+ABS(G109)+IF(E109&lt;0,ABS(E109*($D$72/2)))</f>
        <v>0</v>
      </c>
      <c r="K109" s="31">
        <f>0.6*$D$75*($D$73/2)+0.6*$D$79*$D$78*$D$72*$D$73*($D$73/2)+IF(E109&gt;0, ABS(E109*$D$73/2),0)</f>
        <v>23814</v>
      </c>
      <c r="L109" s="106" t="e">
        <f t="shared" si="26"/>
        <v>#DIV/0!</v>
      </c>
      <c r="M109" s="105">
        <f t="shared" si="27"/>
        <v>3570.4799999999996</v>
      </c>
      <c r="N109" s="104" t="str">
        <f>IFERROR(M109/SQRT(D109^2+F109^2+(0.7*$D$80*$D$75)^2),"")</f>
        <v/>
      </c>
      <c r="Q109" s="8">
        <v>22</v>
      </c>
      <c r="R109" s="108">
        <v>0.6</v>
      </c>
      <c r="S109" s="152" t="s">
        <v>40</v>
      </c>
      <c r="T109" s="33">
        <f>'Post Reactions '!P85</f>
        <v>0</v>
      </c>
      <c r="U109" s="31">
        <f>'Post Reactions '!Q85</f>
        <v>0</v>
      </c>
      <c r="V109" s="31">
        <f>'Post Reactions '!R85</f>
        <v>0</v>
      </c>
      <c r="W109" s="31">
        <f>'Post Reactions '!S85/12</f>
        <v>0</v>
      </c>
      <c r="X109" s="32">
        <f>'Post Reactions '!T85/12</f>
        <v>0</v>
      </c>
      <c r="Y109" s="8"/>
      <c r="Z109" s="33">
        <f>ABS((V109*($T$74+$T$78)))+$T$75*$T$12*($T$74/2)*0.7+ABS(W109)+IF(U109&lt;0,ABS(U109*($T$72/2)))</f>
        <v>0</v>
      </c>
      <c r="AA109" s="31">
        <f>0.6*$T$75*($T$73/2)+0.6*$T$79*$T$78*$T$72*$T$73*($T$73/2)+IF(U109&gt;0, ABS(U109*$T$73/2),0)</f>
        <v>23814</v>
      </c>
      <c r="AB109" s="106" t="e">
        <f t="shared" si="31"/>
        <v>#DIV/0!</v>
      </c>
      <c r="AC109" s="105">
        <f t="shared" si="32"/>
        <v>3570.4799999999996</v>
      </c>
      <c r="AD109" s="104" t="str">
        <f>IFERROR(AC109/SQRT(T109^2+V109^2+(0.7*$T$80*$T$75)^2),"")</f>
        <v/>
      </c>
      <c r="AF109" s="8">
        <v>22</v>
      </c>
      <c r="AG109" s="108">
        <v>0.6</v>
      </c>
      <c r="AH109" s="107" t="s">
        <v>40</v>
      </c>
      <c r="AI109" s="31">
        <f>'Post Reactions '!P138</f>
        <v>0</v>
      </c>
      <c r="AJ109" s="31">
        <f>'Post Reactions '!Q138</f>
        <v>0</v>
      </c>
      <c r="AK109" s="31">
        <f>'Post Reactions '!R138</f>
        <v>0</v>
      </c>
      <c r="AL109" s="31">
        <f>'Post Reactions '!S138/12</f>
        <v>0</v>
      </c>
      <c r="AM109" s="32">
        <f>'Post Reactions '!T138/12</f>
        <v>0</v>
      </c>
      <c r="AN109" s="8"/>
      <c r="AO109" s="33">
        <f>ABS((AK109*($AI$74+$AI$78)))+$AI$75*$AI$12*($AI$74/2)*0.7+ABS(AL109)+IF(AJ109&lt;0,ABS(AJ109*($AI$72/2)))</f>
        <v>0</v>
      </c>
      <c r="AP109" s="31">
        <f>0.6*$AI$75*($AI$73/2)+0.6*$AI$79*$AI$78*$AI$72*$AI$73*($AI$73/2)+IF(AJ109&gt;0, ABS(AJ109*$AI$73/2),0)</f>
        <v>23814</v>
      </c>
      <c r="AQ109" s="106" t="e">
        <f t="shared" si="36"/>
        <v>#DIV/0!</v>
      </c>
      <c r="AR109" s="105">
        <f t="shared" si="37"/>
        <v>3570.4799999999996</v>
      </c>
      <c r="AS109" s="104" t="str">
        <f>IFERROR(AR109/SQRT(AI109^2+AK109^2+(0.7*$AI$80*$AI$75)^2),"")</f>
        <v/>
      </c>
      <c r="AU109" s="8">
        <v>22</v>
      </c>
      <c r="AV109" s="108">
        <v>0.6</v>
      </c>
      <c r="AW109" s="107" t="s">
        <v>40</v>
      </c>
      <c r="AX109" s="31">
        <f>'Post Reactions '!P191</f>
        <v>0</v>
      </c>
      <c r="AY109" s="31">
        <f>'Post Reactions '!Q191</f>
        <v>0</v>
      </c>
      <c r="AZ109" s="31">
        <f>'Post Reactions '!R191</f>
        <v>0</v>
      </c>
      <c r="BA109" s="31">
        <f>'Post Reactions '!S191/12</f>
        <v>0</v>
      </c>
      <c r="BB109" s="32">
        <f>'Post Reactions '!T191/12</f>
        <v>0</v>
      </c>
      <c r="BC109" s="8"/>
      <c r="BD109" s="33">
        <f>ABS((AZ109*($AX$74+$AX$78)))+$AX$75*$AX$12*($AX$74/2)*0.7+ABS(BA109)+IF(AY109&lt;0,ABS(AY109*($AX$72/2)))</f>
        <v>0</v>
      </c>
      <c r="BE109" s="31">
        <f>0.6*$AX$75*($AX$73/2)+0.6*$AX$79*$AX$78*$AX$72*$AX$73*($AX$73/2)+IF(AY109&gt;0, ABS(AY109*$AX$73/2),0)</f>
        <v>23814</v>
      </c>
      <c r="BF109" s="106" t="e">
        <f t="shared" si="41"/>
        <v>#DIV/0!</v>
      </c>
      <c r="BG109" s="105">
        <f t="shared" si="42"/>
        <v>3570.4799999999996</v>
      </c>
      <c r="BH109" s="104" t="str">
        <f>IFERROR(BG109/SQRT(AX109^2+AZ109^2+(0.7*$AX$80*$AX$75)^2),"")</f>
        <v/>
      </c>
    </row>
    <row r="110" spans="1:60" x14ac:dyDescent="0.25">
      <c r="C110" s="7"/>
      <c r="D110" s="125"/>
      <c r="E110" s="125"/>
      <c r="F110" s="125"/>
      <c r="G110" s="125"/>
      <c r="H110" s="125"/>
      <c r="I110" s="113"/>
      <c r="J110" s="125"/>
      <c r="K110" s="125"/>
      <c r="L110" s="124"/>
      <c r="S110" s="7"/>
      <c r="T110" s="125"/>
      <c r="U110" s="125"/>
      <c r="V110" s="125"/>
      <c r="W110" s="125"/>
      <c r="X110" s="125"/>
      <c r="Y110" s="113"/>
      <c r="Z110" s="125"/>
      <c r="AA110" s="125"/>
      <c r="AB110" s="124"/>
      <c r="AH110" s="7"/>
      <c r="AI110" s="125"/>
      <c r="AJ110" s="125"/>
      <c r="AK110" s="125"/>
      <c r="AL110" s="125"/>
      <c r="AM110" s="125"/>
      <c r="AN110" s="113"/>
      <c r="AO110" s="125"/>
      <c r="AP110" s="125"/>
      <c r="AQ110" s="124"/>
      <c r="AW110" s="7"/>
      <c r="AX110" s="125"/>
      <c r="AY110" s="125"/>
      <c r="AZ110" s="125"/>
      <c r="BA110" s="125"/>
      <c r="BB110" s="125"/>
      <c r="BC110" s="113"/>
      <c r="BD110" s="125"/>
      <c r="BE110" s="125"/>
      <c r="BF110" s="124"/>
    </row>
    <row r="111" spans="1:60" ht="15.75" thickBot="1" x14ac:dyDescent="0.3">
      <c r="C111" s="7"/>
      <c r="D111" s="125"/>
      <c r="E111" s="125"/>
      <c r="F111" s="125"/>
      <c r="G111" s="125"/>
      <c r="H111" s="125"/>
      <c r="I111" s="113"/>
      <c r="J111" s="125"/>
      <c r="K111" s="125"/>
      <c r="L111" s="124"/>
      <c r="S111" s="7"/>
      <c r="T111" s="125"/>
      <c r="U111" s="125"/>
      <c r="V111" s="125"/>
      <c r="W111" s="125"/>
      <c r="X111" s="125"/>
      <c r="Y111" s="113"/>
      <c r="Z111" s="125"/>
      <c r="AA111" s="125"/>
      <c r="AB111" s="124"/>
      <c r="AH111" s="7"/>
      <c r="AI111" s="125"/>
      <c r="AJ111" s="125"/>
      <c r="AK111" s="125"/>
      <c r="AL111" s="125"/>
      <c r="AM111" s="125"/>
      <c r="AN111" s="113"/>
      <c r="AO111" s="125"/>
      <c r="AP111" s="125"/>
      <c r="AQ111" s="124"/>
      <c r="AW111" s="7"/>
      <c r="AX111" s="125"/>
      <c r="AY111" s="125"/>
      <c r="AZ111" s="125"/>
      <c r="BA111" s="125"/>
      <c r="BB111" s="125"/>
      <c r="BC111" s="113"/>
      <c r="BD111" s="125"/>
      <c r="BE111" s="125"/>
      <c r="BF111" s="124"/>
    </row>
    <row r="112" spans="1:60" ht="15.75" thickBot="1" x14ac:dyDescent="0.3">
      <c r="C112" s="496" t="s">
        <v>154</v>
      </c>
      <c r="D112" s="497"/>
      <c r="E112" s="497"/>
      <c r="F112" s="497"/>
      <c r="G112" s="497"/>
      <c r="H112" s="497"/>
      <c r="I112" s="497"/>
      <c r="J112" s="497"/>
      <c r="K112" s="497"/>
      <c r="L112" s="497"/>
      <c r="M112" s="497"/>
      <c r="N112" s="500"/>
      <c r="S112" s="493" t="s">
        <v>157</v>
      </c>
      <c r="T112" s="494"/>
      <c r="U112" s="494"/>
      <c r="V112" s="494"/>
      <c r="W112" s="494"/>
      <c r="X112" s="494"/>
      <c r="Y112" s="494"/>
      <c r="Z112" s="494"/>
      <c r="AA112" s="494"/>
      <c r="AB112" s="494"/>
      <c r="AC112" s="494"/>
      <c r="AD112" s="495"/>
      <c r="AH112" s="487" t="s">
        <v>159</v>
      </c>
      <c r="AI112" s="488"/>
      <c r="AJ112" s="488"/>
      <c r="AK112" s="488"/>
      <c r="AL112" s="488"/>
      <c r="AM112" s="488"/>
      <c r="AN112" s="488"/>
      <c r="AO112" s="488"/>
      <c r="AP112" s="488"/>
      <c r="AQ112" s="488"/>
      <c r="AR112" s="488"/>
      <c r="AS112" s="489"/>
      <c r="AW112" s="490" t="s">
        <v>161</v>
      </c>
      <c r="AX112" s="491"/>
      <c r="AY112" s="491"/>
      <c r="AZ112" s="491"/>
      <c r="BA112" s="491"/>
      <c r="BB112" s="491"/>
      <c r="BC112" s="491"/>
      <c r="BD112" s="491"/>
      <c r="BE112" s="491"/>
      <c r="BF112" s="491"/>
      <c r="BG112" s="491"/>
      <c r="BH112" s="492"/>
    </row>
    <row r="113" spans="1:60" ht="15.75" thickBot="1" x14ac:dyDescent="0.3">
      <c r="C113" s="123" t="s">
        <v>19</v>
      </c>
      <c r="D113" s="123" t="s">
        <v>113</v>
      </c>
      <c r="E113" s="123" t="s">
        <v>112</v>
      </c>
      <c r="F113" s="123" t="s">
        <v>111</v>
      </c>
      <c r="G113" s="123" t="s">
        <v>110</v>
      </c>
      <c r="H113" s="123" t="s">
        <v>109</v>
      </c>
      <c r="I113" s="122"/>
      <c r="J113" s="121" t="s">
        <v>108</v>
      </c>
      <c r="K113" s="120" t="s">
        <v>107</v>
      </c>
      <c r="L113" s="120" t="s">
        <v>106</v>
      </c>
      <c r="M113" s="120" t="s">
        <v>105</v>
      </c>
      <c r="N113" s="119" t="s">
        <v>104</v>
      </c>
      <c r="S113" s="123" t="s">
        <v>19</v>
      </c>
      <c r="T113" s="123" t="s">
        <v>113</v>
      </c>
      <c r="U113" s="123" t="s">
        <v>112</v>
      </c>
      <c r="V113" s="123" t="s">
        <v>111</v>
      </c>
      <c r="W113" s="123" t="s">
        <v>110</v>
      </c>
      <c r="X113" s="123" t="s">
        <v>109</v>
      </c>
      <c r="Y113" s="122"/>
      <c r="Z113" s="121" t="s">
        <v>108</v>
      </c>
      <c r="AA113" s="120" t="s">
        <v>107</v>
      </c>
      <c r="AB113" s="120" t="s">
        <v>106</v>
      </c>
      <c r="AC113" s="120" t="s">
        <v>105</v>
      </c>
      <c r="AD113" s="119" t="s">
        <v>104</v>
      </c>
      <c r="AH113" s="123" t="s">
        <v>19</v>
      </c>
      <c r="AI113" s="123" t="s">
        <v>113</v>
      </c>
      <c r="AJ113" s="123" t="s">
        <v>112</v>
      </c>
      <c r="AK113" s="123" t="s">
        <v>111</v>
      </c>
      <c r="AL113" s="123" t="s">
        <v>110</v>
      </c>
      <c r="AM113" s="123" t="s">
        <v>109</v>
      </c>
      <c r="AN113" s="122"/>
      <c r="AO113" s="121" t="s">
        <v>108</v>
      </c>
      <c r="AP113" s="120" t="s">
        <v>107</v>
      </c>
      <c r="AQ113" s="120" t="s">
        <v>106</v>
      </c>
      <c r="AR113" s="120" t="s">
        <v>105</v>
      </c>
      <c r="AS113" s="119" t="s">
        <v>104</v>
      </c>
      <c r="AW113" s="123" t="s">
        <v>19</v>
      </c>
      <c r="AX113" s="123" t="s">
        <v>113</v>
      </c>
      <c r="AY113" s="123" t="s">
        <v>112</v>
      </c>
      <c r="AZ113" s="123" t="s">
        <v>111</v>
      </c>
      <c r="BA113" s="123" t="s">
        <v>110</v>
      </c>
      <c r="BB113" s="123" t="s">
        <v>109</v>
      </c>
      <c r="BC113" s="122"/>
      <c r="BD113" s="121" t="s">
        <v>108</v>
      </c>
      <c r="BE113" s="120" t="s">
        <v>107</v>
      </c>
      <c r="BF113" s="120" t="s">
        <v>106</v>
      </c>
      <c r="BG113" s="120" t="s">
        <v>105</v>
      </c>
      <c r="BH113" s="119" t="s">
        <v>104</v>
      </c>
    </row>
    <row r="114" spans="1:60" x14ac:dyDescent="0.25">
      <c r="A114" s="8">
        <v>1</v>
      </c>
      <c r="B114" s="108">
        <v>1</v>
      </c>
      <c r="C114" s="118" t="s">
        <v>0</v>
      </c>
      <c r="D114" s="21">
        <f>'Post Reactions '!P37</f>
        <v>0</v>
      </c>
      <c r="E114" s="21">
        <f>'Post Reactions '!Q37</f>
        <v>0</v>
      </c>
      <c r="F114" s="21">
        <f>'Post Reactions '!R37</f>
        <v>0</v>
      </c>
      <c r="G114" s="21">
        <f>'Post Reactions '!S37/12</f>
        <v>0</v>
      </c>
      <c r="H114" s="22">
        <f>'Post Reactions '!T37/12</f>
        <v>0</v>
      </c>
      <c r="I114" s="113"/>
      <c r="J114" s="117">
        <f t="shared" ref="J114:J123" si="44">ABS((D114*($D$74+$D$78)))+ABS(H114)+IF(E114&lt;0,ABS(E114*($D$72/2)))</f>
        <v>0</v>
      </c>
      <c r="K114" s="116">
        <f t="shared" ref="K114:K121" si="45">$D$75*($D$72/2)+$D$79*$D$78*$D$72*$D$73*($D$72/2)+IF(E114&gt;0, ABS(E114*$D$72/2),0)</f>
        <v>70560</v>
      </c>
      <c r="L114" s="115" t="e">
        <f t="shared" ref="L114:L135" si="46">K114/J114</f>
        <v>#DIV/0!</v>
      </c>
      <c r="M114" s="110">
        <f t="shared" ref="M114:M135" si="47">($D$82*(E114+$D$75*B114))</f>
        <v>5950.7999999999993</v>
      </c>
      <c r="N114" s="114" t="str">
        <f t="shared" ref="N114:N123" si="48">IFERROR(M114/SQRT(D114^2+F114^2),"")</f>
        <v/>
      </c>
      <c r="Q114" s="8">
        <v>1</v>
      </c>
      <c r="R114" s="108">
        <v>1</v>
      </c>
      <c r="S114" s="118" t="s">
        <v>0</v>
      </c>
      <c r="T114" s="21">
        <f>'Post Reactions '!P90</f>
        <v>0</v>
      </c>
      <c r="U114" s="21">
        <f>'Post Reactions '!Q90</f>
        <v>0</v>
      </c>
      <c r="V114" s="21">
        <f>'Post Reactions '!R90</f>
        <v>0</v>
      </c>
      <c r="W114" s="21">
        <f>'Post Reactions '!S90/12</f>
        <v>0</v>
      </c>
      <c r="X114" s="22">
        <f>'Post Reactions '!T90/12</f>
        <v>0</v>
      </c>
      <c r="Y114" s="113"/>
      <c r="Z114" s="117">
        <f t="shared" ref="Z114:Z123" si="49">ABS((T114*($T$74+$T$78)))+ABS(X114)+IF(U114&lt;0,ABS(U114*($T$72/2)))</f>
        <v>0</v>
      </c>
      <c r="AA114" s="116">
        <f t="shared" ref="AA114:AA121" si="50">$T$75*($T$72/2)+$T$79*$T$78*$T$72*$T$73*($T$72/2)+IF(U114&gt;0, ABS(U114*$T$72/2),0)</f>
        <v>70560</v>
      </c>
      <c r="AB114" s="115" t="e">
        <f t="shared" ref="AB114:AB135" si="51">AA114/Z114</f>
        <v>#DIV/0!</v>
      </c>
      <c r="AC114" s="110">
        <f t="shared" ref="AC114:AC135" si="52">($T$82*(U114+$T$75*R114))</f>
        <v>5950.7999999999993</v>
      </c>
      <c r="AD114" s="114" t="str">
        <f t="shared" ref="AD114:AD123" si="53">IFERROR(AC114/SQRT(T114^2+V114^2),"")</f>
        <v/>
      </c>
      <c r="AF114" s="8">
        <v>1</v>
      </c>
      <c r="AG114" s="108">
        <v>1</v>
      </c>
      <c r="AH114" s="118" t="s">
        <v>0</v>
      </c>
      <c r="AI114" s="21">
        <f>'Post Reactions '!P143</f>
        <v>0</v>
      </c>
      <c r="AJ114" s="21">
        <f>'Post Reactions '!Q143</f>
        <v>0</v>
      </c>
      <c r="AK114" s="21">
        <f>'Post Reactions '!R143</f>
        <v>0</v>
      </c>
      <c r="AL114" s="21">
        <f>'Post Reactions '!S143/12</f>
        <v>0</v>
      </c>
      <c r="AM114" s="22">
        <f>'Post Reactions '!T143/12</f>
        <v>0</v>
      </c>
      <c r="AN114" s="113"/>
      <c r="AO114" s="117">
        <f t="shared" ref="AO114:AO123" si="54">ABS((AI114*($AI$74+$AI$78)))+ABS(AM114)+IF(AJ114&lt;0,ABS(AJ114*($AI$72/2)))</f>
        <v>0</v>
      </c>
      <c r="AP114" s="116">
        <f t="shared" ref="AP114:AP121" si="55">$AI$75*($AI$72/2)+$AI$79*$AI$78*$AI$72*$AI$73*($AI$72/2)+IF(AJ114&gt;0, ABS(AJ114*$AI$72/2),0)</f>
        <v>70560</v>
      </c>
      <c r="AQ114" s="115" t="e">
        <f t="shared" ref="AQ114:AQ135" si="56">AP114/AO114</f>
        <v>#DIV/0!</v>
      </c>
      <c r="AR114" s="110">
        <f t="shared" ref="AR114:AR135" si="57">($AI$82*(AJ114+$AI$75*AG114))</f>
        <v>5950.7999999999993</v>
      </c>
      <c r="AS114" s="114" t="str">
        <f t="shared" ref="AS114:AS123" si="58">IFERROR(AR114/SQRT(AI114^2+AK114^2),"")</f>
        <v/>
      </c>
      <c r="AU114" s="8">
        <v>1</v>
      </c>
      <c r="AV114" s="108">
        <v>1</v>
      </c>
      <c r="AW114" s="118" t="s">
        <v>0</v>
      </c>
      <c r="AX114" s="21">
        <f>'Post Reactions '!P196</f>
        <v>0</v>
      </c>
      <c r="AY114" s="21">
        <f>'Post Reactions '!Q196</f>
        <v>0</v>
      </c>
      <c r="AZ114" s="21">
        <f>'Post Reactions '!R196</f>
        <v>0</v>
      </c>
      <c r="BA114" s="21">
        <f>'Post Reactions '!S196/12</f>
        <v>0</v>
      </c>
      <c r="BB114" s="22">
        <f>'Post Reactions '!T196/12</f>
        <v>0</v>
      </c>
      <c r="BC114" s="113"/>
      <c r="BD114" s="117">
        <f t="shared" ref="BD114:BD123" si="59">ABS((AX114*($AX$74+$AX$78)))+ABS(BB114)+IF(AY114&lt;0,ABS(AY114*($AX$72/2)))</f>
        <v>0</v>
      </c>
      <c r="BE114" s="116">
        <f t="shared" ref="BE114:BE121" si="60">$AX$75*($AX$72/2)+$AX$79*$AX$78*$AX$72*$AX$73*($AX$72/2)+IF(AY114&gt;0, ABS(AY114*$AX$72/2),0)</f>
        <v>70560</v>
      </c>
      <c r="BF114" s="115" t="e">
        <f t="shared" ref="BF114:BF135" si="61">BE114/BD114</f>
        <v>#DIV/0!</v>
      </c>
      <c r="BG114" s="110">
        <f t="shared" ref="BG114:BG135" si="62">($AX$82*(AY114+$AX$75*AV114))</f>
        <v>5950.7999999999993</v>
      </c>
      <c r="BH114" s="114" t="str">
        <f t="shared" ref="BH114:BH123" si="63">IFERROR(BG114/SQRT(AX114^2+AZ114^2),"")</f>
        <v/>
      </c>
    </row>
    <row r="115" spans="1:60" x14ac:dyDescent="0.25">
      <c r="A115" s="8">
        <v>2</v>
      </c>
      <c r="B115" s="108">
        <v>1</v>
      </c>
      <c r="C115" s="112" t="s">
        <v>20</v>
      </c>
      <c r="D115" s="23">
        <f>'Post Reactions '!P38</f>
        <v>0</v>
      </c>
      <c r="E115" s="23">
        <f>'Post Reactions '!Q38</f>
        <v>0</v>
      </c>
      <c r="F115" s="23">
        <f>'Post Reactions '!R38</f>
        <v>0</v>
      </c>
      <c r="G115" s="23">
        <f>'Post Reactions '!S38/12</f>
        <v>0</v>
      </c>
      <c r="H115" s="24">
        <f>'Post Reactions '!T38/12</f>
        <v>0</v>
      </c>
      <c r="I115" s="113"/>
      <c r="J115" s="30">
        <f t="shared" si="44"/>
        <v>0</v>
      </c>
      <c r="K115" s="23">
        <f t="shared" si="45"/>
        <v>70560</v>
      </c>
      <c r="L115" s="111" t="e">
        <f t="shared" si="46"/>
        <v>#DIV/0!</v>
      </c>
      <c r="M115" s="110">
        <f t="shared" si="47"/>
        <v>5950.7999999999993</v>
      </c>
      <c r="N115" s="109" t="str">
        <f t="shared" si="48"/>
        <v/>
      </c>
      <c r="Q115" s="8">
        <v>2</v>
      </c>
      <c r="R115" s="108">
        <v>1</v>
      </c>
      <c r="S115" s="112" t="s">
        <v>20</v>
      </c>
      <c r="T115" s="23">
        <f>'Post Reactions '!P91</f>
        <v>0</v>
      </c>
      <c r="U115" s="23">
        <f>'Post Reactions '!Q91</f>
        <v>0</v>
      </c>
      <c r="V115" s="23">
        <f>'Post Reactions '!R91</f>
        <v>0</v>
      </c>
      <c r="W115" s="23">
        <f>'Post Reactions '!S91/12</f>
        <v>0</v>
      </c>
      <c r="X115" s="24">
        <f>'Post Reactions '!T91/12</f>
        <v>0</v>
      </c>
      <c r="Y115" s="113"/>
      <c r="Z115" s="30">
        <f t="shared" si="49"/>
        <v>0</v>
      </c>
      <c r="AA115" s="23">
        <f t="shared" si="50"/>
        <v>70560</v>
      </c>
      <c r="AB115" s="111" t="e">
        <f t="shared" si="51"/>
        <v>#DIV/0!</v>
      </c>
      <c r="AC115" s="110">
        <f t="shared" si="52"/>
        <v>5950.7999999999993</v>
      </c>
      <c r="AD115" s="109" t="str">
        <f t="shared" si="53"/>
        <v/>
      </c>
      <c r="AF115" s="8">
        <v>2</v>
      </c>
      <c r="AG115" s="108">
        <v>1</v>
      </c>
      <c r="AH115" s="112" t="s">
        <v>20</v>
      </c>
      <c r="AI115" s="23">
        <f>'Post Reactions '!P144</f>
        <v>0</v>
      </c>
      <c r="AJ115" s="23">
        <f>'Post Reactions '!Q144</f>
        <v>0</v>
      </c>
      <c r="AK115" s="23">
        <f>'Post Reactions '!R144</f>
        <v>0</v>
      </c>
      <c r="AL115" s="23">
        <f>'Post Reactions '!S144/12</f>
        <v>0</v>
      </c>
      <c r="AM115" s="24">
        <f>'Post Reactions '!T144/12</f>
        <v>0</v>
      </c>
      <c r="AN115" s="113"/>
      <c r="AO115" s="30">
        <f t="shared" si="54"/>
        <v>0</v>
      </c>
      <c r="AP115" s="23">
        <f t="shared" si="55"/>
        <v>70560</v>
      </c>
      <c r="AQ115" s="111" t="e">
        <f t="shared" si="56"/>
        <v>#DIV/0!</v>
      </c>
      <c r="AR115" s="110">
        <f t="shared" si="57"/>
        <v>5950.7999999999993</v>
      </c>
      <c r="AS115" s="109" t="str">
        <f t="shared" si="58"/>
        <v/>
      </c>
      <c r="AU115" s="8">
        <v>2</v>
      </c>
      <c r="AV115" s="108">
        <v>1</v>
      </c>
      <c r="AW115" s="112" t="s">
        <v>20</v>
      </c>
      <c r="AX115" s="23">
        <f>'Post Reactions '!P197</f>
        <v>0</v>
      </c>
      <c r="AY115" s="23">
        <f>'Post Reactions '!Q197</f>
        <v>0</v>
      </c>
      <c r="AZ115" s="23">
        <f>'Post Reactions '!R197</f>
        <v>0</v>
      </c>
      <c r="BA115" s="23">
        <f>'Post Reactions '!S197/12</f>
        <v>0</v>
      </c>
      <c r="BB115" s="24">
        <f>'Post Reactions '!T197/12</f>
        <v>0</v>
      </c>
      <c r="BC115" s="113"/>
      <c r="BD115" s="30">
        <f t="shared" si="59"/>
        <v>0</v>
      </c>
      <c r="BE115" s="23">
        <f t="shared" si="60"/>
        <v>70560</v>
      </c>
      <c r="BF115" s="111" t="e">
        <f t="shared" si="61"/>
        <v>#DIV/0!</v>
      </c>
      <c r="BG115" s="110">
        <f t="shared" si="62"/>
        <v>5950.7999999999993</v>
      </c>
      <c r="BH115" s="109" t="str">
        <f t="shared" si="63"/>
        <v/>
      </c>
    </row>
    <row r="116" spans="1:60" x14ac:dyDescent="0.25">
      <c r="A116" s="8">
        <v>3</v>
      </c>
      <c r="B116" s="108">
        <v>1</v>
      </c>
      <c r="C116" s="112" t="s">
        <v>21</v>
      </c>
      <c r="D116" s="23">
        <f>'Post Reactions '!P39</f>
        <v>0</v>
      </c>
      <c r="E116" s="23">
        <f>'Post Reactions '!Q39</f>
        <v>0</v>
      </c>
      <c r="F116" s="23">
        <f>'Post Reactions '!R39</f>
        <v>0</v>
      </c>
      <c r="G116" s="23">
        <f>'Post Reactions '!S39/12</f>
        <v>0</v>
      </c>
      <c r="H116" s="24">
        <f>'Post Reactions '!T39/12</f>
        <v>0</v>
      </c>
      <c r="I116" s="113"/>
      <c r="J116" s="30">
        <f t="shared" si="44"/>
        <v>0</v>
      </c>
      <c r="K116" s="23">
        <f t="shared" si="45"/>
        <v>70560</v>
      </c>
      <c r="L116" s="111" t="e">
        <f t="shared" si="46"/>
        <v>#DIV/0!</v>
      </c>
      <c r="M116" s="110">
        <f t="shared" si="47"/>
        <v>5950.7999999999993</v>
      </c>
      <c r="N116" s="109" t="str">
        <f t="shared" si="48"/>
        <v/>
      </c>
      <c r="Q116" s="8">
        <v>3</v>
      </c>
      <c r="R116" s="108">
        <v>1</v>
      </c>
      <c r="S116" s="112" t="s">
        <v>21</v>
      </c>
      <c r="T116" s="23">
        <f>'Post Reactions '!P92</f>
        <v>0</v>
      </c>
      <c r="U116" s="23">
        <f>'Post Reactions '!Q92</f>
        <v>0</v>
      </c>
      <c r="V116" s="23">
        <f>'Post Reactions '!R92</f>
        <v>0</v>
      </c>
      <c r="W116" s="23">
        <f>'Post Reactions '!S92/12</f>
        <v>0</v>
      </c>
      <c r="X116" s="24">
        <f>'Post Reactions '!T92/12</f>
        <v>0</v>
      </c>
      <c r="Y116" s="113"/>
      <c r="Z116" s="30">
        <f t="shared" si="49"/>
        <v>0</v>
      </c>
      <c r="AA116" s="23">
        <f t="shared" si="50"/>
        <v>70560</v>
      </c>
      <c r="AB116" s="111" t="e">
        <f t="shared" si="51"/>
        <v>#DIV/0!</v>
      </c>
      <c r="AC116" s="110">
        <f t="shared" si="52"/>
        <v>5950.7999999999993</v>
      </c>
      <c r="AD116" s="109" t="str">
        <f t="shared" si="53"/>
        <v/>
      </c>
      <c r="AF116" s="8">
        <v>3</v>
      </c>
      <c r="AG116" s="108">
        <v>1</v>
      </c>
      <c r="AH116" s="112" t="s">
        <v>21</v>
      </c>
      <c r="AI116" s="23">
        <f>'Post Reactions '!P145</f>
        <v>0</v>
      </c>
      <c r="AJ116" s="23">
        <f>'Post Reactions '!Q145</f>
        <v>0</v>
      </c>
      <c r="AK116" s="23">
        <f>'Post Reactions '!R145</f>
        <v>0</v>
      </c>
      <c r="AL116" s="23">
        <f>'Post Reactions '!S145/12</f>
        <v>0</v>
      </c>
      <c r="AM116" s="24">
        <f>'Post Reactions '!T145/12</f>
        <v>0</v>
      </c>
      <c r="AN116" s="113"/>
      <c r="AO116" s="30">
        <f t="shared" si="54"/>
        <v>0</v>
      </c>
      <c r="AP116" s="23">
        <f t="shared" si="55"/>
        <v>70560</v>
      </c>
      <c r="AQ116" s="111" t="e">
        <f t="shared" si="56"/>
        <v>#DIV/0!</v>
      </c>
      <c r="AR116" s="110">
        <f t="shared" si="57"/>
        <v>5950.7999999999993</v>
      </c>
      <c r="AS116" s="109" t="str">
        <f t="shared" si="58"/>
        <v/>
      </c>
      <c r="AU116" s="8">
        <v>3</v>
      </c>
      <c r="AV116" s="108">
        <v>1</v>
      </c>
      <c r="AW116" s="112" t="s">
        <v>21</v>
      </c>
      <c r="AX116" s="23">
        <f>'Post Reactions '!P198</f>
        <v>0</v>
      </c>
      <c r="AY116" s="23">
        <f>'Post Reactions '!Q198</f>
        <v>0</v>
      </c>
      <c r="AZ116" s="23">
        <f>'Post Reactions '!R198</f>
        <v>0</v>
      </c>
      <c r="BA116" s="23">
        <f>'Post Reactions '!S198/12</f>
        <v>0</v>
      </c>
      <c r="BB116" s="24">
        <f>'Post Reactions '!T198/12</f>
        <v>0</v>
      </c>
      <c r="BC116" s="113"/>
      <c r="BD116" s="30">
        <f t="shared" si="59"/>
        <v>0</v>
      </c>
      <c r="BE116" s="23">
        <f t="shared" si="60"/>
        <v>70560</v>
      </c>
      <c r="BF116" s="111" t="e">
        <f t="shared" si="61"/>
        <v>#DIV/0!</v>
      </c>
      <c r="BG116" s="110">
        <f t="shared" si="62"/>
        <v>5950.7999999999993</v>
      </c>
      <c r="BH116" s="109" t="str">
        <f t="shared" si="63"/>
        <v/>
      </c>
    </row>
    <row r="117" spans="1:60" x14ac:dyDescent="0.25">
      <c r="A117" s="8">
        <v>4</v>
      </c>
      <c r="B117" s="108">
        <v>1</v>
      </c>
      <c r="C117" s="112" t="s">
        <v>22</v>
      </c>
      <c r="D117" s="23">
        <f>'Post Reactions '!P40</f>
        <v>0</v>
      </c>
      <c r="E117" s="23">
        <f>'Post Reactions '!Q40</f>
        <v>0</v>
      </c>
      <c r="F117" s="23">
        <f>'Post Reactions '!R40</f>
        <v>0</v>
      </c>
      <c r="G117" s="23">
        <f>'Post Reactions '!S40/12</f>
        <v>0</v>
      </c>
      <c r="H117" s="24">
        <f>'Post Reactions '!T40/12</f>
        <v>0</v>
      </c>
      <c r="I117" s="113"/>
      <c r="J117" s="30">
        <f t="shared" si="44"/>
        <v>0</v>
      </c>
      <c r="K117" s="23">
        <f t="shared" si="45"/>
        <v>70560</v>
      </c>
      <c r="L117" s="111" t="e">
        <f t="shared" si="46"/>
        <v>#DIV/0!</v>
      </c>
      <c r="M117" s="110">
        <f t="shared" si="47"/>
        <v>5950.7999999999993</v>
      </c>
      <c r="N117" s="109" t="str">
        <f t="shared" si="48"/>
        <v/>
      </c>
      <c r="Q117" s="8">
        <v>4</v>
      </c>
      <c r="R117" s="108">
        <v>1</v>
      </c>
      <c r="S117" s="112" t="s">
        <v>22</v>
      </c>
      <c r="T117" s="23">
        <f>'Post Reactions '!P93</f>
        <v>0</v>
      </c>
      <c r="U117" s="23">
        <f>'Post Reactions '!Q93</f>
        <v>0</v>
      </c>
      <c r="V117" s="23">
        <f>'Post Reactions '!R93</f>
        <v>0</v>
      </c>
      <c r="W117" s="23">
        <f>'Post Reactions '!S93/12</f>
        <v>0</v>
      </c>
      <c r="X117" s="24">
        <f>'Post Reactions '!T93/12</f>
        <v>0</v>
      </c>
      <c r="Y117" s="113"/>
      <c r="Z117" s="30">
        <f t="shared" si="49"/>
        <v>0</v>
      </c>
      <c r="AA117" s="23">
        <f t="shared" si="50"/>
        <v>70560</v>
      </c>
      <c r="AB117" s="111" t="e">
        <f t="shared" si="51"/>
        <v>#DIV/0!</v>
      </c>
      <c r="AC117" s="110">
        <f t="shared" si="52"/>
        <v>5950.7999999999993</v>
      </c>
      <c r="AD117" s="109" t="str">
        <f t="shared" si="53"/>
        <v/>
      </c>
      <c r="AF117" s="8">
        <v>4</v>
      </c>
      <c r="AG117" s="108">
        <v>1</v>
      </c>
      <c r="AH117" s="112" t="s">
        <v>22</v>
      </c>
      <c r="AI117" s="23">
        <f>'Post Reactions '!P146</f>
        <v>0</v>
      </c>
      <c r="AJ117" s="23">
        <f>'Post Reactions '!Q146</f>
        <v>0</v>
      </c>
      <c r="AK117" s="23">
        <f>'Post Reactions '!R146</f>
        <v>0</v>
      </c>
      <c r="AL117" s="23">
        <f>'Post Reactions '!S146/12</f>
        <v>0</v>
      </c>
      <c r="AM117" s="24">
        <f>'Post Reactions '!T146/12</f>
        <v>0</v>
      </c>
      <c r="AN117" s="113"/>
      <c r="AO117" s="30">
        <f t="shared" si="54"/>
        <v>0</v>
      </c>
      <c r="AP117" s="23">
        <f t="shared" si="55"/>
        <v>70560</v>
      </c>
      <c r="AQ117" s="111" t="e">
        <f t="shared" si="56"/>
        <v>#DIV/0!</v>
      </c>
      <c r="AR117" s="110">
        <f t="shared" si="57"/>
        <v>5950.7999999999993</v>
      </c>
      <c r="AS117" s="109" t="str">
        <f t="shared" si="58"/>
        <v/>
      </c>
      <c r="AU117" s="8">
        <v>4</v>
      </c>
      <c r="AV117" s="108">
        <v>1</v>
      </c>
      <c r="AW117" s="112" t="s">
        <v>22</v>
      </c>
      <c r="AX117" s="23">
        <f>'Post Reactions '!P199</f>
        <v>0</v>
      </c>
      <c r="AY117" s="23">
        <f>'Post Reactions '!Q199</f>
        <v>0</v>
      </c>
      <c r="AZ117" s="23">
        <f>'Post Reactions '!R199</f>
        <v>0</v>
      </c>
      <c r="BA117" s="23">
        <f>'Post Reactions '!S199/12</f>
        <v>0</v>
      </c>
      <c r="BB117" s="24">
        <f>'Post Reactions '!T199/12</f>
        <v>0</v>
      </c>
      <c r="BC117" s="113"/>
      <c r="BD117" s="30">
        <f t="shared" si="59"/>
        <v>0</v>
      </c>
      <c r="BE117" s="23">
        <f t="shared" si="60"/>
        <v>70560</v>
      </c>
      <c r="BF117" s="111" t="e">
        <f t="shared" si="61"/>
        <v>#DIV/0!</v>
      </c>
      <c r="BG117" s="110">
        <f t="shared" si="62"/>
        <v>5950.7999999999993</v>
      </c>
      <c r="BH117" s="109" t="str">
        <f t="shared" si="63"/>
        <v/>
      </c>
    </row>
    <row r="118" spans="1:60" x14ac:dyDescent="0.25">
      <c r="A118" s="8">
        <v>5</v>
      </c>
      <c r="B118" s="108">
        <v>1</v>
      </c>
      <c r="C118" s="112" t="s">
        <v>35</v>
      </c>
      <c r="D118" s="23">
        <f>'Post Reactions '!P41</f>
        <v>0</v>
      </c>
      <c r="E118" s="23">
        <f>'Post Reactions '!Q41</f>
        <v>0</v>
      </c>
      <c r="F118" s="23">
        <f>'Post Reactions '!R41</f>
        <v>0</v>
      </c>
      <c r="G118" s="23">
        <f>'Post Reactions '!S41/12</f>
        <v>0</v>
      </c>
      <c r="H118" s="24">
        <f>'Post Reactions '!T41/12</f>
        <v>0</v>
      </c>
      <c r="I118" s="113"/>
      <c r="J118" s="30">
        <f t="shared" si="44"/>
        <v>0</v>
      </c>
      <c r="K118" s="23">
        <f t="shared" si="45"/>
        <v>70560</v>
      </c>
      <c r="L118" s="111" t="e">
        <f t="shared" si="46"/>
        <v>#DIV/0!</v>
      </c>
      <c r="M118" s="110">
        <f t="shared" si="47"/>
        <v>5950.7999999999993</v>
      </c>
      <c r="N118" s="109" t="str">
        <f t="shared" si="48"/>
        <v/>
      </c>
      <c r="Q118" s="8">
        <v>5</v>
      </c>
      <c r="R118" s="108">
        <v>1</v>
      </c>
      <c r="S118" s="112" t="s">
        <v>35</v>
      </c>
      <c r="T118" s="23">
        <f>'Post Reactions '!P94</f>
        <v>0</v>
      </c>
      <c r="U118" s="23">
        <f>'Post Reactions '!Q94</f>
        <v>0</v>
      </c>
      <c r="V118" s="23">
        <f>'Post Reactions '!R94</f>
        <v>0</v>
      </c>
      <c r="W118" s="23">
        <f>'Post Reactions '!S94/12</f>
        <v>0</v>
      </c>
      <c r="X118" s="24">
        <f>'Post Reactions '!T94/12</f>
        <v>0</v>
      </c>
      <c r="Y118" s="113"/>
      <c r="Z118" s="30">
        <f t="shared" si="49"/>
        <v>0</v>
      </c>
      <c r="AA118" s="23">
        <f t="shared" si="50"/>
        <v>70560</v>
      </c>
      <c r="AB118" s="111" t="e">
        <f t="shared" si="51"/>
        <v>#DIV/0!</v>
      </c>
      <c r="AC118" s="110">
        <f t="shared" si="52"/>
        <v>5950.7999999999993</v>
      </c>
      <c r="AD118" s="109" t="str">
        <f t="shared" si="53"/>
        <v/>
      </c>
      <c r="AF118" s="8">
        <v>5</v>
      </c>
      <c r="AG118" s="108">
        <v>1</v>
      </c>
      <c r="AH118" s="112" t="s">
        <v>35</v>
      </c>
      <c r="AI118" s="23">
        <f>'Post Reactions '!P147</f>
        <v>0</v>
      </c>
      <c r="AJ118" s="23">
        <f>'Post Reactions '!Q147</f>
        <v>0</v>
      </c>
      <c r="AK118" s="23">
        <f>'Post Reactions '!R147</f>
        <v>0</v>
      </c>
      <c r="AL118" s="23">
        <f>'Post Reactions '!S147/12</f>
        <v>0</v>
      </c>
      <c r="AM118" s="24">
        <f>'Post Reactions '!T147/12</f>
        <v>0</v>
      </c>
      <c r="AN118" s="113"/>
      <c r="AO118" s="30">
        <f t="shared" si="54"/>
        <v>0</v>
      </c>
      <c r="AP118" s="23">
        <f t="shared" si="55"/>
        <v>70560</v>
      </c>
      <c r="AQ118" s="111" t="e">
        <f t="shared" si="56"/>
        <v>#DIV/0!</v>
      </c>
      <c r="AR118" s="110">
        <f t="shared" si="57"/>
        <v>5950.7999999999993</v>
      </c>
      <c r="AS118" s="109" t="str">
        <f t="shared" si="58"/>
        <v/>
      </c>
      <c r="AU118" s="8">
        <v>5</v>
      </c>
      <c r="AV118" s="108">
        <v>1</v>
      </c>
      <c r="AW118" s="112" t="s">
        <v>35</v>
      </c>
      <c r="AX118" s="23">
        <f>'Post Reactions '!P200</f>
        <v>0</v>
      </c>
      <c r="AY118" s="23">
        <f>'Post Reactions '!Q200</f>
        <v>0</v>
      </c>
      <c r="AZ118" s="23">
        <f>'Post Reactions '!R200</f>
        <v>0</v>
      </c>
      <c r="BA118" s="23">
        <f>'Post Reactions '!S200/12</f>
        <v>0</v>
      </c>
      <c r="BB118" s="24">
        <f>'Post Reactions '!T200/12</f>
        <v>0</v>
      </c>
      <c r="BC118" s="113"/>
      <c r="BD118" s="30">
        <f t="shared" si="59"/>
        <v>0</v>
      </c>
      <c r="BE118" s="23">
        <f t="shared" si="60"/>
        <v>70560</v>
      </c>
      <c r="BF118" s="111" t="e">
        <f t="shared" si="61"/>
        <v>#DIV/0!</v>
      </c>
      <c r="BG118" s="110">
        <f t="shared" si="62"/>
        <v>5950.7999999999993</v>
      </c>
      <c r="BH118" s="109" t="str">
        <f t="shared" si="63"/>
        <v/>
      </c>
    </row>
    <row r="119" spans="1:60" x14ac:dyDescent="0.25">
      <c r="A119" s="8">
        <v>6</v>
      </c>
      <c r="B119" s="108">
        <v>1</v>
      </c>
      <c r="C119" s="112" t="s">
        <v>36</v>
      </c>
      <c r="D119" s="23">
        <f>'Post Reactions '!P42</f>
        <v>0</v>
      </c>
      <c r="E119" s="23">
        <f>'Post Reactions '!Q42</f>
        <v>0</v>
      </c>
      <c r="F119" s="23">
        <f>'Post Reactions '!R42</f>
        <v>0</v>
      </c>
      <c r="G119" s="23">
        <f>'Post Reactions '!S42/12</f>
        <v>0</v>
      </c>
      <c r="H119" s="24">
        <f>'Post Reactions '!T42/12</f>
        <v>0</v>
      </c>
      <c r="I119" s="113"/>
      <c r="J119" s="30">
        <f t="shared" si="44"/>
        <v>0</v>
      </c>
      <c r="K119" s="23">
        <f t="shared" si="45"/>
        <v>70560</v>
      </c>
      <c r="L119" s="111" t="e">
        <f t="shared" si="46"/>
        <v>#DIV/0!</v>
      </c>
      <c r="M119" s="110">
        <f t="shared" si="47"/>
        <v>5950.7999999999993</v>
      </c>
      <c r="N119" s="109" t="str">
        <f t="shared" si="48"/>
        <v/>
      </c>
      <c r="Q119" s="8">
        <v>6</v>
      </c>
      <c r="R119" s="108">
        <v>1</v>
      </c>
      <c r="S119" s="112" t="s">
        <v>36</v>
      </c>
      <c r="T119" s="23">
        <f>'Post Reactions '!P95</f>
        <v>0</v>
      </c>
      <c r="U119" s="23">
        <f>'Post Reactions '!Q95</f>
        <v>0</v>
      </c>
      <c r="V119" s="23">
        <f>'Post Reactions '!R95</f>
        <v>0</v>
      </c>
      <c r="W119" s="23">
        <f>'Post Reactions '!S95/12</f>
        <v>0</v>
      </c>
      <c r="X119" s="24">
        <f>'Post Reactions '!T95/12</f>
        <v>0</v>
      </c>
      <c r="Y119" s="113"/>
      <c r="Z119" s="30">
        <f t="shared" si="49"/>
        <v>0</v>
      </c>
      <c r="AA119" s="23">
        <f t="shared" si="50"/>
        <v>70560</v>
      </c>
      <c r="AB119" s="111" t="e">
        <f t="shared" si="51"/>
        <v>#DIV/0!</v>
      </c>
      <c r="AC119" s="110">
        <f t="shared" si="52"/>
        <v>5950.7999999999993</v>
      </c>
      <c r="AD119" s="109" t="str">
        <f t="shared" si="53"/>
        <v/>
      </c>
      <c r="AF119" s="8">
        <v>6</v>
      </c>
      <c r="AG119" s="108">
        <v>1</v>
      </c>
      <c r="AH119" s="112" t="s">
        <v>36</v>
      </c>
      <c r="AI119" s="23">
        <f>'Post Reactions '!P148</f>
        <v>0</v>
      </c>
      <c r="AJ119" s="23">
        <f>'Post Reactions '!Q148</f>
        <v>0</v>
      </c>
      <c r="AK119" s="23">
        <f>'Post Reactions '!R148</f>
        <v>0</v>
      </c>
      <c r="AL119" s="23">
        <f>'Post Reactions '!S148/12</f>
        <v>0</v>
      </c>
      <c r="AM119" s="24">
        <f>'Post Reactions '!T148/12</f>
        <v>0</v>
      </c>
      <c r="AN119" s="113"/>
      <c r="AO119" s="30">
        <f t="shared" si="54"/>
        <v>0</v>
      </c>
      <c r="AP119" s="23">
        <f t="shared" si="55"/>
        <v>70560</v>
      </c>
      <c r="AQ119" s="111" t="e">
        <f t="shared" si="56"/>
        <v>#DIV/0!</v>
      </c>
      <c r="AR119" s="110">
        <f t="shared" si="57"/>
        <v>5950.7999999999993</v>
      </c>
      <c r="AS119" s="109" t="str">
        <f t="shared" si="58"/>
        <v/>
      </c>
      <c r="AU119" s="8">
        <v>6</v>
      </c>
      <c r="AV119" s="108">
        <v>1</v>
      </c>
      <c r="AW119" s="112" t="s">
        <v>36</v>
      </c>
      <c r="AX119" s="23">
        <f>'Post Reactions '!P201</f>
        <v>0</v>
      </c>
      <c r="AY119" s="23">
        <f>'Post Reactions '!Q201</f>
        <v>0</v>
      </c>
      <c r="AZ119" s="23">
        <f>'Post Reactions '!R201</f>
        <v>0</v>
      </c>
      <c r="BA119" s="23">
        <f>'Post Reactions '!S201/12</f>
        <v>0</v>
      </c>
      <c r="BB119" s="24">
        <f>'Post Reactions '!T201/12</f>
        <v>0</v>
      </c>
      <c r="BC119" s="113"/>
      <c r="BD119" s="30">
        <f t="shared" si="59"/>
        <v>0</v>
      </c>
      <c r="BE119" s="23">
        <f t="shared" si="60"/>
        <v>70560</v>
      </c>
      <c r="BF119" s="111" t="e">
        <f t="shared" si="61"/>
        <v>#DIV/0!</v>
      </c>
      <c r="BG119" s="110">
        <f t="shared" si="62"/>
        <v>5950.7999999999993</v>
      </c>
      <c r="BH119" s="109" t="str">
        <f t="shared" si="63"/>
        <v/>
      </c>
    </row>
    <row r="120" spans="1:60" x14ac:dyDescent="0.25">
      <c r="A120" s="8">
        <v>7</v>
      </c>
      <c r="B120" s="108">
        <v>1</v>
      </c>
      <c r="C120" s="112" t="s">
        <v>33</v>
      </c>
      <c r="D120" s="23">
        <f>'Post Reactions '!P43</f>
        <v>0</v>
      </c>
      <c r="E120" s="23">
        <f>'Post Reactions '!Q43</f>
        <v>0</v>
      </c>
      <c r="F120" s="23">
        <f>'Post Reactions '!R43</f>
        <v>0</v>
      </c>
      <c r="G120" s="23">
        <f>'Post Reactions '!S43/12</f>
        <v>0</v>
      </c>
      <c r="H120" s="24">
        <f>'Post Reactions '!T43/12</f>
        <v>0</v>
      </c>
      <c r="I120" s="113"/>
      <c r="J120" s="30">
        <f t="shared" si="44"/>
        <v>0</v>
      </c>
      <c r="K120" s="23">
        <f t="shared" si="45"/>
        <v>70560</v>
      </c>
      <c r="L120" s="111" t="e">
        <f t="shared" si="46"/>
        <v>#DIV/0!</v>
      </c>
      <c r="M120" s="110">
        <f t="shared" si="47"/>
        <v>5950.7999999999993</v>
      </c>
      <c r="N120" s="109" t="str">
        <f t="shared" si="48"/>
        <v/>
      </c>
      <c r="Q120" s="8">
        <v>7</v>
      </c>
      <c r="R120" s="108">
        <v>1</v>
      </c>
      <c r="S120" s="112" t="s">
        <v>33</v>
      </c>
      <c r="T120" s="23">
        <f>'Post Reactions '!P96</f>
        <v>0</v>
      </c>
      <c r="U120" s="23">
        <f>'Post Reactions '!Q96</f>
        <v>0</v>
      </c>
      <c r="V120" s="23">
        <f>'Post Reactions '!R96</f>
        <v>0</v>
      </c>
      <c r="W120" s="23">
        <f>'Post Reactions '!S96/12</f>
        <v>0</v>
      </c>
      <c r="X120" s="24">
        <f>'Post Reactions '!T96/12</f>
        <v>0</v>
      </c>
      <c r="Y120" s="113"/>
      <c r="Z120" s="30">
        <f t="shared" si="49"/>
        <v>0</v>
      </c>
      <c r="AA120" s="23">
        <f t="shared" si="50"/>
        <v>70560</v>
      </c>
      <c r="AB120" s="111" t="e">
        <f t="shared" si="51"/>
        <v>#DIV/0!</v>
      </c>
      <c r="AC120" s="110">
        <f t="shared" si="52"/>
        <v>5950.7999999999993</v>
      </c>
      <c r="AD120" s="109" t="str">
        <f t="shared" si="53"/>
        <v/>
      </c>
      <c r="AF120" s="8">
        <v>7</v>
      </c>
      <c r="AG120" s="108">
        <v>1</v>
      </c>
      <c r="AH120" s="112" t="s">
        <v>33</v>
      </c>
      <c r="AI120" s="23">
        <f>'Post Reactions '!P149</f>
        <v>0</v>
      </c>
      <c r="AJ120" s="23">
        <f>'Post Reactions '!Q149</f>
        <v>0</v>
      </c>
      <c r="AK120" s="23">
        <f>'Post Reactions '!R149</f>
        <v>0</v>
      </c>
      <c r="AL120" s="23">
        <f>'Post Reactions '!S149/12</f>
        <v>0</v>
      </c>
      <c r="AM120" s="24">
        <f>'Post Reactions '!T149/12</f>
        <v>0</v>
      </c>
      <c r="AN120" s="113"/>
      <c r="AO120" s="30">
        <f t="shared" si="54"/>
        <v>0</v>
      </c>
      <c r="AP120" s="23">
        <f t="shared" si="55"/>
        <v>70560</v>
      </c>
      <c r="AQ120" s="111" t="e">
        <f t="shared" si="56"/>
        <v>#DIV/0!</v>
      </c>
      <c r="AR120" s="110">
        <f t="shared" si="57"/>
        <v>5950.7999999999993</v>
      </c>
      <c r="AS120" s="109" t="str">
        <f t="shared" si="58"/>
        <v/>
      </c>
      <c r="AU120" s="8">
        <v>7</v>
      </c>
      <c r="AV120" s="108">
        <v>1</v>
      </c>
      <c r="AW120" s="112" t="s">
        <v>33</v>
      </c>
      <c r="AX120" s="23">
        <f>'Post Reactions '!P202</f>
        <v>0</v>
      </c>
      <c r="AY120" s="23">
        <f>'Post Reactions '!Q202</f>
        <v>0</v>
      </c>
      <c r="AZ120" s="23">
        <f>'Post Reactions '!R202</f>
        <v>0</v>
      </c>
      <c r="BA120" s="23">
        <f>'Post Reactions '!S202/12</f>
        <v>0</v>
      </c>
      <c r="BB120" s="24">
        <f>'Post Reactions '!T202/12</f>
        <v>0</v>
      </c>
      <c r="BC120" s="113"/>
      <c r="BD120" s="30">
        <f t="shared" si="59"/>
        <v>0</v>
      </c>
      <c r="BE120" s="23">
        <f t="shared" si="60"/>
        <v>70560</v>
      </c>
      <c r="BF120" s="111" t="e">
        <f t="shared" si="61"/>
        <v>#DIV/0!</v>
      </c>
      <c r="BG120" s="110">
        <f t="shared" si="62"/>
        <v>5950.7999999999993</v>
      </c>
      <c r="BH120" s="109" t="str">
        <f t="shared" si="63"/>
        <v/>
      </c>
    </row>
    <row r="121" spans="1:60" x14ac:dyDescent="0.25">
      <c r="A121" s="8">
        <v>8</v>
      </c>
      <c r="B121" s="108">
        <v>1</v>
      </c>
      <c r="C121" s="112" t="s">
        <v>34</v>
      </c>
      <c r="D121" s="23">
        <f>'Post Reactions '!P44</f>
        <v>0</v>
      </c>
      <c r="E121" s="23">
        <f>'Post Reactions '!Q44</f>
        <v>0</v>
      </c>
      <c r="F121" s="23">
        <f>'Post Reactions '!R44</f>
        <v>0</v>
      </c>
      <c r="G121" s="23">
        <f>'Post Reactions '!S44/12</f>
        <v>0</v>
      </c>
      <c r="H121" s="24">
        <f>'Post Reactions '!T44/12</f>
        <v>0</v>
      </c>
      <c r="I121" s="113"/>
      <c r="J121" s="30">
        <f t="shared" si="44"/>
        <v>0</v>
      </c>
      <c r="K121" s="23">
        <f t="shared" si="45"/>
        <v>70560</v>
      </c>
      <c r="L121" s="111" t="e">
        <f t="shared" si="46"/>
        <v>#DIV/0!</v>
      </c>
      <c r="M121" s="110">
        <f t="shared" si="47"/>
        <v>5950.7999999999993</v>
      </c>
      <c r="N121" s="109" t="str">
        <f t="shared" si="48"/>
        <v/>
      </c>
      <c r="Q121" s="8">
        <v>8</v>
      </c>
      <c r="R121" s="108">
        <v>1</v>
      </c>
      <c r="S121" s="112" t="s">
        <v>34</v>
      </c>
      <c r="T121" s="23">
        <f>'Post Reactions '!P97</f>
        <v>0</v>
      </c>
      <c r="U121" s="23">
        <f>'Post Reactions '!Q97</f>
        <v>0</v>
      </c>
      <c r="V121" s="23">
        <f>'Post Reactions '!R97</f>
        <v>0</v>
      </c>
      <c r="W121" s="23">
        <f>'Post Reactions '!S97/12</f>
        <v>0</v>
      </c>
      <c r="X121" s="24">
        <f>'Post Reactions '!T97/12</f>
        <v>0</v>
      </c>
      <c r="Y121" s="113"/>
      <c r="Z121" s="30">
        <f t="shared" si="49"/>
        <v>0</v>
      </c>
      <c r="AA121" s="23">
        <f t="shared" si="50"/>
        <v>70560</v>
      </c>
      <c r="AB121" s="111" t="e">
        <f t="shared" si="51"/>
        <v>#DIV/0!</v>
      </c>
      <c r="AC121" s="110">
        <f t="shared" si="52"/>
        <v>5950.7999999999993</v>
      </c>
      <c r="AD121" s="109" t="str">
        <f t="shared" si="53"/>
        <v/>
      </c>
      <c r="AF121" s="8">
        <v>8</v>
      </c>
      <c r="AG121" s="108">
        <v>1</v>
      </c>
      <c r="AH121" s="112" t="s">
        <v>34</v>
      </c>
      <c r="AI121" s="23">
        <f>'Post Reactions '!P150</f>
        <v>0</v>
      </c>
      <c r="AJ121" s="23">
        <f>'Post Reactions '!Q150</f>
        <v>0</v>
      </c>
      <c r="AK121" s="23">
        <f>'Post Reactions '!R150</f>
        <v>0</v>
      </c>
      <c r="AL121" s="23">
        <f>'Post Reactions '!S150/12</f>
        <v>0</v>
      </c>
      <c r="AM121" s="24">
        <f>'Post Reactions '!T150/12</f>
        <v>0</v>
      </c>
      <c r="AN121" s="113"/>
      <c r="AO121" s="30">
        <f t="shared" si="54"/>
        <v>0</v>
      </c>
      <c r="AP121" s="23">
        <f t="shared" si="55"/>
        <v>70560</v>
      </c>
      <c r="AQ121" s="111" t="e">
        <f t="shared" si="56"/>
        <v>#DIV/0!</v>
      </c>
      <c r="AR121" s="110">
        <f t="shared" si="57"/>
        <v>5950.7999999999993</v>
      </c>
      <c r="AS121" s="109" t="str">
        <f t="shared" si="58"/>
        <v/>
      </c>
      <c r="AU121" s="8">
        <v>8</v>
      </c>
      <c r="AV121" s="108">
        <v>1</v>
      </c>
      <c r="AW121" s="112" t="s">
        <v>34</v>
      </c>
      <c r="AX121" s="23">
        <f>'Post Reactions '!P203</f>
        <v>0</v>
      </c>
      <c r="AY121" s="23">
        <f>'Post Reactions '!Q203</f>
        <v>0</v>
      </c>
      <c r="AZ121" s="23">
        <f>'Post Reactions '!R203</f>
        <v>0</v>
      </c>
      <c r="BA121" s="23">
        <f>'Post Reactions '!S203/12</f>
        <v>0</v>
      </c>
      <c r="BB121" s="24">
        <f>'Post Reactions '!T203/12</f>
        <v>0</v>
      </c>
      <c r="BC121" s="113"/>
      <c r="BD121" s="30">
        <f t="shared" si="59"/>
        <v>0</v>
      </c>
      <c r="BE121" s="23">
        <f t="shared" si="60"/>
        <v>70560</v>
      </c>
      <c r="BF121" s="111" t="e">
        <f t="shared" si="61"/>
        <v>#DIV/0!</v>
      </c>
      <c r="BG121" s="110">
        <f t="shared" si="62"/>
        <v>5950.7999999999993</v>
      </c>
      <c r="BH121" s="109" t="str">
        <f t="shared" si="63"/>
        <v/>
      </c>
    </row>
    <row r="122" spans="1:60" x14ac:dyDescent="0.25">
      <c r="A122" s="8">
        <v>9</v>
      </c>
      <c r="B122" s="108">
        <v>0.6</v>
      </c>
      <c r="C122" s="112" t="s">
        <v>23</v>
      </c>
      <c r="D122" s="23">
        <f>'Post Reactions '!P45</f>
        <v>0</v>
      </c>
      <c r="E122" s="23">
        <f>'Post Reactions '!Q45</f>
        <v>0</v>
      </c>
      <c r="F122" s="23">
        <f>'Post Reactions '!R45</f>
        <v>0</v>
      </c>
      <c r="G122" s="23">
        <f>'Post Reactions '!S45/12</f>
        <v>0</v>
      </c>
      <c r="H122" s="24">
        <f>'Post Reactions '!T45/12</f>
        <v>0</v>
      </c>
      <c r="I122" s="113"/>
      <c r="J122" s="30">
        <f t="shared" si="44"/>
        <v>0</v>
      </c>
      <c r="K122" s="23">
        <f>0.6*$D$75*($D$72/2)+0.6*$D$79*$D$78*$D$72*$D$73*($D$72/2)+IF(E122&gt;0, ABS(E122*$D$72/2),0)</f>
        <v>42336</v>
      </c>
      <c r="L122" s="111" t="e">
        <f t="shared" si="46"/>
        <v>#DIV/0!</v>
      </c>
      <c r="M122" s="110">
        <f t="shared" si="47"/>
        <v>3570.4799999999996</v>
      </c>
      <c r="N122" s="109" t="str">
        <f t="shared" si="48"/>
        <v/>
      </c>
      <c r="Q122" s="8">
        <v>9</v>
      </c>
      <c r="R122" s="108">
        <v>0.6</v>
      </c>
      <c r="S122" s="112" t="s">
        <v>23</v>
      </c>
      <c r="T122" s="23">
        <f>'Post Reactions '!P98</f>
        <v>0</v>
      </c>
      <c r="U122" s="23">
        <f>'Post Reactions '!Q98</f>
        <v>0</v>
      </c>
      <c r="V122" s="23">
        <f>'Post Reactions '!R98</f>
        <v>0</v>
      </c>
      <c r="W122" s="23">
        <f>'Post Reactions '!S98/12</f>
        <v>0</v>
      </c>
      <c r="X122" s="24">
        <f>'Post Reactions '!T98/12</f>
        <v>0</v>
      </c>
      <c r="Y122" s="113"/>
      <c r="Z122" s="30">
        <f t="shared" si="49"/>
        <v>0</v>
      </c>
      <c r="AA122" s="23">
        <f>0.6*$T$75*($T$72/2)+0.6*$T$79*$T$78*$T$72*$T$73*($T$72/2)+IF(U122&gt;0, ABS(U122*$T$72/2),0)</f>
        <v>42336</v>
      </c>
      <c r="AB122" s="111" t="e">
        <f t="shared" si="51"/>
        <v>#DIV/0!</v>
      </c>
      <c r="AC122" s="110">
        <f t="shared" si="52"/>
        <v>3570.4799999999996</v>
      </c>
      <c r="AD122" s="109" t="str">
        <f t="shared" si="53"/>
        <v/>
      </c>
      <c r="AF122" s="8">
        <v>9</v>
      </c>
      <c r="AG122" s="108">
        <v>0.6</v>
      </c>
      <c r="AH122" s="112" t="s">
        <v>23</v>
      </c>
      <c r="AI122" s="23">
        <f>'Post Reactions '!P151</f>
        <v>0</v>
      </c>
      <c r="AJ122" s="23">
        <f>'Post Reactions '!Q151</f>
        <v>0</v>
      </c>
      <c r="AK122" s="23">
        <f>'Post Reactions '!R151</f>
        <v>0</v>
      </c>
      <c r="AL122" s="23">
        <f>'Post Reactions '!S151/12</f>
        <v>0</v>
      </c>
      <c r="AM122" s="24">
        <f>'Post Reactions '!T151/12</f>
        <v>0</v>
      </c>
      <c r="AN122" s="113"/>
      <c r="AO122" s="30">
        <f t="shared" si="54"/>
        <v>0</v>
      </c>
      <c r="AP122" s="23">
        <f>0.6*$AI$75*($AI$72/2)+0.6*$AI$79*$AI$78*$AI$72*$AI$73*($AI$72/2)+IF(AJ122&gt;0, ABS(AJ122*$AI$72/2),0)</f>
        <v>42336</v>
      </c>
      <c r="AQ122" s="111" t="e">
        <f t="shared" si="56"/>
        <v>#DIV/0!</v>
      </c>
      <c r="AR122" s="110">
        <f t="shared" si="57"/>
        <v>3570.4799999999996</v>
      </c>
      <c r="AS122" s="109" t="str">
        <f t="shared" si="58"/>
        <v/>
      </c>
      <c r="AU122" s="8">
        <v>9</v>
      </c>
      <c r="AV122" s="108">
        <v>0.6</v>
      </c>
      <c r="AW122" s="112" t="s">
        <v>23</v>
      </c>
      <c r="AX122" s="23">
        <f>'Post Reactions '!P204</f>
        <v>0</v>
      </c>
      <c r="AY122" s="23">
        <f>'Post Reactions '!Q204</f>
        <v>0</v>
      </c>
      <c r="AZ122" s="23">
        <f>'Post Reactions '!R204</f>
        <v>0</v>
      </c>
      <c r="BA122" s="23">
        <f>'Post Reactions '!S204/12</f>
        <v>0</v>
      </c>
      <c r="BB122" s="24">
        <f>'Post Reactions '!T204/12</f>
        <v>0</v>
      </c>
      <c r="BC122" s="113"/>
      <c r="BD122" s="30">
        <f t="shared" si="59"/>
        <v>0</v>
      </c>
      <c r="BE122" s="23">
        <f>0.6*$AX$75*($AX$72/2)+0.6*$AX$79*$AX$78*$AX$72*$AX$73*($AX$72/2)+IF(AY122&gt;0, ABS(AY122*$AX$72/2),0)</f>
        <v>42336</v>
      </c>
      <c r="BF122" s="111" t="e">
        <f t="shared" si="61"/>
        <v>#DIV/0!</v>
      </c>
      <c r="BG122" s="110">
        <f t="shared" si="62"/>
        <v>3570.4799999999996</v>
      </c>
      <c r="BH122" s="109" t="str">
        <f t="shared" si="63"/>
        <v/>
      </c>
    </row>
    <row r="123" spans="1:60" x14ac:dyDescent="0.25">
      <c r="A123" s="8">
        <v>10</v>
      </c>
      <c r="B123" s="108">
        <v>0.6</v>
      </c>
      <c r="C123" s="112" t="s">
        <v>24</v>
      </c>
      <c r="D123" s="23">
        <f>'Post Reactions '!P46</f>
        <v>0</v>
      </c>
      <c r="E123" s="23">
        <f>'Post Reactions '!Q46</f>
        <v>0</v>
      </c>
      <c r="F123" s="23">
        <f>'Post Reactions '!R46</f>
        <v>0</v>
      </c>
      <c r="G123" s="23">
        <f>'Post Reactions '!S46/12</f>
        <v>0</v>
      </c>
      <c r="H123" s="24">
        <f>'Post Reactions '!T46/12</f>
        <v>0</v>
      </c>
      <c r="I123" s="113"/>
      <c r="J123" s="30">
        <f t="shared" si="44"/>
        <v>0</v>
      </c>
      <c r="K123" s="23">
        <f>0.6*$D$75*($D$72/2)+0.6*$D$79*$D$78*$D$72*$D$73*($D$72/2)+IF(E123&gt;0, ABS(E123*$D$72/2),0)</f>
        <v>42336</v>
      </c>
      <c r="L123" s="111" t="e">
        <f t="shared" si="46"/>
        <v>#DIV/0!</v>
      </c>
      <c r="M123" s="110">
        <f t="shared" si="47"/>
        <v>3570.4799999999996</v>
      </c>
      <c r="N123" s="109" t="str">
        <f t="shared" si="48"/>
        <v/>
      </c>
      <c r="Q123" s="8">
        <v>10</v>
      </c>
      <c r="R123" s="108">
        <v>0.6</v>
      </c>
      <c r="S123" s="112" t="s">
        <v>24</v>
      </c>
      <c r="T123" s="23">
        <f>'Post Reactions '!P99</f>
        <v>0</v>
      </c>
      <c r="U123" s="23">
        <f>'Post Reactions '!Q99</f>
        <v>0</v>
      </c>
      <c r="V123" s="23">
        <f>'Post Reactions '!R99</f>
        <v>0</v>
      </c>
      <c r="W123" s="23">
        <f>'Post Reactions '!S99/12</f>
        <v>0</v>
      </c>
      <c r="X123" s="24">
        <f>'Post Reactions '!T99/12</f>
        <v>0</v>
      </c>
      <c r="Y123" s="113"/>
      <c r="Z123" s="30">
        <f t="shared" si="49"/>
        <v>0</v>
      </c>
      <c r="AA123" s="23">
        <f>0.6*$T$75*($T$72/2)+0.6*$T$79*$T$78*$T$72*$T$73*($T$72/2)+IF(U123&gt;0, ABS(U123*$T$72/2),0)</f>
        <v>42336</v>
      </c>
      <c r="AB123" s="111" t="e">
        <f t="shared" si="51"/>
        <v>#DIV/0!</v>
      </c>
      <c r="AC123" s="110">
        <f t="shared" si="52"/>
        <v>3570.4799999999996</v>
      </c>
      <c r="AD123" s="109" t="str">
        <f t="shared" si="53"/>
        <v/>
      </c>
      <c r="AF123" s="8">
        <v>10</v>
      </c>
      <c r="AG123" s="108">
        <v>0.6</v>
      </c>
      <c r="AH123" s="112" t="s">
        <v>24</v>
      </c>
      <c r="AI123" s="23">
        <f>'Post Reactions '!P152</f>
        <v>0</v>
      </c>
      <c r="AJ123" s="23">
        <f>'Post Reactions '!Q152</f>
        <v>0</v>
      </c>
      <c r="AK123" s="23">
        <f>'Post Reactions '!R152</f>
        <v>0</v>
      </c>
      <c r="AL123" s="23">
        <f>'Post Reactions '!S152/12</f>
        <v>0</v>
      </c>
      <c r="AM123" s="24">
        <f>'Post Reactions '!T152/12</f>
        <v>0</v>
      </c>
      <c r="AN123" s="113"/>
      <c r="AO123" s="30">
        <f t="shared" si="54"/>
        <v>0</v>
      </c>
      <c r="AP123" s="23">
        <f>0.6*$AI$75*($AI$72/2)+0.6*$AI$79*$AI$78*$AI$72*$AI$73*($AI$72/2)+IF(AJ123&gt;0, ABS(AJ123*$AI$72/2),0)</f>
        <v>42336</v>
      </c>
      <c r="AQ123" s="111" t="e">
        <f t="shared" si="56"/>
        <v>#DIV/0!</v>
      </c>
      <c r="AR123" s="110">
        <f t="shared" si="57"/>
        <v>3570.4799999999996</v>
      </c>
      <c r="AS123" s="109" t="str">
        <f t="shared" si="58"/>
        <v/>
      </c>
      <c r="AU123" s="8">
        <v>10</v>
      </c>
      <c r="AV123" s="108">
        <v>0.6</v>
      </c>
      <c r="AW123" s="112" t="s">
        <v>24</v>
      </c>
      <c r="AX123" s="23">
        <f>'Post Reactions '!P205</f>
        <v>0</v>
      </c>
      <c r="AY123" s="23">
        <f>'Post Reactions '!Q205</f>
        <v>0</v>
      </c>
      <c r="AZ123" s="23">
        <f>'Post Reactions '!R205</f>
        <v>0</v>
      </c>
      <c r="BA123" s="23">
        <f>'Post Reactions '!S205/12</f>
        <v>0</v>
      </c>
      <c r="BB123" s="24">
        <f>'Post Reactions '!T205/12</f>
        <v>0</v>
      </c>
      <c r="BC123" s="113"/>
      <c r="BD123" s="30">
        <f t="shared" si="59"/>
        <v>0</v>
      </c>
      <c r="BE123" s="23">
        <f>0.6*$AX$75*($AX$72/2)+0.6*$AX$79*$AX$78*$AX$72*$AX$73*($AX$72/2)+IF(AY123&gt;0, ABS(AY123*$AX$72/2),0)</f>
        <v>42336</v>
      </c>
      <c r="BF123" s="111" t="e">
        <f t="shared" si="61"/>
        <v>#DIV/0!</v>
      </c>
      <c r="BG123" s="110">
        <f t="shared" si="62"/>
        <v>3570.4799999999996</v>
      </c>
      <c r="BH123" s="109" t="str">
        <f t="shared" si="63"/>
        <v/>
      </c>
    </row>
    <row r="124" spans="1:60" x14ac:dyDescent="0.25">
      <c r="A124" s="8">
        <v>11</v>
      </c>
      <c r="B124" s="108">
        <v>1</v>
      </c>
      <c r="C124" s="112" t="s">
        <v>25</v>
      </c>
      <c r="D124" s="23">
        <f>'Post Reactions '!P47</f>
        <v>0</v>
      </c>
      <c r="E124" s="23">
        <f>'Post Reactions '!Q47</f>
        <v>0</v>
      </c>
      <c r="F124" s="23">
        <f>'Post Reactions '!R47</f>
        <v>0</v>
      </c>
      <c r="G124" s="23">
        <f>'Post Reactions '!S47/12</f>
        <v>0</v>
      </c>
      <c r="H124" s="24">
        <f>'Post Reactions '!T47/12</f>
        <v>0</v>
      </c>
      <c r="J124" s="30">
        <f>ABS((D124*($D$74+$D$78)))+$D$75*$D$12*($D$74/2)*0.7+ABS(H124)+IF(E124&lt;0,ABS(E124*($D$72/2)))</f>
        <v>0</v>
      </c>
      <c r="K124" s="23">
        <f>$D$75*($D$72/2)+$D$79*$D$78*$D$72*$D$73*($D$72/2)+IF(E124&gt;0, ABS(E124*$D$72/2),0)</f>
        <v>70560</v>
      </c>
      <c r="L124" s="111" t="e">
        <f t="shared" si="46"/>
        <v>#DIV/0!</v>
      </c>
      <c r="M124" s="110">
        <f t="shared" si="47"/>
        <v>5950.7999999999993</v>
      </c>
      <c r="N124" s="109" t="str">
        <f>IFERROR(M124/SQRT(D124^2+F124^2+(0.7*$D$80*$D$75)^2),"")</f>
        <v/>
      </c>
      <c r="Q124" s="8">
        <v>11</v>
      </c>
      <c r="R124" s="108">
        <v>1</v>
      </c>
      <c r="S124" s="112" t="s">
        <v>25</v>
      </c>
      <c r="T124" s="23">
        <f>'Post Reactions '!P100</f>
        <v>0</v>
      </c>
      <c r="U124" s="23">
        <f>'Post Reactions '!Q100</f>
        <v>0</v>
      </c>
      <c r="V124" s="23">
        <f>'Post Reactions '!R100</f>
        <v>0</v>
      </c>
      <c r="W124" s="23">
        <f>'Post Reactions '!S100/12</f>
        <v>0</v>
      </c>
      <c r="X124" s="24">
        <f>'Post Reactions '!T100/12</f>
        <v>0</v>
      </c>
      <c r="Z124" s="30">
        <f>ABS((T124*($T$74+$T$78)))+$T$75*$T$12*($T$74/2)*0.7+ABS(X124)+IF(U124&lt;0,ABS(U124*($T$72/2)))</f>
        <v>0</v>
      </c>
      <c r="AA124" s="23">
        <f>$T$75*($T$72/2)+$T$79*$T$78*$T$72*$T$73*($T$72/2)+IF(U124&gt;0, ABS(U124*$T$72/2),0)</f>
        <v>70560</v>
      </c>
      <c r="AB124" s="111" t="e">
        <f t="shared" si="51"/>
        <v>#DIV/0!</v>
      </c>
      <c r="AC124" s="110">
        <f t="shared" si="52"/>
        <v>5950.7999999999993</v>
      </c>
      <c r="AD124" s="109" t="str">
        <f>IFERROR(AC124/SQRT(T124^2+V124^2+(0.7*$T$80*$T$75)^2),"")</f>
        <v/>
      </c>
      <c r="AF124" s="8">
        <v>11</v>
      </c>
      <c r="AG124" s="108">
        <v>1</v>
      </c>
      <c r="AH124" s="112" t="s">
        <v>25</v>
      </c>
      <c r="AI124" s="23">
        <f>'Post Reactions '!P153</f>
        <v>0</v>
      </c>
      <c r="AJ124" s="23">
        <f>'Post Reactions '!Q153</f>
        <v>0</v>
      </c>
      <c r="AK124" s="23">
        <f>'Post Reactions '!R153</f>
        <v>0</v>
      </c>
      <c r="AL124" s="23">
        <f>'Post Reactions '!S153/12</f>
        <v>0</v>
      </c>
      <c r="AM124" s="24">
        <f>'Post Reactions '!T153/12</f>
        <v>0</v>
      </c>
      <c r="AO124" s="30">
        <f>ABS((AI124*($AI$74+$AI$78)))+$AI$75*$AI$12*($AI$74/2)*0.7+ABS(AM124)+IF(AJ124&lt;0,ABS(AJ124*($AI$72/2)))</f>
        <v>0</v>
      </c>
      <c r="AP124" s="23">
        <f>$AI$75*($AI$72/2)+$AI$79*$AI$78*$AI$72*$AI$73*($AI$72/2)+IF(AJ124&gt;0, ABS(AJ124*$AI$72/2),0)</f>
        <v>70560</v>
      </c>
      <c r="AQ124" s="111" t="e">
        <f t="shared" si="56"/>
        <v>#DIV/0!</v>
      </c>
      <c r="AR124" s="110">
        <f t="shared" si="57"/>
        <v>5950.7999999999993</v>
      </c>
      <c r="AS124" s="109" t="str">
        <f>IFERROR(AR124/SQRT(AI124^2+AK124^2+(0.7*$AI$80*$AI$75)^2),"")</f>
        <v/>
      </c>
      <c r="AU124" s="8">
        <v>11</v>
      </c>
      <c r="AV124" s="108">
        <v>1</v>
      </c>
      <c r="AW124" s="112" t="s">
        <v>25</v>
      </c>
      <c r="AX124" s="23">
        <f>'Post Reactions '!P206</f>
        <v>0</v>
      </c>
      <c r="AY124" s="23">
        <f>'Post Reactions '!Q206</f>
        <v>0</v>
      </c>
      <c r="AZ124" s="23">
        <f>'Post Reactions '!R206</f>
        <v>0</v>
      </c>
      <c r="BA124" s="23">
        <f>'Post Reactions '!S206/12</f>
        <v>0</v>
      </c>
      <c r="BB124" s="24">
        <f>'Post Reactions '!T206/12</f>
        <v>0</v>
      </c>
      <c r="BD124" s="30">
        <f>ABS((AX124*($AX$74+$AX$78)))+$AX$75*$AX$12*($AX$74/2)*0.7+ABS(BB124)+IF(AY124&lt;0,ABS(AY124*($AX$72/2)))</f>
        <v>0</v>
      </c>
      <c r="BE124" s="23">
        <f>$AX$75*($AX$72/2)+$AX$79*$AX$78*$AX$72*$AX$73*($AX$72/2)+IF(AY124&gt;0, ABS(AY124*$AX$72/2),0)</f>
        <v>70560</v>
      </c>
      <c r="BF124" s="111" t="e">
        <f t="shared" si="61"/>
        <v>#DIV/0!</v>
      </c>
      <c r="BG124" s="110">
        <f t="shared" si="62"/>
        <v>5950.7999999999993</v>
      </c>
      <c r="BH124" s="109" t="str">
        <f>IFERROR(BG124/SQRT(AX124^2+AZ124^2+(0.7*$AX$80*$AX$75)^2),"")</f>
        <v/>
      </c>
    </row>
    <row r="125" spans="1:60" x14ac:dyDescent="0.25">
      <c r="A125" s="8">
        <v>12</v>
      </c>
      <c r="B125" s="108">
        <v>1</v>
      </c>
      <c r="C125" s="112" t="s">
        <v>26</v>
      </c>
      <c r="D125" s="23">
        <f>'Post Reactions '!P48</f>
        <v>0</v>
      </c>
      <c r="E125" s="23">
        <f>'Post Reactions '!Q48</f>
        <v>0</v>
      </c>
      <c r="F125" s="23">
        <f>'Post Reactions '!R48</f>
        <v>0</v>
      </c>
      <c r="G125" s="23">
        <f>'Post Reactions '!S48/12</f>
        <v>0</v>
      </c>
      <c r="H125" s="24">
        <f>'Post Reactions '!T48/12</f>
        <v>0</v>
      </c>
      <c r="J125" s="30">
        <f>ABS((D125*($D$74+$D$78)))+$D$75*$D$12*($D$74/2)*0.7+ABS(H125)+IF(E125&lt;0,ABS(E125*($D$72/2)))</f>
        <v>0</v>
      </c>
      <c r="K125" s="23">
        <f>$D$75*($D$72/2)+$D$79*$D$78*$D$72*$D$73*($D$72/2)+IF(E125&gt;0, ABS(E125*$D$72/2),0)</f>
        <v>70560</v>
      </c>
      <c r="L125" s="111" t="e">
        <f t="shared" si="46"/>
        <v>#DIV/0!</v>
      </c>
      <c r="M125" s="110">
        <f t="shared" si="47"/>
        <v>5950.7999999999993</v>
      </c>
      <c r="N125" s="109" t="str">
        <f>IFERROR(M125/SQRT(D125^2+F125^2+(0.7*$D$80*$D$75)^2),"")</f>
        <v/>
      </c>
      <c r="Q125" s="8">
        <v>12</v>
      </c>
      <c r="R125" s="108">
        <v>1</v>
      </c>
      <c r="S125" s="112" t="s">
        <v>26</v>
      </c>
      <c r="T125" s="23">
        <f>'Post Reactions '!P101</f>
        <v>0</v>
      </c>
      <c r="U125" s="23">
        <f>'Post Reactions '!Q101</f>
        <v>0</v>
      </c>
      <c r="V125" s="23">
        <f>'Post Reactions '!R101</f>
        <v>0</v>
      </c>
      <c r="W125" s="23">
        <f>'Post Reactions '!S101/12</f>
        <v>0</v>
      </c>
      <c r="X125" s="24">
        <f>'Post Reactions '!T101/12</f>
        <v>0</v>
      </c>
      <c r="Z125" s="30">
        <f>ABS((T125*($T$74+$T$78)))+$T$75*$T$12*($T$74/2)*0.7+ABS(X125)+IF(U125&lt;0,ABS(U125*($T$72/2)))</f>
        <v>0</v>
      </c>
      <c r="AA125" s="23">
        <f>$T$75*($T$72/2)+$T$79*$T$78*$T$72*$T$73*($T$72/2)+IF(U125&gt;0, ABS(U125*$T$72/2),0)</f>
        <v>70560</v>
      </c>
      <c r="AB125" s="111" t="e">
        <f t="shared" si="51"/>
        <v>#DIV/0!</v>
      </c>
      <c r="AC125" s="110">
        <f t="shared" si="52"/>
        <v>5950.7999999999993</v>
      </c>
      <c r="AD125" s="109" t="str">
        <f>IFERROR(AC125/SQRT(T125^2+V125^2+(0.7*$T$80*$T$75)^2),"")</f>
        <v/>
      </c>
      <c r="AF125" s="8">
        <v>12</v>
      </c>
      <c r="AG125" s="108">
        <v>1</v>
      </c>
      <c r="AH125" s="112" t="s">
        <v>26</v>
      </c>
      <c r="AI125" s="23">
        <f>'Post Reactions '!P154</f>
        <v>0</v>
      </c>
      <c r="AJ125" s="23">
        <f>'Post Reactions '!Q154</f>
        <v>0</v>
      </c>
      <c r="AK125" s="23">
        <f>'Post Reactions '!R154</f>
        <v>0</v>
      </c>
      <c r="AL125" s="23">
        <f>'Post Reactions '!S154/12</f>
        <v>0</v>
      </c>
      <c r="AM125" s="24">
        <f>'Post Reactions '!T154/12</f>
        <v>0</v>
      </c>
      <c r="AO125" s="30">
        <f>ABS((AI125*($AI$74+$AI$78)))+$AI$75*$AI$12*($AI$74/2)*0.7+ABS(AM125)+IF(AJ125&lt;0,ABS(AJ125*($AI$72/2)))</f>
        <v>0</v>
      </c>
      <c r="AP125" s="23">
        <f>$AI$75*($AI$72/2)+$AI$79*$AI$78*$AI$72*$AI$73*($AI$72/2)+IF(AJ125&gt;0, ABS(AJ125*$AI$72/2),0)</f>
        <v>70560</v>
      </c>
      <c r="AQ125" s="111" t="e">
        <f t="shared" si="56"/>
        <v>#DIV/0!</v>
      </c>
      <c r="AR125" s="110">
        <f t="shared" si="57"/>
        <v>5950.7999999999993</v>
      </c>
      <c r="AS125" s="109" t="str">
        <f>IFERROR(AR125/SQRT(AI125^2+AK125^2+(0.7*$AI$80*$AI$75)^2),"")</f>
        <v/>
      </c>
      <c r="AU125" s="8">
        <v>12</v>
      </c>
      <c r="AV125" s="108">
        <v>1</v>
      </c>
      <c r="AW125" s="112" t="s">
        <v>26</v>
      </c>
      <c r="AX125" s="23">
        <f>'Post Reactions '!P207</f>
        <v>0</v>
      </c>
      <c r="AY125" s="23">
        <f>'Post Reactions '!Q207</f>
        <v>0</v>
      </c>
      <c r="AZ125" s="23">
        <f>'Post Reactions '!R207</f>
        <v>0</v>
      </c>
      <c r="BA125" s="23">
        <f>'Post Reactions '!S207/12</f>
        <v>0</v>
      </c>
      <c r="BB125" s="24">
        <f>'Post Reactions '!T207/12</f>
        <v>0</v>
      </c>
      <c r="BD125" s="30">
        <f>ABS((AX125*($AX$74+$AX$78)))+$AX$75*$AX$12*($AX$74/2)*0.7+ABS(BB125)+IF(AY125&lt;0,ABS(AY125*($AX$72/2)))</f>
        <v>0</v>
      </c>
      <c r="BE125" s="23">
        <f>$AX$75*($AX$72/2)+$AX$79*$AX$78*$AX$72*$AX$73*($AX$72/2)+IF(AY125&gt;0, ABS(AY125*$AX$72/2),0)</f>
        <v>70560</v>
      </c>
      <c r="BF125" s="111" t="e">
        <f t="shared" si="61"/>
        <v>#DIV/0!</v>
      </c>
      <c r="BG125" s="110">
        <f t="shared" si="62"/>
        <v>5950.7999999999993</v>
      </c>
      <c r="BH125" s="109" t="str">
        <f>IFERROR(BG125/SQRT(AX125^2+AZ125^2+(0.7*$AX$80*$AX$75)^2),"")</f>
        <v/>
      </c>
    </row>
    <row r="126" spans="1:60" x14ac:dyDescent="0.25">
      <c r="A126" s="8">
        <v>13</v>
      </c>
      <c r="B126" s="108">
        <v>1</v>
      </c>
      <c r="C126" s="112" t="s">
        <v>27</v>
      </c>
      <c r="D126" s="23">
        <f>'Post Reactions '!P49</f>
        <v>0</v>
      </c>
      <c r="E126" s="23">
        <f>'Post Reactions '!Q49</f>
        <v>0</v>
      </c>
      <c r="F126" s="23">
        <f>'Post Reactions '!R49</f>
        <v>0</v>
      </c>
      <c r="G126" s="23">
        <f>'Post Reactions '!S49/12</f>
        <v>0</v>
      </c>
      <c r="H126" s="24">
        <f>'Post Reactions '!T49/12</f>
        <v>0</v>
      </c>
      <c r="J126" s="30">
        <f>ABS((F126*($D$74+$D$78)))+$D$75*$D$12*($D$74/2)*0.7+ABS(G126)+IF(E126&lt;0,ABS(E126*($D$72/2)))</f>
        <v>0</v>
      </c>
      <c r="K126" s="23">
        <f>$D$75*($D$73/2)+$D$79*$D$78*$D$72*$D$73*($D$73/2)+IF(E126&gt;0, ABS(E126*$D$73/2),0)</f>
        <v>39690</v>
      </c>
      <c r="L126" s="111" t="e">
        <f t="shared" si="46"/>
        <v>#DIV/0!</v>
      </c>
      <c r="M126" s="110">
        <f t="shared" si="47"/>
        <v>5950.7999999999993</v>
      </c>
      <c r="N126" s="109" t="str">
        <f>IFERROR(M126/SQRT(D126^2+F126^2+(0.7*$D$80*$D$75)^2),"")</f>
        <v/>
      </c>
      <c r="Q126" s="8">
        <v>13</v>
      </c>
      <c r="R126" s="108">
        <v>1</v>
      </c>
      <c r="S126" s="112" t="s">
        <v>27</v>
      </c>
      <c r="T126" s="23">
        <f>'Post Reactions '!P102</f>
        <v>0</v>
      </c>
      <c r="U126" s="23">
        <f>'Post Reactions '!Q102</f>
        <v>0</v>
      </c>
      <c r="V126" s="23">
        <f>'Post Reactions '!R102</f>
        <v>0</v>
      </c>
      <c r="W126" s="23">
        <f>'Post Reactions '!S102/12</f>
        <v>0</v>
      </c>
      <c r="X126" s="24">
        <f>'Post Reactions '!T102/12</f>
        <v>0</v>
      </c>
      <c r="Z126" s="30">
        <f>ABS((V126*($T$74+$T$78)))+$T$75*$T$12*($T$74/2)*0.7+ABS(W126)+IF(U126&lt;0,ABS(U126*($T$72/2)))</f>
        <v>0</v>
      </c>
      <c r="AA126" s="23">
        <f>$T$75*($T$73/2)+$T$79*$T$78*$T$72*$T$73*($T$73/2)+IF(U126&gt;0, ABS(U126*$T$73/2),0)</f>
        <v>39690</v>
      </c>
      <c r="AB126" s="111" t="e">
        <f t="shared" si="51"/>
        <v>#DIV/0!</v>
      </c>
      <c r="AC126" s="110">
        <f t="shared" si="52"/>
        <v>5950.7999999999993</v>
      </c>
      <c r="AD126" s="109" t="str">
        <f>IFERROR(AC126/SQRT(T126^2+V126^2+(0.7*$T$80*$T$75)^2),"")</f>
        <v/>
      </c>
      <c r="AF126" s="8">
        <v>13</v>
      </c>
      <c r="AG126" s="108">
        <v>1</v>
      </c>
      <c r="AH126" s="112" t="s">
        <v>27</v>
      </c>
      <c r="AI126" s="23">
        <f>'Post Reactions '!P155</f>
        <v>0</v>
      </c>
      <c r="AJ126" s="23">
        <f>'Post Reactions '!Q155</f>
        <v>0</v>
      </c>
      <c r="AK126" s="23">
        <f>'Post Reactions '!R155</f>
        <v>0</v>
      </c>
      <c r="AL126" s="23">
        <f>'Post Reactions '!S155/12</f>
        <v>0</v>
      </c>
      <c r="AM126" s="24">
        <f>'Post Reactions '!T155/12</f>
        <v>0</v>
      </c>
      <c r="AO126" s="30">
        <f>ABS((AK126*($AI$74+$AI$78)))+$AI$75*$AI$12*($AI$74/2)*0.7+ABS(AL126)+IF(AJ126&lt;0,ABS(AJ126*($AI$72/2)))</f>
        <v>0</v>
      </c>
      <c r="AP126" s="23">
        <f>$AI$75*($AI$73/2)+$AI$79*$AI$78*$AI$72*$AI$73*($AI$73/2)+IF(AJ126&gt;0, ABS(AJ126*$AI$73/2),0)</f>
        <v>39690</v>
      </c>
      <c r="AQ126" s="111" t="e">
        <f t="shared" si="56"/>
        <v>#DIV/0!</v>
      </c>
      <c r="AR126" s="110">
        <f t="shared" si="57"/>
        <v>5950.7999999999993</v>
      </c>
      <c r="AS126" s="109" t="str">
        <f>IFERROR(AR126/SQRT(AI126^2+AK126^2+(0.7*$AI$80*$AI$75)^2),"")</f>
        <v/>
      </c>
      <c r="AU126" s="8">
        <v>13</v>
      </c>
      <c r="AV126" s="108">
        <v>1</v>
      </c>
      <c r="AW126" s="112" t="s">
        <v>27</v>
      </c>
      <c r="AX126" s="23">
        <f>'Post Reactions '!P208</f>
        <v>0</v>
      </c>
      <c r="AY126" s="23">
        <f>'Post Reactions '!Q208</f>
        <v>0</v>
      </c>
      <c r="AZ126" s="23">
        <f>'Post Reactions '!R208</f>
        <v>0</v>
      </c>
      <c r="BA126" s="23">
        <f>'Post Reactions '!S208/12</f>
        <v>0</v>
      </c>
      <c r="BB126" s="24">
        <f>'Post Reactions '!T208/12</f>
        <v>0</v>
      </c>
      <c r="BD126" s="30">
        <f>ABS((AZ126*($AX$74+$AX$78)))+$AX$75*$AX$12*($AX$74/2)*0.7+ABS(BA126)+IF(AY126&lt;0,ABS(AY126*($AX$72/2)))</f>
        <v>0</v>
      </c>
      <c r="BE126" s="23">
        <f>$AX$75*($AX$73/2)+$AX$79*$AX$78*$AX$72*$AX$73*($AX$73/2)+IF(AY126&gt;0, ABS(AY126*$AX$73/2),0)</f>
        <v>39690</v>
      </c>
      <c r="BF126" s="111" t="e">
        <f t="shared" si="61"/>
        <v>#DIV/0!</v>
      </c>
      <c r="BG126" s="110">
        <f t="shared" si="62"/>
        <v>5950.7999999999993</v>
      </c>
      <c r="BH126" s="109" t="str">
        <f>IFERROR(BG126/SQRT(AX126^2+AZ126^2+(0.7*$AX$80*$AX$75)^2),"")</f>
        <v/>
      </c>
    </row>
    <row r="127" spans="1:60" x14ac:dyDescent="0.25">
      <c r="A127" s="8">
        <v>14</v>
      </c>
      <c r="B127" s="108">
        <v>1</v>
      </c>
      <c r="C127" s="112" t="s">
        <v>28</v>
      </c>
      <c r="D127" s="23">
        <f>'Post Reactions '!P50</f>
        <v>0</v>
      </c>
      <c r="E127" s="23">
        <f>'Post Reactions '!Q50</f>
        <v>0</v>
      </c>
      <c r="F127" s="23">
        <f>'Post Reactions '!R50</f>
        <v>0</v>
      </c>
      <c r="G127" s="23">
        <f>'Post Reactions '!S50/12</f>
        <v>0</v>
      </c>
      <c r="H127" s="24">
        <f>'Post Reactions '!T50/12</f>
        <v>0</v>
      </c>
      <c r="J127" s="30">
        <f>ABS((F127*($D$74+$D$78)))+$D$75*$D$12*($D$74/2)*0.7+ABS(G127)+IF(E127&lt;0,ABS(E127*($D$72/2)))</f>
        <v>0</v>
      </c>
      <c r="K127" s="23">
        <f>$D$75*($D$73/2)+$D$79*$D$78*$D$72*$D$73*($D$73/2)+IF(E127&gt;0, ABS(E127*$D$73/2),0)</f>
        <v>39690</v>
      </c>
      <c r="L127" s="111" t="e">
        <f t="shared" si="46"/>
        <v>#DIV/0!</v>
      </c>
      <c r="M127" s="110">
        <f t="shared" si="47"/>
        <v>5950.7999999999993</v>
      </c>
      <c r="N127" s="109" t="str">
        <f>IFERROR(M127/SQRT(D127^2+F127^2+(0.7*$D$80*$D$75)^2),"")</f>
        <v/>
      </c>
      <c r="Q127" s="8">
        <v>14</v>
      </c>
      <c r="R127" s="108">
        <v>1</v>
      </c>
      <c r="S127" s="112" t="s">
        <v>28</v>
      </c>
      <c r="T127" s="23">
        <f>'Post Reactions '!P103</f>
        <v>0</v>
      </c>
      <c r="U127" s="23">
        <f>'Post Reactions '!Q103</f>
        <v>0</v>
      </c>
      <c r="V127" s="23">
        <f>'Post Reactions '!R103</f>
        <v>0</v>
      </c>
      <c r="W127" s="23">
        <f>'Post Reactions '!S103/12</f>
        <v>0</v>
      </c>
      <c r="X127" s="24">
        <f>'Post Reactions '!T103/12</f>
        <v>0</v>
      </c>
      <c r="Z127" s="30">
        <f>ABS((V127*($T$74+$T$78)))+$T$75*$T$12*($T$74/2)*0.7+ABS(W127)+IF(U127&lt;0,ABS(U127*($T$72/2)))</f>
        <v>0</v>
      </c>
      <c r="AA127" s="23">
        <f>$T$75*($T$73/2)+$T$79*$T$78*$T$72*$T$73*($T$73/2)+IF(U127&gt;0, ABS(U127*$T$73/2),0)</f>
        <v>39690</v>
      </c>
      <c r="AB127" s="111" t="e">
        <f t="shared" si="51"/>
        <v>#DIV/0!</v>
      </c>
      <c r="AC127" s="110">
        <f t="shared" si="52"/>
        <v>5950.7999999999993</v>
      </c>
      <c r="AD127" s="109" t="str">
        <f>IFERROR(AC127/SQRT(T127^2+V127^2+(0.7*$T$80*$T$75)^2),"")</f>
        <v/>
      </c>
      <c r="AF127" s="8">
        <v>14</v>
      </c>
      <c r="AG127" s="108">
        <v>1</v>
      </c>
      <c r="AH127" s="112" t="s">
        <v>28</v>
      </c>
      <c r="AI127" s="23">
        <f>'Post Reactions '!P156</f>
        <v>0</v>
      </c>
      <c r="AJ127" s="23">
        <f>'Post Reactions '!Q156</f>
        <v>0</v>
      </c>
      <c r="AK127" s="23">
        <f>'Post Reactions '!R156</f>
        <v>0</v>
      </c>
      <c r="AL127" s="23">
        <f>'Post Reactions '!S156/12</f>
        <v>0</v>
      </c>
      <c r="AM127" s="24">
        <f>'Post Reactions '!T156/12</f>
        <v>0</v>
      </c>
      <c r="AO127" s="30">
        <f>ABS((AK127*($AI$74+$AI$78)))+$AI$75*$AI$12*($AI$74/2)*0.7+ABS(AL127)+IF(AJ127&lt;0,ABS(AJ127*($AI$72/2)))</f>
        <v>0</v>
      </c>
      <c r="AP127" s="23">
        <f>$AI$75*($AI$73/2)+$AI$79*$AI$78*$AI$72*$AI$73*($AI$73/2)+IF(AJ127&gt;0, ABS(AJ127*$AI$73/2),0)</f>
        <v>39690</v>
      </c>
      <c r="AQ127" s="111" t="e">
        <f t="shared" si="56"/>
        <v>#DIV/0!</v>
      </c>
      <c r="AR127" s="110">
        <f t="shared" si="57"/>
        <v>5950.7999999999993</v>
      </c>
      <c r="AS127" s="109" t="str">
        <f>IFERROR(AR127/SQRT(AI127^2+AK127^2+(0.7*$AI$80*$AI$75)^2),"")</f>
        <v/>
      </c>
      <c r="AU127" s="8">
        <v>14</v>
      </c>
      <c r="AV127" s="108">
        <v>1</v>
      </c>
      <c r="AW127" s="112" t="s">
        <v>28</v>
      </c>
      <c r="AX127" s="23">
        <f>'Post Reactions '!P209</f>
        <v>0</v>
      </c>
      <c r="AY127" s="23">
        <f>'Post Reactions '!Q209</f>
        <v>0</v>
      </c>
      <c r="AZ127" s="23">
        <f>'Post Reactions '!R209</f>
        <v>0</v>
      </c>
      <c r="BA127" s="23">
        <f>'Post Reactions '!S209/12</f>
        <v>0</v>
      </c>
      <c r="BB127" s="24">
        <f>'Post Reactions '!T209/12</f>
        <v>0</v>
      </c>
      <c r="BD127" s="30">
        <f>ABS((AZ127*($AX$74+$AX$78)))+$AX$75*$AX$12*($AX$74/2)*0.7+ABS(BA127)+IF(AY127&lt;0,ABS(AY127*($AX$72/2)))</f>
        <v>0</v>
      </c>
      <c r="BE127" s="23">
        <f>$AX$75*($AX$73/2)+$AX$79*$AX$78*$AX$72*$AX$73*($AX$73/2)+IF(AY127&gt;0, ABS(AY127*$AX$73/2),0)</f>
        <v>39690</v>
      </c>
      <c r="BF127" s="111" t="e">
        <f t="shared" si="61"/>
        <v>#DIV/0!</v>
      </c>
      <c r="BG127" s="110">
        <f t="shared" si="62"/>
        <v>5950.7999999999993</v>
      </c>
      <c r="BH127" s="109" t="str">
        <f>IFERROR(BG127/SQRT(AX127^2+AZ127^2+(0.7*$AX$80*$AX$75)^2),"")</f>
        <v/>
      </c>
    </row>
    <row r="128" spans="1:60" x14ac:dyDescent="0.25">
      <c r="A128" s="8">
        <v>15</v>
      </c>
      <c r="B128" s="108">
        <v>1</v>
      </c>
      <c r="C128" s="112" t="s">
        <v>29</v>
      </c>
      <c r="D128" s="23">
        <f>'Post Reactions '!P51</f>
        <v>0</v>
      </c>
      <c r="E128" s="23">
        <f>'Post Reactions '!Q51</f>
        <v>0</v>
      </c>
      <c r="F128" s="23">
        <f>'Post Reactions '!R51</f>
        <v>0</v>
      </c>
      <c r="G128" s="23">
        <f>'Post Reactions '!S51/12</f>
        <v>0</v>
      </c>
      <c r="H128" s="24">
        <f>'Post Reactions '!T51/12</f>
        <v>0</v>
      </c>
      <c r="J128" s="30">
        <f>ABS((D128*($D$74+$D$78)))+0.525*$D$75*$D$12*($D$74/2)+ABS(H128)+IF(E128&lt;0,ABS(E128*($D$72/2)))</f>
        <v>0</v>
      </c>
      <c r="K128" s="23">
        <f>$D$75*($D$72/2)+$D$79*$D$78*$D$72*$D$73*($D$72/2)+IF(E128&gt;0, ABS(E128*$D$72/2),0)</f>
        <v>70560</v>
      </c>
      <c r="L128" s="111" t="e">
        <f t="shared" si="46"/>
        <v>#DIV/0!</v>
      </c>
      <c r="M128" s="110">
        <f t="shared" si="47"/>
        <v>5950.7999999999993</v>
      </c>
      <c r="N128" s="109" t="str">
        <f>IFERROR(M128/SQRT(D128^2+F128^2+(0.525*$D$80*$D$75)^2),"")</f>
        <v/>
      </c>
      <c r="Q128" s="8">
        <v>15</v>
      </c>
      <c r="R128" s="108">
        <v>1</v>
      </c>
      <c r="S128" s="112" t="s">
        <v>29</v>
      </c>
      <c r="T128" s="23">
        <f>'Post Reactions '!P104</f>
        <v>0</v>
      </c>
      <c r="U128" s="23">
        <f>'Post Reactions '!Q104</f>
        <v>0</v>
      </c>
      <c r="V128" s="23">
        <f>'Post Reactions '!R104</f>
        <v>0</v>
      </c>
      <c r="W128" s="23">
        <f>'Post Reactions '!S104/12</f>
        <v>0</v>
      </c>
      <c r="X128" s="24">
        <f>'Post Reactions '!T104/12</f>
        <v>0</v>
      </c>
      <c r="Z128" s="30">
        <f>ABS((T128*($T$74+$T$78)))+0.525*$T$75*$T$12*($T$74/2)+ABS(X128)+IF(U128&lt;0,ABS(U128*($T$72/2)))</f>
        <v>0</v>
      </c>
      <c r="AA128" s="23">
        <f>$T$75*($T$72/2)+$T$79*$T$78*$T$72*$T$73*($T$72/2)+IF(U128&gt;0, ABS(U128*$T$72/2),0)</f>
        <v>70560</v>
      </c>
      <c r="AB128" s="111" t="e">
        <f t="shared" si="51"/>
        <v>#DIV/0!</v>
      </c>
      <c r="AC128" s="110">
        <f t="shared" si="52"/>
        <v>5950.7999999999993</v>
      </c>
      <c r="AD128" s="109" t="str">
        <f>IFERROR(AC128/SQRT(T128^2+V128^2+(0.525*$T$80*$T$75)^2),"")</f>
        <v/>
      </c>
      <c r="AF128" s="8">
        <v>15</v>
      </c>
      <c r="AG128" s="108">
        <v>1</v>
      </c>
      <c r="AH128" s="112" t="s">
        <v>29</v>
      </c>
      <c r="AI128" s="23">
        <f>'Post Reactions '!P157</f>
        <v>0</v>
      </c>
      <c r="AJ128" s="23">
        <f>'Post Reactions '!Q157</f>
        <v>0</v>
      </c>
      <c r="AK128" s="23">
        <f>'Post Reactions '!R157</f>
        <v>0</v>
      </c>
      <c r="AL128" s="23">
        <f>'Post Reactions '!S157/12</f>
        <v>0</v>
      </c>
      <c r="AM128" s="24">
        <f>'Post Reactions '!T157/12</f>
        <v>0</v>
      </c>
      <c r="AO128" s="30">
        <f>ABS((AI128*($AI$74+$AI$78)))+0.525*$AI$75*$AI$12*($AI$74/2)+ABS(AM128)+IF(AJ128&lt;0,ABS(AJ128*($AI$72/2)))</f>
        <v>0</v>
      </c>
      <c r="AP128" s="23">
        <f>$AI$75*($AI$72/2)+$AI$79*$AI$78*$AI$72*$AI$73*($AI$72/2)+IF(AJ128&gt;0, ABS(AJ128*$AI$72/2),0)</f>
        <v>70560</v>
      </c>
      <c r="AQ128" s="111" t="e">
        <f t="shared" si="56"/>
        <v>#DIV/0!</v>
      </c>
      <c r="AR128" s="110">
        <f t="shared" si="57"/>
        <v>5950.7999999999993</v>
      </c>
      <c r="AS128" s="109" t="str">
        <f>IFERROR(AR128/SQRT(AI128^2+AK128^2+(0.525*$AI$80*$AI$75)^2),"")</f>
        <v/>
      </c>
      <c r="AU128" s="8">
        <v>15</v>
      </c>
      <c r="AV128" s="108">
        <v>1</v>
      </c>
      <c r="AW128" s="112" t="s">
        <v>29</v>
      </c>
      <c r="AX128" s="23">
        <f>'Post Reactions '!P210</f>
        <v>0</v>
      </c>
      <c r="AY128" s="23">
        <f>'Post Reactions '!Q210</f>
        <v>0</v>
      </c>
      <c r="AZ128" s="23">
        <f>'Post Reactions '!R210</f>
        <v>0</v>
      </c>
      <c r="BA128" s="23">
        <f>'Post Reactions '!S210/12</f>
        <v>0</v>
      </c>
      <c r="BB128" s="24">
        <f>'Post Reactions '!T210/12</f>
        <v>0</v>
      </c>
      <c r="BD128" s="30">
        <f>ABS((AX128*($AX$74+$AX$78)))+0.525*$AX$75*$AX$12*($AX$74/2)+ABS(BB128)+IF(AY128&lt;0,ABS(AY128*($AX$72/2)))</f>
        <v>0</v>
      </c>
      <c r="BE128" s="23">
        <f>$AX$75*($AX$72/2)+$AX$79*$AX$78*$AX$72*$AX$73*($AX$72/2)+IF(AY128&gt;0, ABS(AY128*$AX$72/2),0)</f>
        <v>70560</v>
      </c>
      <c r="BF128" s="111" t="e">
        <f t="shared" si="61"/>
        <v>#DIV/0!</v>
      </c>
      <c r="BG128" s="110">
        <f t="shared" si="62"/>
        <v>5950.7999999999993</v>
      </c>
      <c r="BH128" s="109" t="str">
        <f>IFERROR(BG128/SQRT(AX128^2+AZ128^2+(0.525*$AX$80*$AX$75)^2),"")</f>
        <v/>
      </c>
    </row>
    <row r="129" spans="1:60" x14ac:dyDescent="0.25">
      <c r="A129" s="8">
        <v>16</v>
      </c>
      <c r="B129" s="108">
        <v>1</v>
      </c>
      <c r="C129" s="112" t="s">
        <v>30</v>
      </c>
      <c r="D129" s="23">
        <f>'Post Reactions '!P52</f>
        <v>0</v>
      </c>
      <c r="E129" s="23">
        <f>'Post Reactions '!Q52</f>
        <v>0</v>
      </c>
      <c r="F129" s="23">
        <f>'Post Reactions '!R52</f>
        <v>0</v>
      </c>
      <c r="G129" s="23">
        <f>'Post Reactions '!S52/12</f>
        <v>0</v>
      </c>
      <c r="H129" s="24">
        <f>'Post Reactions '!T52/12</f>
        <v>0</v>
      </c>
      <c r="J129" s="30">
        <f>ABS((D129*($D$74+$D$78)))+0.525*$D$75*$D$12*($D$71/2)+ABS(H129)+IF(E129&lt;0,ABS(E129*($D$72/2)))</f>
        <v>0</v>
      </c>
      <c r="K129" s="23">
        <f>$D$75*($D$72/2)+$D$79*$D$78*$D$72*$D$73*($D$72/2)+IF(E129&gt;0, ABS(E129*$D$72/2),0)</f>
        <v>70560</v>
      </c>
      <c r="L129" s="111" t="e">
        <f t="shared" si="46"/>
        <v>#DIV/0!</v>
      </c>
      <c r="M129" s="110">
        <f t="shared" si="47"/>
        <v>5950.7999999999993</v>
      </c>
      <c r="N129" s="109" t="str">
        <f>IFERROR(M129/SQRT(D129^2+F129^2+(0.525*$D$80*$D$75)^2),"")</f>
        <v/>
      </c>
      <c r="Q129" s="8">
        <v>16</v>
      </c>
      <c r="R129" s="108">
        <v>1</v>
      </c>
      <c r="S129" s="112" t="s">
        <v>30</v>
      </c>
      <c r="T129" s="23">
        <f>'Post Reactions '!P105</f>
        <v>0</v>
      </c>
      <c r="U129" s="23">
        <f>'Post Reactions '!Q105</f>
        <v>0</v>
      </c>
      <c r="V129" s="23">
        <f>'Post Reactions '!R105</f>
        <v>0</v>
      </c>
      <c r="W129" s="23">
        <f>'Post Reactions '!S105/12</f>
        <v>0</v>
      </c>
      <c r="X129" s="24">
        <f>'Post Reactions '!T105/12</f>
        <v>0</v>
      </c>
      <c r="Z129" s="30">
        <f>ABS((T129*($T$74+$T$78)))+0.525*$T$75*$T$12*($T$71/2)+ABS(X129)+IF(U129&lt;0,ABS(U129*($T$72/2)))</f>
        <v>0</v>
      </c>
      <c r="AA129" s="23">
        <f>$T$75*($T$72/2)+$T$79*$T$78*$T$72*$T$73*($T$72/2)+IF(U129&gt;0, ABS(U129*$T$72/2),0)</f>
        <v>70560</v>
      </c>
      <c r="AB129" s="111" t="e">
        <f t="shared" si="51"/>
        <v>#DIV/0!</v>
      </c>
      <c r="AC129" s="110">
        <f t="shared" si="52"/>
        <v>5950.7999999999993</v>
      </c>
      <c r="AD129" s="109" t="str">
        <f>IFERROR(AC129/SQRT(T129^2+V129^2+(0.525*$T$80*$T$75)^2),"")</f>
        <v/>
      </c>
      <c r="AF129" s="8">
        <v>16</v>
      </c>
      <c r="AG129" s="108">
        <v>1</v>
      </c>
      <c r="AH129" s="112" t="s">
        <v>30</v>
      </c>
      <c r="AI129" s="23">
        <f>'Post Reactions '!P158</f>
        <v>0</v>
      </c>
      <c r="AJ129" s="23">
        <f>'Post Reactions '!Q158</f>
        <v>0</v>
      </c>
      <c r="AK129" s="23">
        <f>'Post Reactions '!R158</f>
        <v>0</v>
      </c>
      <c r="AL129" s="23">
        <f>'Post Reactions '!S158/12</f>
        <v>0</v>
      </c>
      <c r="AM129" s="24">
        <f>'Post Reactions '!T158/12</f>
        <v>0</v>
      </c>
      <c r="AO129" s="30">
        <f>ABS((AI129*($AI$74+$AI$78)))+0.525*$AI$75*$AI$12*($AI$71/2)+ABS(AM129)+IF(AJ129&lt;0,ABS(AJ129*($AI$72/2)))</f>
        <v>0</v>
      </c>
      <c r="AP129" s="23">
        <f>$AI$75*($AI$72/2)+$AI$79*$AI$78*$AI$72*$AI$73*($AI$72/2)+IF(AJ129&gt;0, ABS(AJ129*$AI$72/2),0)</f>
        <v>70560</v>
      </c>
      <c r="AQ129" s="111" t="e">
        <f t="shared" si="56"/>
        <v>#DIV/0!</v>
      </c>
      <c r="AR129" s="110">
        <f t="shared" si="57"/>
        <v>5950.7999999999993</v>
      </c>
      <c r="AS129" s="109" t="str">
        <f>IFERROR(AR129/SQRT(AI129^2+AK129^2+(0.525*$AI$80*$AI$75)^2),"")</f>
        <v/>
      </c>
      <c r="AU129" s="8">
        <v>16</v>
      </c>
      <c r="AV129" s="108">
        <v>1</v>
      </c>
      <c r="AW129" s="112" t="s">
        <v>30</v>
      </c>
      <c r="AX129" s="23">
        <f>'Post Reactions '!P211</f>
        <v>0</v>
      </c>
      <c r="AY129" s="23">
        <f>'Post Reactions '!Q211</f>
        <v>0</v>
      </c>
      <c r="AZ129" s="23">
        <f>'Post Reactions '!R211</f>
        <v>0</v>
      </c>
      <c r="BA129" s="23">
        <f>'Post Reactions '!S211/12</f>
        <v>0</v>
      </c>
      <c r="BB129" s="24">
        <f>'Post Reactions '!T211/12</f>
        <v>0</v>
      </c>
      <c r="BD129" s="30">
        <f>ABS((AX129*($AX$74+$AX$78)))+0.525*$AX$75*$AX$12*($AX$71/2)+ABS(BB129)+IF(AY129&lt;0,ABS(AY129*($AX$72/2)))</f>
        <v>0</v>
      </c>
      <c r="BE129" s="23">
        <f>$AX$75*($AX$72/2)+$AX$79*$AX$78*$AX$72*$AX$73*($AX$72/2)+IF(AY129&gt;0, ABS(AY129*$AX$72/2),0)</f>
        <v>70560</v>
      </c>
      <c r="BF129" s="111" t="e">
        <f t="shared" si="61"/>
        <v>#DIV/0!</v>
      </c>
      <c r="BG129" s="110">
        <f t="shared" si="62"/>
        <v>5950.7999999999993</v>
      </c>
      <c r="BH129" s="109" t="str">
        <f>IFERROR(BG129/SQRT(AX129^2+AZ129^2+(0.525*$AX$80*$AX$75)^2),"")</f>
        <v/>
      </c>
    </row>
    <row r="130" spans="1:60" x14ac:dyDescent="0.25">
      <c r="A130" s="8">
        <v>17</v>
      </c>
      <c r="B130" s="108">
        <v>1</v>
      </c>
      <c r="C130" s="112" t="s">
        <v>31</v>
      </c>
      <c r="D130" s="23">
        <f>'Post Reactions '!P53</f>
        <v>0</v>
      </c>
      <c r="E130" s="23">
        <f>'Post Reactions '!Q53</f>
        <v>0</v>
      </c>
      <c r="F130" s="23">
        <f>'Post Reactions '!R53</f>
        <v>0</v>
      </c>
      <c r="G130" s="23">
        <f>'Post Reactions '!S53/12</f>
        <v>0</v>
      </c>
      <c r="H130" s="24">
        <f>'Post Reactions '!T53/12</f>
        <v>0</v>
      </c>
      <c r="J130" s="30">
        <f>ABS((F130*($D$74+$D$78)))+$D$75*$D$12*($D$74/2)*0.525+ABS(G130)+IF(E130&lt;0,ABS(E130*($D$72/2)))</f>
        <v>0</v>
      </c>
      <c r="K130" s="23">
        <f>$D$75*($D$73/2)+$D$79*$D$78*$D$72*$D$73*($D$73/2)+IF(E130&gt;0, ABS(E130*$D$73/2),0)</f>
        <v>39690</v>
      </c>
      <c r="L130" s="111" t="e">
        <f t="shared" si="46"/>
        <v>#DIV/0!</v>
      </c>
      <c r="M130" s="110">
        <f t="shared" si="47"/>
        <v>5950.7999999999993</v>
      </c>
      <c r="N130" s="109" t="str">
        <f>IFERROR(M130/SQRT(D130^2+F130^2+(0.525*$D$80*$D$75)^2),"")</f>
        <v/>
      </c>
      <c r="Q130" s="8">
        <v>17</v>
      </c>
      <c r="R130" s="108">
        <v>1</v>
      </c>
      <c r="S130" s="112" t="s">
        <v>31</v>
      </c>
      <c r="T130" s="23">
        <f>'Post Reactions '!P106</f>
        <v>0</v>
      </c>
      <c r="U130" s="23">
        <f>'Post Reactions '!Q106</f>
        <v>0</v>
      </c>
      <c r="V130" s="23">
        <f>'Post Reactions '!R106</f>
        <v>0</v>
      </c>
      <c r="W130" s="23">
        <f>'Post Reactions '!S106/12</f>
        <v>0</v>
      </c>
      <c r="X130" s="24">
        <f>'Post Reactions '!T106/12</f>
        <v>0</v>
      </c>
      <c r="Z130" s="30">
        <f>ABS((V130*($T$74+$T$78)))+$T$75*$T$12*($T$74/2)*0.525+ABS(W130)+IF(U130&lt;0,ABS(U130*($T$72/2)))</f>
        <v>0</v>
      </c>
      <c r="AA130" s="23">
        <f>$T$75*($T$73/2)+$T$79*$T$78*$T$72*$T$73*($T$73/2)+IF(U130&gt;0, ABS(U130*$T$73/2),0)</f>
        <v>39690</v>
      </c>
      <c r="AB130" s="111" t="e">
        <f t="shared" si="51"/>
        <v>#DIV/0!</v>
      </c>
      <c r="AC130" s="110">
        <f t="shared" si="52"/>
        <v>5950.7999999999993</v>
      </c>
      <c r="AD130" s="109" t="str">
        <f>IFERROR(AC130/SQRT(T130^2+V130^2+(0.525*$T$80*$T$75)^2),"")</f>
        <v/>
      </c>
      <c r="AF130" s="8">
        <v>17</v>
      </c>
      <c r="AG130" s="108">
        <v>1</v>
      </c>
      <c r="AH130" s="112" t="s">
        <v>31</v>
      </c>
      <c r="AI130" s="23">
        <f>'Post Reactions '!P159</f>
        <v>0</v>
      </c>
      <c r="AJ130" s="23">
        <f>'Post Reactions '!Q159</f>
        <v>0</v>
      </c>
      <c r="AK130" s="23">
        <f>'Post Reactions '!R159</f>
        <v>0</v>
      </c>
      <c r="AL130" s="23">
        <f>'Post Reactions '!S159/12</f>
        <v>0</v>
      </c>
      <c r="AM130" s="24">
        <f>'Post Reactions '!T159/12</f>
        <v>0</v>
      </c>
      <c r="AO130" s="30">
        <f>ABS((AK130*($AI$74+$AI$78)))+$AI$75*$AI$12*($AI$74/2)*0.525+ABS(AL130)+IF(AJ130&lt;0,ABS(AJ130*($AI$72/2)))</f>
        <v>0</v>
      </c>
      <c r="AP130" s="23">
        <f>$AI$75*($AI$73/2)+$AI$79*$AI$78*$AI$72*$AI$73*($AI$73/2)+IF(AJ130&gt;0, ABS(AJ130*$AI$73/2),0)</f>
        <v>39690</v>
      </c>
      <c r="AQ130" s="111" t="e">
        <f t="shared" si="56"/>
        <v>#DIV/0!</v>
      </c>
      <c r="AR130" s="110">
        <f t="shared" si="57"/>
        <v>5950.7999999999993</v>
      </c>
      <c r="AS130" s="109" t="str">
        <f>IFERROR(AR130/SQRT(AI130^2+AK130^2+(0.525*$AI$80*$AI$75)^2),"")</f>
        <v/>
      </c>
      <c r="AU130" s="8">
        <v>17</v>
      </c>
      <c r="AV130" s="108">
        <v>1</v>
      </c>
      <c r="AW130" s="112" t="s">
        <v>31</v>
      </c>
      <c r="AX130" s="23">
        <f>'Post Reactions '!P212</f>
        <v>0</v>
      </c>
      <c r="AY130" s="23">
        <f>'Post Reactions '!Q212</f>
        <v>0</v>
      </c>
      <c r="AZ130" s="23">
        <f>'Post Reactions '!R212</f>
        <v>0</v>
      </c>
      <c r="BA130" s="23">
        <f>'Post Reactions '!S212/12</f>
        <v>0</v>
      </c>
      <c r="BB130" s="24">
        <f>'Post Reactions '!T212/12</f>
        <v>0</v>
      </c>
      <c r="BD130" s="30">
        <f>ABS((AZ130*($AX$74+$AX$78)))+$AX$75*$AX$12*($AX$74/2)*0.525+ABS(BA130)+IF(AY130&lt;0,ABS(AY130*($AX$72/2)))</f>
        <v>0</v>
      </c>
      <c r="BE130" s="23">
        <f>$AX$75*($AX$73/2)+$AX$79*$AX$78*$AX$72*$AX$73*($AX$73/2)+IF(AY130&gt;0, ABS(AY130*$AX$73/2),0)</f>
        <v>39690</v>
      </c>
      <c r="BF130" s="111" t="e">
        <f t="shared" si="61"/>
        <v>#DIV/0!</v>
      </c>
      <c r="BG130" s="110">
        <f t="shared" si="62"/>
        <v>5950.7999999999993</v>
      </c>
      <c r="BH130" s="109" t="str">
        <f>IFERROR(BG130/SQRT(AX130^2+AZ130^2+(0.525*$AX$80*$AX$75)^2),"")</f>
        <v/>
      </c>
    </row>
    <row r="131" spans="1:60" x14ac:dyDescent="0.25">
      <c r="A131" s="8">
        <v>18</v>
      </c>
      <c r="B131" s="108">
        <v>1</v>
      </c>
      <c r="C131" s="112" t="s">
        <v>32</v>
      </c>
      <c r="D131" s="23">
        <f>'Post Reactions '!P54</f>
        <v>0</v>
      </c>
      <c r="E131" s="23">
        <f>'Post Reactions '!Q54</f>
        <v>0</v>
      </c>
      <c r="F131" s="23">
        <f>'Post Reactions '!R54</f>
        <v>0</v>
      </c>
      <c r="G131" s="23">
        <f>'Post Reactions '!S54/12</f>
        <v>0</v>
      </c>
      <c r="H131" s="24">
        <f>'Post Reactions '!T54/12</f>
        <v>0</v>
      </c>
      <c r="J131" s="30">
        <f>ABS((F131*($D$74+$D$78)))+$D$75*$D$12*($D$74/2)*0.525+ABS(G131)+IF(E131&lt;0,ABS(E131*($D$72/2)))</f>
        <v>0</v>
      </c>
      <c r="K131" s="23">
        <f>$D$75*($D$73/2)+$D$79*$D$78*$D$72*$D$73*($D$73/2)+IF(E131&gt;0, ABS(E131*$D$73/2),0)</f>
        <v>39690</v>
      </c>
      <c r="L131" s="111" t="e">
        <f t="shared" si="46"/>
        <v>#DIV/0!</v>
      </c>
      <c r="M131" s="110">
        <f t="shared" si="47"/>
        <v>5950.7999999999993</v>
      </c>
      <c r="N131" s="109" t="str">
        <f>IFERROR(M131/SQRT(D131^2+F131^2+(0.525*$D$80*$D$75)^2),"")</f>
        <v/>
      </c>
      <c r="Q131" s="8">
        <v>18</v>
      </c>
      <c r="R131" s="108">
        <v>1</v>
      </c>
      <c r="S131" s="112" t="s">
        <v>32</v>
      </c>
      <c r="T131" s="23">
        <f>'Post Reactions '!P107</f>
        <v>0</v>
      </c>
      <c r="U131" s="23">
        <f>'Post Reactions '!Q107</f>
        <v>0</v>
      </c>
      <c r="V131" s="23">
        <f>'Post Reactions '!R107</f>
        <v>0</v>
      </c>
      <c r="W131" s="23">
        <f>'Post Reactions '!S107/12</f>
        <v>0</v>
      </c>
      <c r="X131" s="24">
        <f>'Post Reactions '!T107/12</f>
        <v>0</v>
      </c>
      <c r="Z131" s="30">
        <f>ABS((V131*($T$74+$T$78)))+$T$75*$T$12*($T$74/2)*0.525+ABS(W131)+IF(U131&lt;0,ABS(U131*($T$72/2)))</f>
        <v>0</v>
      </c>
      <c r="AA131" s="23">
        <f>$T$75*($T$73/2)+$T$79*$T$78*$T$72*$T$73*($T$73/2)+IF(U131&gt;0, ABS(U131*$T$73/2),0)</f>
        <v>39690</v>
      </c>
      <c r="AB131" s="111" t="e">
        <f t="shared" si="51"/>
        <v>#DIV/0!</v>
      </c>
      <c r="AC131" s="110">
        <f t="shared" si="52"/>
        <v>5950.7999999999993</v>
      </c>
      <c r="AD131" s="109" t="str">
        <f>IFERROR(AC131/SQRT(T131^2+V131^2+(0.525*$T$80*$T$75)^2),"")</f>
        <v/>
      </c>
      <c r="AF131" s="8">
        <v>18</v>
      </c>
      <c r="AG131" s="108">
        <v>1</v>
      </c>
      <c r="AH131" s="112" t="s">
        <v>32</v>
      </c>
      <c r="AI131" s="23">
        <f>'Post Reactions '!P160</f>
        <v>0</v>
      </c>
      <c r="AJ131" s="23">
        <f>'Post Reactions '!Q160</f>
        <v>0</v>
      </c>
      <c r="AK131" s="23">
        <f>'Post Reactions '!R160</f>
        <v>0</v>
      </c>
      <c r="AL131" s="23">
        <f>'Post Reactions '!S160/12</f>
        <v>0</v>
      </c>
      <c r="AM131" s="24">
        <f>'Post Reactions '!T160/12</f>
        <v>0</v>
      </c>
      <c r="AO131" s="30">
        <f>ABS((AK131*($AI$74+$AI$78)))+$AI$75*$AI$12*($AI$74/2)*0.525+ABS(AL131)+IF(AJ131&lt;0,ABS(AJ131*($AI$72/2)))</f>
        <v>0</v>
      </c>
      <c r="AP131" s="23">
        <f>$AI$75*($AI$73/2)+$AI$79*$AI$78*$AI$72*$AI$73*($AI$73/2)+IF(AJ131&gt;0, ABS(AJ131*$AI$73/2),0)</f>
        <v>39690</v>
      </c>
      <c r="AQ131" s="111" t="e">
        <f t="shared" si="56"/>
        <v>#DIV/0!</v>
      </c>
      <c r="AR131" s="110">
        <f t="shared" si="57"/>
        <v>5950.7999999999993</v>
      </c>
      <c r="AS131" s="109" t="str">
        <f>IFERROR(AR131/SQRT(AI131^2+AK131^2+(0.525*$AI$80*$AI$75)^2),"")</f>
        <v/>
      </c>
      <c r="AU131" s="8">
        <v>18</v>
      </c>
      <c r="AV131" s="108">
        <v>1</v>
      </c>
      <c r="AW131" s="112" t="s">
        <v>32</v>
      </c>
      <c r="AX131" s="23">
        <f>'Post Reactions '!P213</f>
        <v>0</v>
      </c>
      <c r="AY131" s="23">
        <f>'Post Reactions '!Q213</f>
        <v>0</v>
      </c>
      <c r="AZ131" s="23">
        <f>'Post Reactions '!R213</f>
        <v>0</v>
      </c>
      <c r="BA131" s="23">
        <f>'Post Reactions '!S213/12</f>
        <v>0</v>
      </c>
      <c r="BB131" s="24">
        <f>'Post Reactions '!T213/12</f>
        <v>0</v>
      </c>
      <c r="BD131" s="30">
        <f>ABS((AZ131*($AX$74+$AX$78)))+$AX$75*$AX$12*($AX$74/2)*0.525+ABS(BA131)+IF(AY131&lt;0,ABS(AY131*($AX$72/2)))</f>
        <v>0</v>
      </c>
      <c r="BE131" s="23">
        <f>$AX$75*($AX$73/2)+$AX$79*$AX$78*$AX$72*$AX$73*($AX$73/2)+IF(AY131&gt;0, ABS(AY131*$AX$73/2),0)</f>
        <v>39690</v>
      </c>
      <c r="BF131" s="111" t="e">
        <f t="shared" si="61"/>
        <v>#DIV/0!</v>
      </c>
      <c r="BG131" s="110">
        <f t="shared" si="62"/>
        <v>5950.7999999999993</v>
      </c>
      <c r="BH131" s="109" t="str">
        <f>IFERROR(BG131/SQRT(AX131^2+AZ131^2+(0.525*$AX$80*$AX$75)^2),"")</f>
        <v/>
      </c>
    </row>
    <row r="132" spans="1:60" x14ac:dyDescent="0.25">
      <c r="A132" s="8">
        <v>19</v>
      </c>
      <c r="B132" s="108">
        <v>0.6</v>
      </c>
      <c r="C132" s="112" t="s">
        <v>37</v>
      </c>
      <c r="D132" s="23">
        <f>'Post Reactions '!P55</f>
        <v>0</v>
      </c>
      <c r="E132" s="23">
        <f>'Post Reactions '!Q55</f>
        <v>0</v>
      </c>
      <c r="F132" s="23">
        <f>'Post Reactions '!R55</f>
        <v>0</v>
      </c>
      <c r="G132" s="23">
        <f>'Post Reactions '!S55/12</f>
        <v>0</v>
      </c>
      <c r="H132" s="24">
        <f>'Post Reactions '!T55/12</f>
        <v>0</v>
      </c>
      <c r="J132" s="30">
        <f>ABS((D132*($D$74+$D$78)))+$D$75*$D$12*($D$74/2)*0.7+ABS(H132)+IF(E132&lt;0,ABS(E132*($D$72/2)))</f>
        <v>0</v>
      </c>
      <c r="K132" s="23">
        <f>0.6*$D$75*($D$72/2)+0.6*$D$79*$D$78*$D$72*$D$73*($D$72/2)+IF(E132&gt;0, ABS(E132*$D$72/2),0)</f>
        <v>42336</v>
      </c>
      <c r="L132" s="111" t="e">
        <f t="shared" si="46"/>
        <v>#DIV/0!</v>
      </c>
      <c r="M132" s="110">
        <f t="shared" si="47"/>
        <v>3570.4799999999996</v>
      </c>
      <c r="N132" s="109" t="str">
        <f>IFERROR(M132/SQRT(D132^2+F132^2+(0.7*$D$80*$D$75)^2),"")</f>
        <v/>
      </c>
      <c r="Q132" s="8">
        <v>19</v>
      </c>
      <c r="R132" s="108">
        <v>0.6</v>
      </c>
      <c r="S132" s="112" t="s">
        <v>37</v>
      </c>
      <c r="T132" s="23">
        <f>'Post Reactions '!P108</f>
        <v>0</v>
      </c>
      <c r="U132" s="23">
        <f>'Post Reactions '!Q108</f>
        <v>0</v>
      </c>
      <c r="V132" s="23">
        <f>'Post Reactions '!R108</f>
        <v>0</v>
      </c>
      <c r="W132" s="23">
        <f>'Post Reactions '!S108/12</f>
        <v>0</v>
      </c>
      <c r="X132" s="24">
        <f>'Post Reactions '!T108/12</f>
        <v>0</v>
      </c>
      <c r="Z132" s="30">
        <f>ABS((T132*($T$74+$T$78)))+$T$75*$T$12*($T$74/2)*0.7+ABS(X132)+IF(U132&lt;0,ABS(U132*($T$72/2)))</f>
        <v>0</v>
      </c>
      <c r="AA132" s="23">
        <f>0.6*$T$75*($T$72/2)+0.6*$T$79*$T$78*$T$72*$T$73*($T$72/2)+IF(U132&gt;0, ABS(U132*$T$72/2),0)</f>
        <v>42336</v>
      </c>
      <c r="AB132" s="111" t="e">
        <f t="shared" si="51"/>
        <v>#DIV/0!</v>
      </c>
      <c r="AC132" s="110">
        <f t="shared" si="52"/>
        <v>3570.4799999999996</v>
      </c>
      <c r="AD132" s="109" t="str">
        <f>IFERROR(AC132/SQRT(T132^2+V132^2+(0.7*$T$80*$T$75)^2),"")</f>
        <v/>
      </c>
      <c r="AF132" s="8">
        <v>19</v>
      </c>
      <c r="AG132" s="108">
        <v>0.6</v>
      </c>
      <c r="AH132" s="112" t="s">
        <v>37</v>
      </c>
      <c r="AI132" s="23">
        <f>'Post Reactions '!P161</f>
        <v>0</v>
      </c>
      <c r="AJ132" s="23">
        <f>'Post Reactions '!Q161</f>
        <v>0</v>
      </c>
      <c r="AK132" s="23">
        <f>'Post Reactions '!R161</f>
        <v>0</v>
      </c>
      <c r="AL132" s="23">
        <f>'Post Reactions '!S161/12</f>
        <v>0</v>
      </c>
      <c r="AM132" s="24">
        <f>'Post Reactions '!T161/12</f>
        <v>0</v>
      </c>
      <c r="AO132" s="30">
        <f>ABS((AI132*($AI$74+$AI$78)))+$AI$75*$AI$12*($AI$74/2)*0.7+ABS(AM132)+IF(AJ132&lt;0,ABS(AJ132*($AI$72/2)))</f>
        <v>0</v>
      </c>
      <c r="AP132" s="23">
        <f>0.6*$AI$75*($AI$72/2)+0.6*$AI$79*$AI$78*$AI$72*$AI$73*($AI$72/2)+IF(AJ132&gt;0, ABS(AJ132*$AI$72/2),0)</f>
        <v>42336</v>
      </c>
      <c r="AQ132" s="111" t="e">
        <f t="shared" si="56"/>
        <v>#DIV/0!</v>
      </c>
      <c r="AR132" s="110">
        <f t="shared" si="57"/>
        <v>3570.4799999999996</v>
      </c>
      <c r="AS132" s="109" t="str">
        <f>IFERROR(AR132/SQRT(AI132^2+AK132^2+(0.7*$AI$80*$AI$75)^2),"")</f>
        <v/>
      </c>
      <c r="AU132" s="8">
        <v>19</v>
      </c>
      <c r="AV132" s="108">
        <v>0.6</v>
      </c>
      <c r="AW132" s="112" t="s">
        <v>37</v>
      </c>
      <c r="AX132" s="23">
        <f>'Post Reactions '!P214</f>
        <v>0</v>
      </c>
      <c r="AY132" s="23">
        <f>'Post Reactions '!Q214</f>
        <v>0</v>
      </c>
      <c r="AZ132" s="23">
        <f>'Post Reactions '!R214</f>
        <v>0</v>
      </c>
      <c r="BA132" s="23">
        <f>'Post Reactions '!S214/12</f>
        <v>0</v>
      </c>
      <c r="BB132" s="24">
        <f>'Post Reactions '!T214/12</f>
        <v>0</v>
      </c>
      <c r="BD132" s="30">
        <f>ABS((AX132*($AX$74+$AX$78)))+$AX$75*$AX$12*($AX$74/2)*0.7+ABS(BB132)+IF(AY132&lt;0,ABS(AY132*($AX$72/2)))</f>
        <v>0</v>
      </c>
      <c r="BE132" s="23">
        <f>0.6*$AX$75*($AX$72/2)+0.6*$AX$79*$AX$78*$AX$72*$AX$73*($AX$72/2)+IF(AY132&gt;0, ABS(AY132*$AX$72/2),0)</f>
        <v>42336</v>
      </c>
      <c r="BF132" s="111" t="e">
        <f t="shared" si="61"/>
        <v>#DIV/0!</v>
      </c>
      <c r="BG132" s="110">
        <f t="shared" si="62"/>
        <v>3570.4799999999996</v>
      </c>
      <c r="BH132" s="109" t="str">
        <f>IFERROR(BG132/SQRT(AX132^2+AZ132^2+(0.7*$AX$80*$AX$75)^2),"")</f>
        <v/>
      </c>
    </row>
    <row r="133" spans="1:60" x14ac:dyDescent="0.25">
      <c r="A133" s="8">
        <v>20</v>
      </c>
      <c r="B133" s="108">
        <v>0.6</v>
      </c>
      <c r="C133" s="112" t="s">
        <v>38</v>
      </c>
      <c r="D133" s="23">
        <f>'Post Reactions '!P56</f>
        <v>0</v>
      </c>
      <c r="E133" s="23">
        <f>'Post Reactions '!Q56</f>
        <v>0</v>
      </c>
      <c r="F133" s="23">
        <f>'Post Reactions '!R56</f>
        <v>0</v>
      </c>
      <c r="G133" s="23">
        <f>'Post Reactions '!S56/12</f>
        <v>0</v>
      </c>
      <c r="H133" s="24">
        <f>'Post Reactions '!T56/12</f>
        <v>0</v>
      </c>
      <c r="J133" s="30">
        <f>ABS((D133*($D$74+$D$78)))+$D$75*$D$12*($D$74/2)*0.7+ABS(H133)+IF(E133&lt;0,ABS(E133*($D$72/2)))</f>
        <v>0</v>
      </c>
      <c r="K133" s="23">
        <f>0.6*$D$75*($D$72/2)+0.6*$D$79*$D$78*$D$72*$D$73*($D$72/2)+IF(E133&gt;0, ABS(E133*$D$72/2),0)</f>
        <v>42336</v>
      </c>
      <c r="L133" s="111" t="e">
        <f t="shared" si="46"/>
        <v>#DIV/0!</v>
      </c>
      <c r="M133" s="110">
        <f t="shared" si="47"/>
        <v>3570.4799999999996</v>
      </c>
      <c r="N133" s="109" t="str">
        <f>IFERROR(M133/SQRT(D133^2+F133^2+(0.7*$D$80*$D$75)^2),"")</f>
        <v/>
      </c>
      <c r="Q133" s="8">
        <v>20</v>
      </c>
      <c r="R133" s="108">
        <v>0.6</v>
      </c>
      <c r="S133" s="112" t="s">
        <v>38</v>
      </c>
      <c r="T133" s="23">
        <f>'Post Reactions '!P109</f>
        <v>0</v>
      </c>
      <c r="U133" s="23">
        <f>'Post Reactions '!Q109</f>
        <v>0</v>
      </c>
      <c r="V133" s="23">
        <f>'Post Reactions '!R109</f>
        <v>0</v>
      </c>
      <c r="W133" s="23">
        <f>'Post Reactions '!S109/12</f>
        <v>0</v>
      </c>
      <c r="X133" s="24">
        <f>'Post Reactions '!T109/12</f>
        <v>0</v>
      </c>
      <c r="Z133" s="30">
        <f>ABS((T133*($T$74+$T$78)))+$T$75*$T$12*($T$74/2)*0.7+ABS(X133)+IF(U133&lt;0,ABS(U133*($T$72/2)))</f>
        <v>0</v>
      </c>
      <c r="AA133" s="23">
        <f>0.6*$T$75*($T$72/2)+0.6*$T$79*$T$78*$T$72*$T$73*($T$72/2)+IF(U133&gt;0, ABS(U133*$T$72/2),0)</f>
        <v>42336</v>
      </c>
      <c r="AB133" s="111" t="e">
        <f t="shared" si="51"/>
        <v>#DIV/0!</v>
      </c>
      <c r="AC133" s="110">
        <f t="shared" si="52"/>
        <v>3570.4799999999996</v>
      </c>
      <c r="AD133" s="109" t="str">
        <f>IFERROR(AC133/SQRT(T133^2+V133^2+(0.7*$T$80*$T$75)^2),"")</f>
        <v/>
      </c>
      <c r="AF133" s="8">
        <v>20</v>
      </c>
      <c r="AG133" s="108">
        <v>0.6</v>
      </c>
      <c r="AH133" s="112" t="s">
        <v>38</v>
      </c>
      <c r="AI133" s="23">
        <f>'Post Reactions '!P162</f>
        <v>0</v>
      </c>
      <c r="AJ133" s="23">
        <f>'Post Reactions '!Q162</f>
        <v>0</v>
      </c>
      <c r="AK133" s="23">
        <f>'Post Reactions '!R162</f>
        <v>0</v>
      </c>
      <c r="AL133" s="23">
        <f>'Post Reactions '!S162/12</f>
        <v>0</v>
      </c>
      <c r="AM133" s="24">
        <f>'Post Reactions '!T162/12</f>
        <v>0</v>
      </c>
      <c r="AO133" s="30">
        <f>ABS((AI133*($AI$74+$AI$78)))+$AI$75*$AI$12*($AI$74/2)*0.7+ABS(AM133)+IF(AJ133&lt;0,ABS(AJ133*($AI$72/2)))</f>
        <v>0</v>
      </c>
      <c r="AP133" s="23">
        <f>0.6*$AI$75*($AI$72/2)+0.6*$AI$79*$AI$78*$AI$72*$AI$73*($AI$72/2)+IF(AJ133&gt;0, ABS(AJ133*$AI$72/2),0)</f>
        <v>42336</v>
      </c>
      <c r="AQ133" s="111" t="e">
        <f t="shared" si="56"/>
        <v>#DIV/0!</v>
      </c>
      <c r="AR133" s="110">
        <f t="shared" si="57"/>
        <v>3570.4799999999996</v>
      </c>
      <c r="AS133" s="109" t="str">
        <f>IFERROR(AR133/SQRT(AI133^2+AK133^2+(0.7*$AI$80*$AI$75)^2),"")</f>
        <v/>
      </c>
      <c r="AU133" s="8">
        <v>20</v>
      </c>
      <c r="AV133" s="108">
        <v>0.6</v>
      </c>
      <c r="AW133" s="112" t="s">
        <v>38</v>
      </c>
      <c r="AX133" s="23">
        <f>'Post Reactions '!P215</f>
        <v>0</v>
      </c>
      <c r="AY133" s="23">
        <f>'Post Reactions '!Q215</f>
        <v>0</v>
      </c>
      <c r="AZ133" s="23">
        <f>'Post Reactions '!R215</f>
        <v>0</v>
      </c>
      <c r="BA133" s="23">
        <f>'Post Reactions '!S215/12</f>
        <v>0</v>
      </c>
      <c r="BB133" s="24">
        <f>'Post Reactions '!T215/12</f>
        <v>0</v>
      </c>
      <c r="BD133" s="30">
        <f>ABS((AX133*($AX$74+$AX$78)))+$AX$75*$AX$12*($AX$74/2)*0.7+ABS(BB133)+IF(AY133&lt;0,ABS(AY133*($AX$72/2)))</f>
        <v>0</v>
      </c>
      <c r="BE133" s="23">
        <f>0.6*$AX$75*($AX$72/2)+0.6*$AX$79*$AX$78*$AX$72*$AX$73*($AX$72/2)+IF(AY133&gt;0, ABS(AY133*$AX$72/2),0)</f>
        <v>42336</v>
      </c>
      <c r="BF133" s="111" t="e">
        <f t="shared" si="61"/>
        <v>#DIV/0!</v>
      </c>
      <c r="BG133" s="110">
        <f t="shared" si="62"/>
        <v>3570.4799999999996</v>
      </c>
      <c r="BH133" s="109" t="str">
        <f>IFERROR(BG133/SQRT(AX133^2+AZ133^2+(0.7*$AX$80*$AX$75)^2),"")</f>
        <v/>
      </c>
    </row>
    <row r="134" spans="1:60" x14ac:dyDescent="0.25">
      <c r="A134" s="8">
        <v>21</v>
      </c>
      <c r="B134" s="108">
        <v>0.6</v>
      </c>
      <c r="C134" s="112" t="s">
        <v>39</v>
      </c>
      <c r="D134" s="23">
        <f>'Post Reactions '!P57</f>
        <v>0</v>
      </c>
      <c r="E134" s="23">
        <f>'Post Reactions '!Q57</f>
        <v>0</v>
      </c>
      <c r="F134" s="23">
        <f>'Post Reactions '!R57</f>
        <v>0</v>
      </c>
      <c r="G134" s="23">
        <f>'Post Reactions '!S57/12</f>
        <v>0</v>
      </c>
      <c r="H134" s="24">
        <f>'Post Reactions '!T57/12</f>
        <v>0</v>
      </c>
      <c r="J134" s="30">
        <f>ABS((F134*($D$74+$D$78)))+$D$75*$D$12*($D$74/2)*0.7+ABS(G134)+IF(E134&lt;0,ABS(E134*($D$72/2)))</f>
        <v>0</v>
      </c>
      <c r="K134" s="23">
        <f>0.6*$D$75*($D$73/2)+0.6*$D$79*$D$78*$D$72*$D$73*($D$73/2)+IF(E134&gt;0, ABS(E134*$D$73/2),0)</f>
        <v>23814</v>
      </c>
      <c r="L134" s="111" t="e">
        <f t="shared" si="46"/>
        <v>#DIV/0!</v>
      </c>
      <c r="M134" s="110">
        <f t="shared" si="47"/>
        <v>3570.4799999999996</v>
      </c>
      <c r="N134" s="109" t="str">
        <f>IFERROR(M134/SQRT(D134^2+F134^2+(0.7*$D$80*$D$75)^2),"")</f>
        <v/>
      </c>
      <c r="Q134" s="8">
        <v>21</v>
      </c>
      <c r="R134" s="108">
        <v>0.6</v>
      </c>
      <c r="S134" s="112" t="s">
        <v>39</v>
      </c>
      <c r="T134" s="23">
        <f>'Post Reactions '!P110</f>
        <v>0</v>
      </c>
      <c r="U134" s="23">
        <f>'Post Reactions '!Q110</f>
        <v>0</v>
      </c>
      <c r="V134" s="23">
        <f>'Post Reactions '!R110</f>
        <v>0</v>
      </c>
      <c r="W134" s="23">
        <f>'Post Reactions '!S110/12</f>
        <v>0</v>
      </c>
      <c r="X134" s="24">
        <f>'Post Reactions '!T110/12</f>
        <v>0</v>
      </c>
      <c r="Z134" s="30">
        <f>ABS((V134*($T$74+$T$78)))+$T$75*$T$12*($T$74/2)*0.7+ABS(W134)+IF(U134&lt;0,ABS(U134*($T$72/2)))</f>
        <v>0</v>
      </c>
      <c r="AA134" s="23">
        <f>0.6*$T$75*($T$73/2)+0.6*$T$79*$T$78*$T$72*$T$73*($T$73/2)+IF(U134&gt;0, ABS(U134*$T$73/2),0)</f>
        <v>23814</v>
      </c>
      <c r="AB134" s="111" t="e">
        <f t="shared" si="51"/>
        <v>#DIV/0!</v>
      </c>
      <c r="AC134" s="110">
        <f t="shared" si="52"/>
        <v>3570.4799999999996</v>
      </c>
      <c r="AD134" s="109" t="str">
        <f>IFERROR(AC134/SQRT(T134^2+V134^2+(0.7*$T$80*$T$75)^2),"")</f>
        <v/>
      </c>
      <c r="AF134" s="8">
        <v>21</v>
      </c>
      <c r="AG134" s="108">
        <v>0.6</v>
      </c>
      <c r="AH134" s="112" t="s">
        <v>39</v>
      </c>
      <c r="AI134" s="23">
        <f>'Post Reactions '!P163</f>
        <v>0</v>
      </c>
      <c r="AJ134" s="23">
        <f>'Post Reactions '!Q163</f>
        <v>0</v>
      </c>
      <c r="AK134" s="23">
        <f>'Post Reactions '!R163</f>
        <v>0</v>
      </c>
      <c r="AL134" s="23">
        <f>'Post Reactions '!S163/12</f>
        <v>0</v>
      </c>
      <c r="AM134" s="24">
        <f>'Post Reactions '!T163/12</f>
        <v>0</v>
      </c>
      <c r="AO134" s="30">
        <f>ABS((AK134*($AI$74+$AI$78)))+$AI$75*$AI$12*($AI$74/2)*0.7+ABS(AL134)+IF(AJ134&lt;0,ABS(AJ134*($AI$72/2)))</f>
        <v>0</v>
      </c>
      <c r="AP134" s="23">
        <f>0.6*$AI$75*($AI$73/2)+0.6*$AI$79*$AI$78*$AI$72*$AI$73*($AI$73/2)+IF(AJ134&gt;0, ABS(AJ134*$AI$73/2),0)</f>
        <v>23814</v>
      </c>
      <c r="AQ134" s="111" t="e">
        <f t="shared" si="56"/>
        <v>#DIV/0!</v>
      </c>
      <c r="AR134" s="110">
        <f t="shared" si="57"/>
        <v>3570.4799999999996</v>
      </c>
      <c r="AS134" s="109" t="str">
        <f>IFERROR(AR134/SQRT(AI134^2+AK134^2+(0.7*$AI$80*$AI$75)^2),"")</f>
        <v/>
      </c>
      <c r="AU134" s="8">
        <v>21</v>
      </c>
      <c r="AV134" s="108">
        <v>0.6</v>
      </c>
      <c r="AW134" s="112" t="s">
        <v>39</v>
      </c>
      <c r="AX134" s="23">
        <f>'Post Reactions '!P216</f>
        <v>0</v>
      </c>
      <c r="AY134" s="23">
        <f>'Post Reactions '!Q216</f>
        <v>0</v>
      </c>
      <c r="AZ134" s="23">
        <f>'Post Reactions '!R216</f>
        <v>0</v>
      </c>
      <c r="BA134" s="23">
        <f>'Post Reactions '!S216/12</f>
        <v>0</v>
      </c>
      <c r="BB134" s="24">
        <f>'Post Reactions '!T216/12</f>
        <v>0</v>
      </c>
      <c r="BD134" s="30">
        <f>ABS((AZ134*($AX$74+$AX$78)))+$AX$75*$AX$12*($AX$74/2)*0.7+ABS(BA134)+IF(AY134&lt;0,ABS(AY134*($AX$72/2)))</f>
        <v>0</v>
      </c>
      <c r="BE134" s="23">
        <f>0.6*$AX$75*($AX$73/2)+0.6*$AX$79*$AX$78*$AX$72*$AX$73*($AX$73/2)+IF(AY134&gt;0, ABS(AY134*$AX$73/2),0)</f>
        <v>23814</v>
      </c>
      <c r="BF134" s="111" t="e">
        <f t="shared" si="61"/>
        <v>#DIV/0!</v>
      </c>
      <c r="BG134" s="110">
        <f t="shared" si="62"/>
        <v>3570.4799999999996</v>
      </c>
      <c r="BH134" s="109" t="str">
        <f>IFERROR(BG134/SQRT(AX134^2+AZ134^2+(0.7*$AX$80*$AX$75)^2),"")</f>
        <v/>
      </c>
    </row>
    <row r="135" spans="1:60" ht="15.75" thickBot="1" x14ac:dyDescent="0.3">
      <c r="A135" s="8">
        <v>22</v>
      </c>
      <c r="B135" s="108">
        <v>0.6</v>
      </c>
      <c r="C135" s="107" t="s">
        <v>40</v>
      </c>
      <c r="D135" s="31">
        <f>'Post Reactions '!P58</f>
        <v>0</v>
      </c>
      <c r="E135" s="31">
        <f>'Post Reactions '!Q58</f>
        <v>0</v>
      </c>
      <c r="F135" s="31">
        <f>'Post Reactions '!R58</f>
        <v>0</v>
      </c>
      <c r="G135" s="31">
        <f>'Post Reactions '!S58/12</f>
        <v>0</v>
      </c>
      <c r="H135" s="32">
        <f>'Post Reactions '!T58/12</f>
        <v>0</v>
      </c>
      <c r="J135" s="33">
        <f>ABS((F135*($D$74+$D$78)))+$D$75*$D$12*($D$74/2)*0.7+ABS(G135)+IF(E135&lt;0,ABS(E135*($D$72/2)))</f>
        <v>0</v>
      </c>
      <c r="K135" s="31">
        <f>0.6*$D$75*($D$73/2)+0.6*$D$79*$D$78*$D$72*$D$73*($D$73/2)+IF(E135&gt;0, ABS(E135*$D$73/2),0)</f>
        <v>23814</v>
      </c>
      <c r="L135" s="106" t="e">
        <f t="shared" si="46"/>
        <v>#DIV/0!</v>
      </c>
      <c r="M135" s="105">
        <f t="shared" si="47"/>
        <v>3570.4799999999996</v>
      </c>
      <c r="N135" s="104" t="str">
        <f>IFERROR(M135/SQRT(D135^2+F135^2+(0.7*$D$80*$D$75)^2),"")</f>
        <v/>
      </c>
      <c r="Q135" s="8">
        <v>22</v>
      </c>
      <c r="R135" s="108">
        <v>0.6</v>
      </c>
      <c r="S135" s="107" t="s">
        <v>40</v>
      </c>
      <c r="T135" s="31">
        <f>'Post Reactions '!P111</f>
        <v>0</v>
      </c>
      <c r="U135" s="31">
        <f>'Post Reactions '!Q111</f>
        <v>0</v>
      </c>
      <c r="V135" s="31">
        <f>'Post Reactions '!R111</f>
        <v>0</v>
      </c>
      <c r="W135" s="31">
        <f>'Post Reactions '!S111/12</f>
        <v>0</v>
      </c>
      <c r="X135" s="32">
        <f>'Post Reactions '!T111/12</f>
        <v>0</v>
      </c>
      <c r="Z135" s="33">
        <f>ABS((V135*($T$74+$T$78)))+$T$75*$T$12*($T$74/2)*0.7+ABS(W135)+IF(U135&lt;0,ABS(U135*($T$72/2)))</f>
        <v>0</v>
      </c>
      <c r="AA135" s="31">
        <f>0.6*$T$75*($T$73/2)+0.6*$T$79*$T$78*$T$72*$T$73*($T$73/2)+IF(U135&gt;0, ABS(U135*$T$73/2),0)</f>
        <v>23814</v>
      </c>
      <c r="AB135" s="106" t="e">
        <f t="shared" si="51"/>
        <v>#DIV/0!</v>
      </c>
      <c r="AC135" s="105">
        <f t="shared" si="52"/>
        <v>3570.4799999999996</v>
      </c>
      <c r="AD135" s="104" t="str">
        <f>IFERROR(AC135/SQRT(T135^2+V135^2+(0.7*$T$80*$T$75)^2),"")</f>
        <v/>
      </c>
      <c r="AF135" s="8">
        <v>22</v>
      </c>
      <c r="AG135" s="108">
        <v>0.6</v>
      </c>
      <c r="AH135" s="107" t="s">
        <v>40</v>
      </c>
      <c r="AI135" s="31">
        <f>'Post Reactions '!P164</f>
        <v>0</v>
      </c>
      <c r="AJ135" s="31">
        <f>'Post Reactions '!Q164</f>
        <v>0</v>
      </c>
      <c r="AK135" s="31">
        <f>'Post Reactions '!R164</f>
        <v>0</v>
      </c>
      <c r="AL135" s="31">
        <f>'Post Reactions '!S164/12</f>
        <v>0</v>
      </c>
      <c r="AM135" s="32">
        <f>'Post Reactions '!T164/12</f>
        <v>0</v>
      </c>
      <c r="AO135" s="33">
        <f>ABS((AK135*($AI$74+$AI$78)))+$AI$75*$AI$12*($AI$74/2)*0.7+ABS(AL135)+IF(AJ135&lt;0,ABS(AJ135*($AI$72/2)))</f>
        <v>0</v>
      </c>
      <c r="AP135" s="31">
        <f>0.6*$AI$75*($AI$73/2)+0.6*$AI$79*$AI$78*$AI$72*$AI$73*($AI$73/2)+IF(AJ135&gt;0, ABS(AJ135*$AI$73/2),0)</f>
        <v>23814</v>
      </c>
      <c r="AQ135" s="106" t="e">
        <f t="shared" si="56"/>
        <v>#DIV/0!</v>
      </c>
      <c r="AR135" s="105">
        <f t="shared" si="57"/>
        <v>3570.4799999999996</v>
      </c>
      <c r="AS135" s="104" t="str">
        <f>IFERROR(AR135/SQRT(AI135^2+AK135^2+(0.7*$AI$80*$AI$75)^2),"")</f>
        <v/>
      </c>
      <c r="AU135" s="8">
        <v>22</v>
      </c>
      <c r="AV135" s="108">
        <v>0.6</v>
      </c>
      <c r="AW135" s="107" t="s">
        <v>40</v>
      </c>
      <c r="AX135" s="31">
        <f>'Post Reactions '!P217</f>
        <v>0</v>
      </c>
      <c r="AY135" s="31">
        <f>'Post Reactions '!Q217</f>
        <v>0</v>
      </c>
      <c r="AZ135" s="31">
        <f>'Post Reactions '!R217</f>
        <v>0</v>
      </c>
      <c r="BA135" s="31">
        <f>'Post Reactions '!S217/12</f>
        <v>0</v>
      </c>
      <c r="BB135" s="32">
        <f>'Post Reactions '!T217/12</f>
        <v>0</v>
      </c>
      <c r="BD135" s="33">
        <f>ABS((AZ135*($AX$74+$AX$78)))+$AX$75*$AX$12*($AX$74/2)*0.7+ABS(BA135)+IF(AY135&lt;0,ABS(AY135*($AX$72/2)))</f>
        <v>0</v>
      </c>
      <c r="BE135" s="31">
        <f>0.6*$AX$75*($AX$73/2)+0.6*$AX$79*$AX$78*$AX$72*$AX$73*($AX$73/2)+IF(AY135&gt;0, ABS(AY135*$AX$73/2),0)</f>
        <v>23814</v>
      </c>
      <c r="BF135" s="106" t="e">
        <f t="shared" si="61"/>
        <v>#DIV/0!</v>
      </c>
      <c r="BG135" s="105">
        <f t="shared" si="62"/>
        <v>3570.4799999999996</v>
      </c>
      <c r="BH135" s="104" t="str">
        <f>IFERROR(BG135/SQRT(AX135^2+AZ135^2+(0.7*$AX$80*$AX$75)^2),"")</f>
        <v/>
      </c>
    </row>
  </sheetData>
  <mergeCells count="18">
    <mergeCell ref="S112:AD112"/>
    <mergeCell ref="C3:D3"/>
    <mergeCell ref="C71:D71"/>
    <mergeCell ref="C18:N18"/>
    <mergeCell ref="C112:N112"/>
    <mergeCell ref="C86:N86"/>
    <mergeCell ref="C44:N44"/>
    <mergeCell ref="S18:AD18"/>
    <mergeCell ref="S44:AD44"/>
    <mergeCell ref="S3:T3"/>
    <mergeCell ref="S71:T71"/>
    <mergeCell ref="S86:AD86"/>
    <mergeCell ref="AH71:AI71"/>
    <mergeCell ref="AH86:AS86"/>
    <mergeCell ref="AH112:AS112"/>
    <mergeCell ref="AW71:AX71"/>
    <mergeCell ref="AW86:BH86"/>
    <mergeCell ref="AW112:BH112"/>
  </mergeCells>
  <conditionalFormatting sqref="L20:L41 L88:L109 L46:L67 L114:L135">
    <cfRule type="cellIs" dxfId="66" priority="38" operator="lessThan">
      <formula>1</formula>
    </cfRule>
  </conditionalFormatting>
  <conditionalFormatting sqref="N20:N41">
    <cfRule type="cellIs" dxfId="65" priority="37" operator="lessThan">
      <formula>1</formula>
    </cfRule>
  </conditionalFormatting>
  <conditionalFormatting sqref="N46:N67">
    <cfRule type="cellIs" dxfId="64" priority="36" operator="lessThan">
      <formula>1</formula>
    </cfRule>
  </conditionalFormatting>
  <conditionalFormatting sqref="N88:N109">
    <cfRule type="cellIs" dxfId="63" priority="35" operator="lessThan">
      <formula>1</formula>
    </cfRule>
  </conditionalFormatting>
  <conditionalFormatting sqref="N114:N135">
    <cfRule type="cellIs" dxfId="62" priority="34" operator="lessThan">
      <formula>1</formula>
    </cfRule>
  </conditionalFormatting>
  <conditionalFormatting sqref="AB88:AB109">
    <cfRule type="cellIs" dxfId="61" priority="16" operator="lessThan">
      <formula>1</formula>
    </cfRule>
  </conditionalFormatting>
  <conditionalFormatting sqref="AD88:AD109">
    <cfRule type="cellIs" dxfId="60" priority="15" operator="lessThan">
      <formula>1</formula>
    </cfRule>
  </conditionalFormatting>
  <conditionalFormatting sqref="AB114:AB135">
    <cfRule type="cellIs" dxfId="59" priority="14" operator="lessThan">
      <formula>1</formula>
    </cfRule>
  </conditionalFormatting>
  <conditionalFormatting sqref="AD114:AD135">
    <cfRule type="cellIs" dxfId="58" priority="13" operator="lessThan">
      <formula>1</formula>
    </cfRule>
  </conditionalFormatting>
  <conditionalFormatting sqref="AQ88:AQ109">
    <cfRule type="cellIs" dxfId="57" priority="12" operator="lessThan">
      <formula>1</formula>
    </cfRule>
  </conditionalFormatting>
  <conditionalFormatting sqref="AS88:AS109">
    <cfRule type="cellIs" dxfId="56" priority="11" operator="lessThan">
      <formula>1</formula>
    </cfRule>
  </conditionalFormatting>
  <conditionalFormatting sqref="AQ114:AQ135">
    <cfRule type="cellIs" dxfId="55" priority="10" operator="lessThan">
      <formula>1</formula>
    </cfRule>
  </conditionalFormatting>
  <conditionalFormatting sqref="AS114:AS135">
    <cfRule type="cellIs" dxfId="54" priority="9" operator="lessThan">
      <formula>1</formula>
    </cfRule>
  </conditionalFormatting>
  <conditionalFormatting sqref="BF88:BF109">
    <cfRule type="cellIs" dxfId="53" priority="8" operator="lessThan">
      <formula>1</formula>
    </cfRule>
  </conditionalFormatting>
  <conditionalFormatting sqref="BH88:BH109">
    <cfRule type="cellIs" dxfId="52" priority="7" operator="lessThan">
      <formula>1</formula>
    </cfRule>
  </conditionalFormatting>
  <conditionalFormatting sqref="BF114:BF135">
    <cfRule type="cellIs" dxfId="51" priority="6" operator="lessThan">
      <formula>1</formula>
    </cfRule>
  </conditionalFormatting>
  <conditionalFormatting sqref="BH114:BH135">
    <cfRule type="cellIs" dxfId="50" priority="5" operator="lessThan">
      <formula>1</formula>
    </cfRule>
  </conditionalFormatting>
  <conditionalFormatting sqref="AB20:AB41">
    <cfRule type="cellIs" dxfId="49" priority="4" operator="lessThan">
      <formula>1</formula>
    </cfRule>
  </conditionalFormatting>
  <conditionalFormatting sqref="AD20:AD41">
    <cfRule type="cellIs" dxfId="48" priority="3" operator="lessThan">
      <formula>1</formula>
    </cfRule>
  </conditionalFormatting>
  <conditionalFormatting sqref="AB46:AB67">
    <cfRule type="cellIs" dxfId="47" priority="2" operator="lessThan">
      <formula>1</formula>
    </cfRule>
  </conditionalFormatting>
  <conditionalFormatting sqref="AD46:AD67">
    <cfRule type="cellIs" dxfId="46" priority="1" operator="lessThan">
      <formula>1</formula>
    </cfRule>
  </conditionalFormatting>
  <pageMargins left="0.7" right="0.7" top="0.75" bottom="0.75" header="0.3" footer="0.3"/>
  <pageSetup scale="36" orientation="portrait" r:id="rId1"/>
  <rowBreaks count="1" manualBreakCount="1">
    <brk id="69" max="16383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F8977-75AB-4B29-B52E-3F6F16DA0BE2}">
  <sheetPr codeName="Sheet21"/>
  <dimension ref="A1:AN19"/>
  <sheetViews>
    <sheetView workbookViewId="0">
      <selection activeCell="F22" sqref="F22"/>
    </sheetView>
  </sheetViews>
  <sheetFormatPr defaultRowHeight="15" x14ac:dyDescent="0.25"/>
  <cols>
    <col min="1" max="1" width="26.7109375" style="185" bestFit="1" customWidth="1"/>
    <col min="2" max="25" width="9.28515625" style="185"/>
    <col min="26" max="26" width="9.7109375" style="185" customWidth="1"/>
    <col min="27" max="38" width="9.28515625" style="185"/>
    <col min="39" max="40" width="9.28515625" style="184"/>
  </cols>
  <sheetData>
    <row r="1" spans="1:40" x14ac:dyDescent="0.25">
      <c r="A1" s="199" t="s">
        <v>345</v>
      </c>
      <c r="B1" s="197" t="s">
        <v>344</v>
      </c>
      <c r="C1" s="197" t="s">
        <v>343</v>
      </c>
      <c r="D1" s="197" t="s">
        <v>342</v>
      </c>
      <c r="E1" s="197" t="s">
        <v>341</v>
      </c>
      <c r="F1" s="197" t="s">
        <v>340</v>
      </c>
      <c r="G1" s="196" t="s">
        <v>339</v>
      </c>
      <c r="H1" s="197" t="s">
        <v>338</v>
      </c>
      <c r="I1" s="196" t="s">
        <v>337</v>
      </c>
      <c r="J1" s="198" t="s">
        <v>336</v>
      </c>
      <c r="K1" s="197" t="s">
        <v>335</v>
      </c>
      <c r="L1" s="198" t="s">
        <v>334</v>
      </c>
      <c r="M1" s="197" t="s">
        <v>333</v>
      </c>
      <c r="N1" s="198" t="s">
        <v>332</v>
      </c>
      <c r="O1" s="198" t="s">
        <v>331</v>
      </c>
      <c r="P1" s="197" t="s">
        <v>330</v>
      </c>
      <c r="Q1" s="197" t="s">
        <v>329</v>
      </c>
      <c r="R1" s="197" t="s">
        <v>328</v>
      </c>
      <c r="S1" s="197" t="s">
        <v>327</v>
      </c>
      <c r="T1" s="197" t="s">
        <v>326</v>
      </c>
      <c r="U1" s="197" t="s">
        <v>325</v>
      </c>
      <c r="V1" s="197" t="s">
        <v>324</v>
      </c>
      <c r="W1" s="197" t="s">
        <v>323</v>
      </c>
      <c r="X1" s="197" t="s">
        <v>322</v>
      </c>
      <c r="Y1" s="197" t="s">
        <v>321</v>
      </c>
      <c r="Z1" s="197" t="s">
        <v>320</v>
      </c>
      <c r="AA1" s="197" t="s">
        <v>319</v>
      </c>
      <c r="AB1" s="197" t="s">
        <v>318</v>
      </c>
      <c r="AC1" s="197" t="s">
        <v>317</v>
      </c>
      <c r="AD1" s="197" t="s">
        <v>316</v>
      </c>
      <c r="AE1" s="197" t="s">
        <v>315</v>
      </c>
      <c r="AF1" s="197" t="s">
        <v>314</v>
      </c>
      <c r="AG1" s="197" t="s">
        <v>313</v>
      </c>
      <c r="AH1" s="197" t="s">
        <v>312</v>
      </c>
      <c r="AI1" s="197" t="s">
        <v>311</v>
      </c>
      <c r="AJ1" s="197" t="s">
        <v>310</v>
      </c>
      <c r="AK1" s="197" t="s">
        <v>309</v>
      </c>
      <c r="AL1" s="197" t="s">
        <v>308</v>
      </c>
      <c r="AM1" s="196" t="s">
        <v>307</v>
      </c>
      <c r="AN1" s="196" t="s">
        <v>306</v>
      </c>
    </row>
    <row r="2" spans="1:40" x14ac:dyDescent="0.25">
      <c r="A2" s="195" t="s">
        <v>305</v>
      </c>
      <c r="B2" s="191">
        <v>31</v>
      </c>
      <c r="C2" s="191">
        <v>9.1300000000000008</v>
      </c>
      <c r="D2" s="191">
        <v>8</v>
      </c>
      <c r="E2" s="191">
        <v>8</v>
      </c>
      <c r="F2" s="191">
        <v>8</v>
      </c>
      <c r="G2" s="191">
        <v>8</v>
      </c>
      <c r="H2" s="191">
        <v>0.28499999999999998</v>
      </c>
      <c r="I2" s="191">
        <v>0.3125</v>
      </c>
      <c r="J2" s="194">
        <v>0.1875</v>
      </c>
      <c r="K2" s="191">
        <v>0.435</v>
      </c>
      <c r="L2" s="194">
        <v>0.4375</v>
      </c>
      <c r="M2" s="193">
        <v>0.82899999999999996</v>
      </c>
      <c r="N2" s="192">
        <v>1.125</v>
      </c>
      <c r="O2" s="192">
        <v>0.75</v>
      </c>
      <c r="P2" s="191">
        <v>9.19</v>
      </c>
      <c r="Q2" s="191">
        <v>22.3</v>
      </c>
      <c r="R2" s="191">
        <v>110</v>
      </c>
      <c r="S2" s="191">
        <v>30.4</v>
      </c>
      <c r="T2" s="191">
        <v>27.5</v>
      </c>
      <c r="U2" s="191">
        <v>3.47</v>
      </c>
      <c r="V2" s="191">
        <v>37.1</v>
      </c>
      <c r="W2" s="191">
        <v>14.1</v>
      </c>
      <c r="X2" s="191">
        <v>9.27</v>
      </c>
      <c r="Y2" s="191">
        <v>2.02</v>
      </c>
      <c r="Z2" s="191">
        <v>0.53600000000000003</v>
      </c>
      <c r="AA2" s="191">
        <v>530</v>
      </c>
      <c r="AB2" s="191" t="s">
        <v>290</v>
      </c>
      <c r="AC2" s="191">
        <v>15.1</v>
      </c>
      <c r="AD2" s="191">
        <v>13.2</v>
      </c>
      <c r="AE2" s="191">
        <v>6.35</v>
      </c>
      <c r="AF2" s="191">
        <v>15</v>
      </c>
      <c r="AG2" s="191">
        <v>2.2599999999999998</v>
      </c>
      <c r="AH2" s="191">
        <v>7.57</v>
      </c>
      <c r="AI2" s="191">
        <v>38.799999999999997</v>
      </c>
      <c r="AJ2" s="191">
        <v>46.8</v>
      </c>
      <c r="AK2" s="191">
        <v>24</v>
      </c>
      <c r="AL2" s="191">
        <v>32</v>
      </c>
      <c r="AM2" s="191">
        <v>5.75</v>
      </c>
      <c r="AN2" s="191">
        <v>5.5</v>
      </c>
    </row>
    <row r="3" spans="1:40" x14ac:dyDescent="0.25">
      <c r="A3" s="195" t="s">
        <v>304</v>
      </c>
      <c r="B3" s="191">
        <v>28</v>
      </c>
      <c r="C3" s="191">
        <v>8.25</v>
      </c>
      <c r="D3" s="191">
        <v>8.06</v>
      </c>
      <c r="E3" s="191">
        <v>8</v>
      </c>
      <c r="F3" s="191">
        <v>6.54</v>
      </c>
      <c r="G3" s="191">
        <v>6.5</v>
      </c>
      <c r="H3" s="191">
        <v>0.28499999999999998</v>
      </c>
      <c r="I3" s="191">
        <v>0.3125</v>
      </c>
      <c r="J3" s="194">
        <v>0.1875</v>
      </c>
      <c r="K3" s="191">
        <v>0.46500000000000002</v>
      </c>
      <c r="L3" s="194">
        <v>0.4375</v>
      </c>
      <c r="M3" s="193">
        <v>0.85899999999999999</v>
      </c>
      <c r="N3" s="192">
        <v>0.9375</v>
      </c>
      <c r="O3" s="192">
        <v>0.625</v>
      </c>
      <c r="P3" s="191">
        <v>7.03</v>
      </c>
      <c r="Q3" s="191">
        <v>22.3</v>
      </c>
      <c r="R3" s="191">
        <v>98</v>
      </c>
      <c r="S3" s="191">
        <v>27.2</v>
      </c>
      <c r="T3" s="191">
        <v>24.3</v>
      </c>
      <c r="U3" s="191">
        <v>3.45</v>
      </c>
      <c r="V3" s="191">
        <v>21.7</v>
      </c>
      <c r="W3" s="191">
        <v>10.1</v>
      </c>
      <c r="X3" s="191">
        <v>6.63</v>
      </c>
      <c r="Y3" s="191">
        <v>1.62</v>
      </c>
      <c r="Z3" s="191">
        <v>0.53700000000000003</v>
      </c>
      <c r="AA3" s="191">
        <v>312</v>
      </c>
      <c r="AB3" s="191" t="s">
        <v>290</v>
      </c>
      <c r="AC3" s="191">
        <v>12.4</v>
      </c>
      <c r="AD3" s="191">
        <v>9.44</v>
      </c>
      <c r="AE3" s="191">
        <v>5.52</v>
      </c>
      <c r="AF3" s="191">
        <v>13.4</v>
      </c>
      <c r="AG3" s="191">
        <v>1.84</v>
      </c>
      <c r="AH3" s="191">
        <v>7.6</v>
      </c>
      <c r="AI3" s="191">
        <v>34.5</v>
      </c>
      <c r="AJ3" s="191">
        <v>41</v>
      </c>
      <c r="AK3" s="191">
        <v>22.7</v>
      </c>
      <c r="AL3" s="191">
        <v>29.2</v>
      </c>
      <c r="AM3" s="191">
        <v>6.125</v>
      </c>
      <c r="AN3" s="191">
        <v>4</v>
      </c>
    </row>
    <row r="4" spans="1:40" x14ac:dyDescent="0.25">
      <c r="A4" s="195" t="s">
        <v>303</v>
      </c>
      <c r="B4" s="191">
        <v>24</v>
      </c>
      <c r="C4" s="191">
        <v>7.08</v>
      </c>
      <c r="D4" s="191">
        <v>7.93</v>
      </c>
      <c r="E4" s="191">
        <v>7.875</v>
      </c>
      <c r="F4" s="191">
        <v>6.5</v>
      </c>
      <c r="G4" s="191">
        <v>6.5</v>
      </c>
      <c r="H4" s="191">
        <v>0.245</v>
      </c>
      <c r="I4" s="191">
        <v>0.25</v>
      </c>
      <c r="J4" s="194">
        <v>0.125</v>
      </c>
      <c r="K4" s="191">
        <v>0.4</v>
      </c>
      <c r="L4" s="194">
        <v>0.375</v>
      </c>
      <c r="M4" s="193">
        <v>0.79400000000000004</v>
      </c>
      <c r="N4" s="192">
        <v>0.875</v>
      </c>
      <c r="O4" s="192">
        <v>0.5625</v>
      </c>
      <c r="P4" s="191">
        <v>8.1199999999999992</v>
      </c>
      <c r="Q4" s="191">
        <v>25.9</v>
      </c>
      <c r="R4" s="191">
        <v>82.7</v>
      </c>
      <c r="S4" s="191">
        <v>23.1</v>
      </c>
      <c r="T4" s="191">
        <v>20.9</v>
      </c>
      <c r="U4" s="191">
        <v>3.42</v>
      </c>
      <c r="V4" s="191">
        <v>18.3</v>
      </c>
      <c r="W4" s="191">
        <v>8.57</v>
      </c>
      <c r="X4" s="191">
        <v>5.63</v>
      </c>
      <c r="Y4" s="191">
        <v>1.61</v>
      </c>
      <c r="Z4" s="191">
        <v>0.34599999999999997</v>
      </c>
      <c r="AA4" s="191">
        <v>259</v>
      </c>
      <c r="AB4" s="191" t="s">
        <v>290</v>
      </c>
      <c r="AC4" s="191">
        <v>12.2</v>
      </c>
      <c r="AD4" s="191">
        <v>7.95</v>
      </c>
      <c r="AE4" s="191">
        <v>4.71</v>
      </c>
      <c r="AF4" s="191">
        <v>11.3</v>
      </c>
      <c r="AG4" s="191">
        <v>1.81</v>
      </c>
      <c r="AH4" s="191">
        <v>7.53</v>
      </c>
      <c r="AI4" s="191">
        <v>34.200000000000003</v>
      </c>
      <c r="AJ4" s="191">
        <v>40.700000000000003</v>
      </c>
      <c r="AK4" s="191">
        <v>22.4</v>
      </c>
      <c r="AL4" s="191">
        <v>28.9</v>
      </c>
      <c r="AM4" s="191">
        <v>6.125</v>
      </c>
      <c r="AN4" s="191">
        <v>4</v>
      </c>
    </row>
    <row r="5" spans="1:40" x14ac:dyDescent="0.25">
      <c r="A5" s="195" t="s">
        <v>302</v>
      </c>
      <c r="B5" s="191">
        <v>21</v>
      </c>
      <c r="C5" s="191">
        <v>6.16</v>
      </c>
      <c r="D5" s="191">
        <v>8.2799999999999994</v>
      </c>
      <c r="E5" s="191">
        <v>8.25</v>
      </c>
      <c r="F5" s="191">
        <v>5.27</v>
      </c>
      <c r="G5" s="191">
        <v>5.25</v>
      </c>
      <c r="H5" s="191">
        <v>0.25</v>
      </c>
      <c r="I5" s="191">
        <v>0.25</v>
      </c>
      <c r="J5" s="194">
        <v>0.125</v>
      </c>
      <c r="K5" s="191">
        <v>0.4</v>
      </c>
      <c r="L5" s="194">
        <v>0.375</v>
      </c>
      <c r="M5" s="193">
        <v>0.7</v>
      </c>
      <c r="N5" s="192">
        <v>0.875</v>
      </c>
      <c r="O5" s="192">
        <v>0.5625</v>
      </c>
      <c r="P5" s="191">
        <v>6.59</v>
      </c>
      <c r="Q5" s="191">
        <v>27.5</v>
      </c>
      <c r="R5" s="191">
        <v>75.3</v>
      </c>
      <c r="S5" s="191">
        <v>20.399999999999999</v>
      </c>
      <c r="T5" s="191">
        <v>18.2</v>
      </c>
      <c r="U5" s="191">
        <v>3.49</v>
      </c>
      <c r="V5" s="191">
        <v>9.77</v>
      </c>
      <c r="W5" s="191">
        <v>5.69</v>
      </c>
      <c r="X5" s="191">
        <v>3.71</v>
      </c>
      <c r="Y5" s="191">
        <v>1.26</v>
      </c>
      <c r="Z5" s="191">
        <v>0.28199999999999997</v>
      </c>
      <c r="AA5" s="191">
        <v>152</v>
      </c>
      <c r="AB5" s="191" t="s">
        <v>290</v>
      </c>
      <c r="AC5" s="191">
        <v>10.4</v>
      </c>
      <c r="AD5" s="191">
        <v>5.47</v>
      </c>
      <c r="AE5" s="191">
        <v>3.96</v>
      </c>
      <c r="AF5" s="191">
        <v>10.1</v>
      </c>
      <c r="AG5" s="191">
        <v>1.46</v>
      </c>
      <c r="AH5" s="191">
        <v>7.88</v>
      </c>
      <c r="AI5" s="191">
        <v>31.3</v>
      </c>
      <c r="AJ5" s="191">
        <v>36.6</v>
      </c>
      <c r="AK5" s="191">
        <v>21.8</v>
      </c>
      <c r="AL5" s="191">
        <v>27.1</v>
      </c>
      <c r="AM5" s="191">
        <v>6.5</v>
      </c>
      <c r="AN5" s="191">
        <v>2.75</v>
      </c>
    </row>
    <row r="6" spans="1:40" x14ac:dyDescent="0.25">
      <c r="A6" s="195" t="s">
        <v>301</v>
      </c>
      <c r="B6" s="191">
        <v>18</v>
      </c>
      <c r="C6" s="191">
        <v>5.26</v>
      </c>
      <c r="D6" s="191">
        <v>8.14</v>
      </c>
      <c r="E6" s="191">
        <v>8.125</v>
      </c>
      <c r="F6" s="191">
        <v>5.25</v>
      </c>
      <c r="G6" s="191">
        <v>5.25</v>
      </c>
      <c r="H6" s="191">
        <v>0.23</v>
      </c>
      <c r="I6" s="191">
        <v>0.25</v>
      </c>
      <c r="J6" s="194">
        <v>0.125</v>
      </c>
      <c r="K6" s="191">
        <v>0.33</v>
      </c>
      <c r="L6" s="194">
        <v>0.3125</v>
      </c>
      <c r="M6" s="193">
        <v>0.63</v>
      </c>
      <c r="N6" s="192">
        <v>0.8125</v>
      </c>
      <c r="O6" s="192">
        <v>0.5625</v>
      </c>
      <c r="P6" s="191">
        <v>7.95</v>
      </c>
      <c r="Q6" s="191">
        <v>29.9</v>
      </c>
      <c r="R6" s="191">
        <v>61.9</v>
      </c>
      <c r="S6" s="191">
        <v>17</v>
      </c>
      <c r="T6" s="191">
        <v>15.2</v>
      </c>
      <c r="U6" s="191">
        <v>3.43</v>
      </c>
      <c r="V6" s="191">
        <v>7.97</v>
      </c>
      <c r="W6" s="191">
        <v>4.66</v>
      </c>
      <c r="X6" s="191">
        <v>3.04</v>
      </c>
      <c r="Y6" s="191">
        <v>1.23</v>
      </c>
      <c r="Z6" s="191">
        <v>0.17199999999999999</v>
      </c>
      <c r="AA6" s="191">
        <v>122</v>
      </c>
      <c r="AB6" s="191" t="s">
        <v>290</v>
      </c>
      <c r="AC6" s="191">
        <v>10.3</v>
      </c>
      <c r="AD6" s="191">
        <v>4.4400000000000004</v>
      </c>
      <c r="AE6" s="191">
        <v>3.23</v>
      </c>
      <c r="AF6" s="191">
        <v>8.3699999999999992</v>
      </c>
      <c r="AG6" s="191">
        <v>1.43</v>
      </c>
      <c r="AH6" s="191">
        <v>7.81</v>
      </c>
      <c r="AI6" s="191">
        <v>31</v>
      </c>
      <c r="AJ6" s="191">
        <v>36.299999999999997</v>
      </c>
      <c r="AK6" s="191">
        <v>21.5</v>
      </c>
      <c r="AL6" s="191">
        <v>26.8</v>
      </c>
      <c r="AM6" s="191">
        <v>6.5</v>
      </c>
      <c r="AN6" s="191">
        <v>2.75</v>
      </c>
    </row>
    <row r="7" spans="1:40" x14ac:dyDescent="0.25">
      <c r="A7" s="195" t="s">
        <v>300</v>
      </c>
      <c r="B7" s="191">
        <v>15</v>
      </c>
      <c r="C7" s="191">
        <v>4.4400000000000004</v>
      </c>
      <c r="D7" s="191">
        <v>8.11</v>
      </c>
      <c r="E7" s="191">
        <v>8.125</v>
      </c>
      <c r="F7" s="191">
        <v>4.0199999999999996</v>
      </c>
      <c r="G7" s="191">
        <v>4</v>
      </c>
      <c r="H7" s="191">
        <v>0.245</v>
      </c>
      <c r="I7" s="191">
        <v>0.25</v>
      </c>
      <c r="J7" s="194">
        <v>0.125</v>
      </c>
      <c r="K7" s="191">
        <v>0.315</v>
      </c>
      <c r="L7" s="194">
        <v>0.3125</v>
      </c>
      <c r="M7" s="193">
        <v>0.61499999999999999</v>
      </c>
      <c r="N7" s="192">
        <v>0.8125</v>
      </c>
      <c r="O7" s="192">
        <v>0.5625</v>
      </c>
      <c r="P7" s="191">
        <v>6.37</v>
      </c>
      <c r="Q7" s="191">
        <v>28.1</v>
      </c>
      <c r="R7" s="191">
        <v>48</v>
      </c>
      <c r="S7" s="191">
        <v>13.6</v>
      </c>
      <c r="T7" s="191">
        <v>11.8</v>
      </c>
      <c r="U7" s="191">
        <v>3.29</v>
      </c>
      <c r="V7" s="191">
        <v>3.41</v>
      </c>
      <c r="W7" s="191">
        <v>2.67</v>
      </c>
      <c r="X7" s="191">
        <v>1.7</v>
      </c>
      <c r="Y7" s="191">
        <v>0.876</v>
      </c>
      <c r="Z7" s="191">
        <v>0.13700000000000001</v>
      </c>
      <c r="AA7" s="191">
        <v>51.8</v>
      </c>
      <c r="AB7" s="191" t="s">
        <v>290</v>
      </c>
      <c r="AC7" s="191">
        <v>7.81</v>
      </c>
      <c r="AD7" s="191">
        <v>2.4700000000000002</v>
      </c>
      <c r="AE7" s="191">
        <v>2.31</v>
      </c>
      <c r="AF7" s="191">
        <v>6.64</v>
      </c>
      <c r="AG7" s="191">
        <v>1.06</v>
      </c>
      <c r="AH7" s="191">
        <v>7.8</v>
      </c>
      <c r="AI7" s="191">
        <v>27.3</v>
      </c>
      <c r="AJ7" s="191">
        <v>31.3</v>
      </c>
      <c r="AK7" s="191">
        <v>20.2</v>
      </c>
      <c r="AL7" s="191">
        <v>24.2</v>
      </c>
      <c r="AM7" s="191">
        <v>6.5</v>
      </c>
      <c r="AN7" s="191">
        <v>2.25</v>
      </c>
    </row>
    <row r="8" spans="1:40" x14ac:dyDescent="0.25">
      <c r="A8" s="195" t="s">
        <v>299</v>
      </c>
      <c r="B8" s="191">
        <v>13</v>
      </c>
      <c r="C8" s="191">
        <v>3.84</v>
      </c>
      <c r="D8" s="191">
        <v>7.99</v>
      </c>
      <c r="E8" s="191">
        <v>8</v>
      </c>
      <c r="F8" s="191">
        <v>4</v>
      </c>
      <c r="G8" s="191">
        <v>4</v>
      </c>
      <c r="H8" s="191">
        <v>0.23</v>
      </c>
      <c r="I8" s="191">
        <v>0.25</v>
      </c>
      <c r="J8" s="194">
        <v>0.125</v>
      </c>
      <c r="K8" s="191">
        <v>0.255</v>
      </c>
      <c r="L8" s="194">
        <v>0.25</v>
      </c>
      <c r="M8" s="193">
        <v>0.55500000000000005</v>
      </c>
      <c r="N8" s="192">
        <v>0.75</v>
      </c>
      <c r="O8" s="192">
        <v>0.5625</v>
      </c>
      <c r="P8" s="191">
        <v>7.84</v>
      </c>
      <c r="Q8" s="191">
        <v>29.9</v>
      </c>
      <c r="R8" s="191">
        <v>39.6</v>
      </c>
      <c r="S8" s="191">
        <v>11.4</v>
      </c>
      <c r="T8" s="191">
        <v>9.91</v>
      </c>
      <c r="U8" s="191">
        <v>3.21</v>
      </c>
      <c r="V8" s="191">
        <v>2.73</v>
      </c>
      <c r="W8" s="191">
        <v>2.15</v>
      </c>
      <c r="X8" s="191">
        <v>1.37</v>
      </c>
      <c r="Y8" s="191">
        <v>0.84299999999999997</v>
      </c>
      <c r="Z8" s="191">
        <v>8.7099999999999997E-2</v>
      </c>
      <c r="AA8" s="191">
        <v>40.799999999999997</v>
      </c>
      <c r="AB8" s="191" t="s">
        <v>290</v>
      </c>
      <c r="AC8" s="191">
        <v>7.74</v>
      </c>
      <c r="AD8" s="191">
        <v>1.97</v>
      </c>
      <c r="AE8" s="191">
        <v>1.86</v>
      </c>
      <c r="AF8" s="191">
        <v>5.55</v>
      </c>
      <c r="AG8" s="191">
        <v>1.03</v>
      </c>
      <c r="AH8" s="191">
        <v>7.74</v>
      </c>
      <c r="AI8" s="191">
        <v>27</v>
      </c>
      <c r="AJ8" s="191">
        <v>31</v>
      </c>
      <c r="AK8" s="191">
        <v>20</v>
      </c>
      <c r="AL8" s="191">
        <v>24</v>
      </c>
      <c r="AM8" s="191">
        <v>6.5</v>
      </c>
      <c r="AN8" s="191">
        <v>2.25</v>
      </c>
    </row>
    <row r="9" spans="1:40" x14ac:dyDescent="0.25">
      <c r="A9" s="195" t="s">
        <v>298</v>
      </c>
      <c r="B9" s="191">
        <v>10</v>
      </c>
      <c r="C9" s="191">
        <v>2.96</v>
      </c>
      <c r="D9" s="191">
        <v>7.89</v>
      </c>
      <c r="E9" s="191">
        <v>7.875</v>
      </c>
      <c r="F9" s="191">
        <v>3.94</v>
      </c>
      <c r="G9" s="191">
        <v>4</v>
      </c>
      <c r="H9" s="191">
        <v>0.17</v>
      </c>
      <c r="I9" s="191">
        <v>0.1875</v>
      </c>
      <c r="J9" s="194">
        <v>0.125</v>
      </c>
      <c r="K9" s="191">
        <v>0.20499999999999999</v>
      </c>
      <c r="L9" s="194">
        <v>0.1875</v>
      </c>
      <c r="M9" s="193">
        <v>0.505</v>
      </c>
      <c r="N9" s="192">
        <v>0.6875</v>
      </c>
      <c r="O9" s="192">
        <v>0.5</v>
      </c>
      <c r="P9" s="191">
        <v>9.61</v>
      </c>
      <c r="Q9" s="191">
        <v>40.5</v>
      </c>
      <c r="R9" s="191">
        <v>30.8</v>
      </c>
      <c r="S9" s="191">
        <v>8.8699999999999992</v>
      </c>
      <c r="T9" s="191">
        <v>7.81</v>
      </c>
      <c r="U9" s="191">
        <v>3.22</v>
      </c>
      <c r="V9" s="191">
        <v>2.09</v>
      </c>
      <c r="W9" s="191">
        <v>1.66</v>
      </c>
      <c r="X9" s="191">
        <v>1.06</v>
      </c>
      <c r="Y9" s="191">
        <v>0.84099999999999997</v>
      </c>
      <c r="Z9" s="191">
        <v>4.2599999999999999E-2</v>
      </c>
      <c r="AA9" s="191">
        <v>30.9</v>
      </c>
      <c r="AB9" s="191" t="s">
        <v>290</v>
      </c>
      <c r="AC9" s="191">
        <v>7.57</v>
      </c>
      <c r="AD9" s="191">
        <v>1.53</v>
      </c>
      <c r="AE9" s="191">
        <v>1.48</v>
      </c>
      <c r="AF9" s="191">
        <v>4.29</v>
      </c>
      <c r="AG9" s="191">
        <v>1.01</v>
      </c>
      <c r="AH9" s="191">
        <v>7.69</v>
      </c>
      <c r="AI9" s="191">
        <v>26.8</v>
      </c>
      <c r="AJ9" s="191">
        <v>30.7</v>
      </c>
      <c r="AK9" s="191">
        <v>19.7</v>
      </c>
      <c r="AL9" s="191">
        <v>23.7</v>
      </c>
      <c r="AM9" s="191">
        <v>6.5</v>
      </c>
      <c r="AN9" s="191">
        <v>2.25</v>
      </c>
    </row>
    <row r="10" spans="1:40" x14ac:dyDescent="0.25">
      <c r="A10" s="195" t="s">
        <v>297</v>
      </c>
      <c r="B10" s="191">
        <v>25</v>
      </c>
      <c r="C10" s="191">
        <v>7.34</v>
      </c>
      <c r="D10" s="191">
        <v>6.38</v>
      </c>
      <c r="E10" s="191">
        <v>6.375</v>
      </c>
      <c r="F10" s="191">
        <v>6.08</v>
      </c>
      <c r="G10" s="191">
        <v>6.125</v>
      </c>
      <c r="H10" s="191">
        <v>0.32</v>
      </c>
      <c r="I10" s="191">
        <v>0.3125</v>
      </c>
      <c r="J10" s="194">
        <v>0.1875</v>
      </c>
      <c r="K10" s="191">
        <v>0.45500000000000002</v>
      </c>
      <c r="L10" s="194">
        <v>0.4375</v>
      </c>
      <c r="M10" s="193">
        <v>0.70499999999999996</v>
      </c>
      <c r="N10" s="192">
        <v>0.9375</v>
      </c>
      <c r="O10" s="192">
        <v>0.5625</v>
      </c>
      <c r="P10" s="191">
        <v>6.68</v>
      </c>
      <c r="Q10" s="191">
        <v>15.5</v>
      </c>
      <c r="R10" s="191">
        <v>53.4</v>
      </c>
      <c r="S10" s="191">
        <v>18.899999999999999</v>
      </c>
      <c r="T10" s="191">
        <v>16.7</v>
      </c>
      <c r="U10" s="191">
        <v>2.7</v>
      </c>
      <c r="V10" s="191">
        <v>17.100000000000001</v>
      </c>
      <c r="W10" s="191">
        <v>8.56</v>
      </c>
      <c r="X10" s="191">
        <v>5.61</v>
      </c>
      <c r="Y10" s="191">
        <v>1.52</v>
      </c>
      <c r="Z10" s="191">
        <v>0.46100000000000002</v>
      </c>
      <c r="AA10" s="191">
        <v>150</v>
      </c>
      <c r="AB10" s="191" t="s">
        <v>290</v>
      </c>
      <c r="AC10" s="191">
        <v>9.01</v>
      </c>
      <c r="AD10" s="191">
        <v>6.23</v>
      </c>
      <c r="AE10" s="191">
        <v>3.88</v>
      </c>
      <c r="AF10" s="191">
        <v>9.39</v>
      </c>
      <c r="AG10" s="191">
        <v>1.74</v>
      </c>
      <c r="AH10" s="191">
        <v>5.93</v>
      </c>
      <c r="AI10" s="191">
        <v>29.9</v>
      </c>
      <c r="AJ10" s="191">
        <v>36</v>
      </c>
      <c r="AK10" s="191">
        <v>18.8</v>
      </c>
      <c r="AL10" s="191">
        <v>24.9</v>
      </c>
      <c r="AM10" s="191">
        <v>4.5</v>
      </c>
      <c r="AN10" s="191">
        <v>3.5</v>
      </c>
    </row>
    <row r="11" spans="1:40" x14ac:dyDescent="0.25">
      <c r="A11" s="195" t="s">
        <v>162</v>
      </c>
      <c r="B11" s="191">
        <v>20</v>
      </c>
      <c r="C11" s="191">
        <v>5.87</v>
      </c>
      <c r="D11" s="191">
        <v>6.2</v>
      </c>
      <c r="E11" s="191">
        <v>6.25</v>
      </c>
      <c r="F11" s="191">
        <v>6.02</v>
      </c>
      <c r="G11" s="191">
        <v>6</v>
      </c>
      <c r="H11" s="191">
        <v>0.26</v>
      </c>
      <c r="I11" s="191">
        <v>0.25</v>
      </c>
      <c r="J11" s="194">
        <v>0.125</v>
      </c>
      <c r="K11" s="191">
        <v>0.36499999999999999</v>
      </c>
      <c r="L11" s="194">
        <v>0.375</v>
      </c>
      <c r="M11" s="193">
        <v>0.61499999999999999</v>
      </c>
      <c r="N11" s="192">
        <v>0.875</v>
      </c>
      <c r="O11" s="192">
        <v>0.5625</v>
      </c>
      <c r="P11" s="191">
        <v>8.25</v>
      </c>
      <c r="Q11" s="191">
        <v>19.100000000000001</v>
      </c>
      <c r="R11" s="191">
        <v>41.4</v>
      </c>
      <c r="S11" s="191">
        <v>14.9</v>
      </c>
      <c r="T11" s="191">
        <v>13.4</v>
      </c>
      <c r="U11" s="191">
        <v>2.66</v>
      </c>
      <c r="V11" s="191">
        <v>13.3</v>
      </c>
      <c r="W11" s="191">
        <v>6.72</v>
      </c>
      <c r="X11" s="191">
        <v>4.41</v>
      </c>
      <c r="Y11" s="191">
        <v>1.5</v>
      </c>
      <c r="Z11" s="191">
        <v>0.24</v>
      </c>
      <c r="AA11" s="191">
        <v>113</v>
      </c>
      <c r="AB11" s="191" t="s">
        <v>290</v>
      </c>
      <c r="AC11" s="191">
        <v>8.7799999999999994</v>
      </c>
      <c r="AD11" s="191">
        <v>4.82</v>
      </c>
      <c r="AE11" s="191">
        <v>3.07</v>
      </c>
      <c r="AF11" s="191">
        <v>7.38</v>
      </c>
      <c r="AG11" s="191">
        <v>1.7</v>
      </c>
      <c r="AH11" s="191">
        <v>5.84</v>
      </c>
      <c r="AI11" s="191">
        <v>29.5</v>
      </c>
      <c r="AJ11" s="191">
        <v>35.5</v>
      </c>
      <c r="AK11" s="191">
        <v>18.399999999999999</v>
      </c>
      <c r="AL11" s="191">
        <v>24.4</v>
      </c>
      <c r="AM11" s="191">
        <v>4.5</v>
      </c>
      <c r="AN11" s="191">
        <v>3.5</v>
      </c>
    </row>
    <row r="12" spans="1:40" x14ac:dyDescent="0.25">
      <c r="A12" s="195" t="s">
        <v>296</v>
      </c>
      <c r="B12" s="191">
        <v>15</v>
      </c>
      <c r="C12" s="191">
        <v>4.43</v>
      </c>
      <c r="D12" s="191">
        <v>5.99</v>
      </c>
      <c r="E12" s="191">
        <v>6</v>
      </c>
      <c r="F12" s="191">
        <v>5.99</v>
      </c>
      <c r="G12" s="191">
        <v>6</v>
      </c>
      <c r="H12" s="191">
        <v>0.23</v>
      </c>
      <c r="I12" s="191">
        <v>0.25</v>
      </c>
      <c r="J12" s="194">
        <v>0.125</v>
      </c>
      <c r="K12" s="191">
        <v>0.26</v>
      </c>
      <c r="L12" s="194">
        <v>0.25</v>
      </c>
      <c r="M12" s="193">
        <v>0.51</v>
      </c>
      <c r="N12" s="192">
        <v>0.75</v>
      </c>
      <c r="O12" s="192">
        <v>0.5625</v>
      </c>
      <c r="P12" s="191">
        <v>11.5</v>
      </c>
      <c r="Q12" s="191">
        <v>21.6</v>
      </c>
      <c r="R12" s="191">
        <v>29.1</v>
      </c>
      <c r="S12" s="191">
        <v>10.8</v>
      </c>
      <c r="T12" s="191">
        <v>9.7200000000000006</v>
      </c>
      <c r="U12" s="191">
        <v>2.56</v>
      </c>
      <c r="V12" s="191">
        <v>9.32</v>
      </c>
      <c r="W12" s="191">
        <v>4.75</v>
      </c>
      <c r="X12" s="191">
        <v>3.11</v>
      </c>
      <c r="Y12" s="191">
        <v>1.45</v>
      </c>
      <c r="Z12" s="191">
        <v>0.10100000000000001</v>
      </c>
      <c r="AA12" s="191">
        <v>76.5</v>
      </c>
      <c r="AB12" s="191" t="s">
        <v>290</v>
      </c>
      <c r="AC12" s="191">
        <v>8.58</v>
      </c>
      <c r="AD12" s="191">
        <v>3.34</v>
      </c>
      <c r="AE12" s="191">
        <v>2.15</v>
      </c>
      <c r="AF12" s="191">
        <v>5.32</v>
      </c>
      <c r="AG12" s="191">
        <v>1.66</v>
      </c>
      <c r="AH12" s="191">
        <v>5.73</v>
      </c>
      <c r="AI12" s="191">
        <v>29.1</v>
      </c>
      <c r="AJ12" s="191">
        <v>35.1</v>
      </c>
      <c r="AK12" s="191">
        <v>18</v>
      </c>
      <c r="AL12" s="191">
        <v>24</v>
      </c>
      <c r="AM12" s="191">
        <v>4.5</v>
      </c>
      <c r="AN12" s="191">
        <v>3.5</v>
      </c>
    </row>
    <row r="13" spans="1:40" x14ac:dyDescent="0.25">
      <c r="A13" s="195" t="s">
        <v>295</v>
      </c>
      <c r="B13" s="191">
        <v>16</v>
      </c>
      <c r="C13" s="191">
        <v>4.74</v>
      </c>
      <c r="D13" s="191">
        <v>6.28</v>
      </c>
      <c r="E13" s="191">
        <v>6.25</v>
      </c>
      <c r="F13" s="191">
        <v>4.03</v>
      </c>
      <c r="G13" s="191">
        <v>4</v>
      </c>
      <c r="H13" s="191">
        <v>0.26</v>
      </c>
      <c r="I13" s="191">
        <v>0.25</v>
      </c>
      <c r="J13" s="194">
        <v>0.125</v>
      </c>
      <c r="K13" s="191">
        <v>0.40500000000000003</v>
      </c>
      <c r="L13" s="194">
        <v>0.375</v>
      </c>
      <c r="M13" s="193">
        <v>0.65500000000000003</v>
      </c>
      <c r="N13" s="192">
        <v>0.875</v>
      </c>
      <c r="O13" s="192">
        <v>0.5625</v>
      </c>
      <c r="P13" s="191">
        <v>4.9800000000000004</v>
      </c>
      <c r="Q13" s="191">
        <v>19.100000000000001</v>
      </c>
      <c r="R13" s="191">
        <v>32.1</v>
      </c>
      <c r="S13" s="191">
        <v>11.7</v>
      </c>
      <c r="T13" s="191">
        <v>10.199999999999999</v>
      </c>
      <c r="U13" s="191">
        <v>2.6</v>
      </c>
      <c r="V13" s="191">
        <v>4.43</v>
      </c>
      <c r="W13" s="191">
        <v>3.39</v>
      </c>
      <c r="X13" s="191">
        <v>2.2000000000000002</v>
      </c>
      <c r="Y13" s="191">
        <v>0.96699999999999997</v>
      </c>
      <c r="Z13" s="191">
        <v>0.223</v>
      </c>
      <c r="AA13" s="191">
        <v>38.200000000000003</v>
      </c>
      <c r="AB13" s="191" t="s">
        <v>290</v>
      </c>
      <c r="AC13" s="191">
        <v>5.92</v>
      </c>
      <c r="AD13" s="191">
        <v>2.42</v>
      </c>
      <c r="AE13" s="191">
        <v>2.2400000000000002</v>
      </c>
      <c r="AF13" s="191">
        <v>5.77</v>
      </c>
      <c r="AG13" s="191">
        <v>1.1299999999999999</v>
      </c>
      <c r="AH13" s="191">
        <v>5.88</v>
      </c>
      <c r="AI13" s="191">
        <v>23.7</v>
      </c>
      <c r="AJ13" s="191">
        <v>27.7</v>
      </c>
      <c r="AK13" s="191">
        <v>16.600000000000001</v>
      </c>
      <c r="AL13" s="191">
        <v>20.6</v>
      </c>
      <c r="AM13" s="191">
        <v>4.5</v>
      </c>
      <c r="AN13" s="191">
        <v>2.25</v>
      </c>
    </row>
    <row r="14" spans="1:40" x14ac:dyDescent="0.25">
      <c r="A14" s="195" t="s">
        <v>294</v>
      </c>
      <c r="B14" s="191">
        <v>12</v>
      </c>
      <c r="C14" s="191">
        <v>3.55</v>
      </c>
      <c r="D14" s="191">
        <v>6.03</v>
      </c>
      <c r="E14" s="191">
        <v>6</v>
      </c>
      <c r="F14" s="191">
        <v>4</v>
      </c>
      <c r="G14" s="191">
        <v>4</v>
      </c>
      <c r="H14" s="191">
        <v>0.23</v>
      </c>
      <c r="I14" s="191">
        <v>0.25</v>
      </c>
      <c r="J14" s="194">
        <v>0.125</v>
      </c>
      <c r="K14" s="191">
        <v>0.28000000000000003</v>
      </c>
      <c r="L14" s="194">
        <v>0.25</v>
      </c>
      <c r="M14" s="193">
        <v>0.53</v>
      </c>
      <c r="N14" s="192">
        <v>0.75</v>
      </c>
      <c r="O14" s="192">
        <v>0.5625</v>
      </c>
      <c r="P14" s="191">
        <v>7.14</v>
      </c>
      <c r="Q14" s="191">
        <v>21.6</v>
      </c>
      <c r="R14" s="191">
        <v>22.1</v>
      </c>
      <c r="S14" s="191">
        <v>8.3000000000000007</v>
      </c>
      <c r="T14" s="191">
        <v>7.31</v>
      </c>
      <c r="U14" s="191">
        <v>2.4900000000000002</v>
      </c>
      <c r="V14" s="191">
        <v>2.99</v>
      </c>
      <c r="W14" s="191">
        <v>2.3199999999999998</v>
      </c>
      <c r="X14" s="191">
        <v>1.5</v>
      </c>
      <c r="Y14" s="191">
        <v>0.91800000000000004</v>
      </c>
      <c r="Z14" s="191">
        <v>9.0300000000000005E-2</v>
      </c>
      <c r="AA14" s="191">
        <v>24.7</v>
      </c>
      <c r="AB14" s="191" t="s">
        <v>290</v>
      </c>
      <c r="AC14" s="191">
        <v>5.75</v>
      </c>
      <c r="AD14" s="191">
        <v>1.61</v>
      </c>
      <c r="AE14" s="191">
        <v>1.52</v>
      </c>
      <c r="AF14" s="191">
        <v>4.08</v>
      </c>
      <c r="AG14" s="191">
        <v>1.08</v>
      </c>
      <c r="AH14" s="191">
        <v>5.75</v>
      </c>
      <c r="AI14" s="191">
        <v>23.2</v>
      </c>
      <c r="AJ14" s="191">
        <v>27.2</v>
      </c>
      <c r="AK14" s="191">
        <v>16.100000000000001</v>
      </c>
      <c r="AL14" s="191">
        <v>20.100000000000001</v>
      </c>
      <c r="AM14" s="191">
        <v>4.5</v>
      </c>
      <c r="AN14" s="191">
        <v>2.25</v>
      </c>
    </row>
    <row r="15" spans="1:40" x14ac:dyDescent="0.25">
      <c r="A15" s="195" t="s">
        <v>293</v>
      </c>
      <c r="B15" s="191">
        <v>10.4</v>
      </c>
      <c r="C15" s="191">
        <v>3.13</v>
      </c>
      <c r="D15" s="191">
        <v>5.96</v>
      </c>
      <c r="E15" s="191"/>
      <c r="F15" s="191">
        <v>3.97</v>
      </c>
      <c r="G15" s="191"/>
      <c r="H15" s="191">
        <v>0.2</v>
      </c>
      <c r="I15" s="191"/>
      <c r="J15" s="194"/>
      <c r="K15" s="191">
        <v>0.247</v>
      </c>
      <c r="L15" s="194"/>
      <c r="M15" s="193"/>
      <c r="N15" s="192"/>
      <c r="O15" s="192"/>
      <c r="P15" s="191"/>
      <c r="Q15" s="191"/>
      <c r="R15" s="191">
        <v>19.3</v>
      </c>
      <c r="S15" s="191">
        <v>7.31</v>
      </c>
      <c r="T15" s="191">
        <v>6.48</v>
      </c>
      <c r="U15" s="191">
        <v>2.48</v>
      </c>
      <c r="V15" s="191">
        <v>2.58</v>
      </c>
      <c r="W15" s="191">
        <v>2.0099999999999998</v>
      </c>
      <c r="X15" s="191">
        <v>1.3</v>
      </c>
      <c r="Y15" s="191">
        <v>0.90800000000000003</v>
      </c>
      <c r="Z15" s="191"/>
      <c r="AA15" s="191"/>
      <c r="AB15" s="191"/>
      <c r="AC15" s="191"/>
      <c r="AD15" s="191"/>
      <c r="AE15" s="191"/>
      <c r="AF15" s="191"/>
      <c r="AG15" s="191"/>
      <c r="AH15" s="191"/>
      <c r="AI15" s="191"/>
      <c r="AJ15" s="191"/>
      <c r="AK15" s="191"/>
      <c r="AL15" s="191"/>
      <c r="AM15" s="191"/>
      <c r="AN15" s="191"/>
    </row>
    <row r="16" spans="1:40" x14ac:dyDescent="0.25">
      <c r="A16" s="195" t="s">
        <v>292</v>
      </c>
      <c r="B16" s="191">
        <v>9</v>
      </c>
      <c r="C16" s="191">
        <v>2.68</v>
      </c>
      <c r="D16" s="191">
        <v>5.9</v>
      </c>
      <c r="E16" s="191">
        <v>5.875</v>
      </c>
      <c r="F16" s="191">
        <v>3.94</v>
      </c>
      <c r="G16" s="191">
        <v>4</v>
      </c>
      <c r="H16" s="191">
        <v>0.17</v>
      </c>
      <c r="I16" s="191">
        <v>0.1875</v>
      </c>
      <c r="J16" s="194">
        <v>0.125</v>
      </c>
      <c r="K16" s="191">
        <v>0.215</v>
      </c>
      <c r="L16" s="194">
        <v>0.1875</v>
      </c>
      <c r="M16" s="193">
        <v>0.46500000000000002</v>
      </c>
      <c r="N16" s="192">
        <v>0.6875</v>
      </c>
      <c r="O16" s="192">
        <v>0.5</v>
      </c>
      <c r="P16" s="191">
        <v>9.16</v>
      </c>
      <c r="Q16" s="191">
        <v>29.2</v>
      </c>
      <c r="R16" s="191">
        <v>16.399999999999999</v>
      </c>
      <c r="S16" s="191">
        <v>6.23</v>
      </c>
      <c r="T16" s="191">
        <v>5.56</v>
      </c>
      <c r="U16" s="191">
        <v>2.4700000000000002</v>
      </c>
      <c r="V16" s="191">
        <v>2.2000000000000002</v>
      </c>
      <c r="W16" s="191">
        <v>1.72</v>
      </c>
      <c r="X16" s="191">
        <v>1.1100000000000001</v>
      </c>
      <c r="Y16" s="191">
        <v>0.90500000000000003</v>
      </c>
      <c r="Z16" s="191">
        <v>4.0500000000000001E-2</v>
      </c>
      <c r="AA16" s="191">
        <v>17.7</v>
      </c>
      <c r="AB16" s="191" t="s">
        <v>290</v>
      </c>
      <c r="AC16" s="191">
        <v>5.6</v>
      </c>
      <c r="AD16" s="191">
        <v>1.19</v>
      </c>
      <c r="AE16" s="191">
        <v>1.1499999999999999</v>
      </c>
      <c r="AF16" s="191">
        <v>3.04</v>
      </c>
      <c r="AG16" s="191">
        <v>1.06</v>
      </c>
      <c r="AH16" s="191">
        <v>5.69</v>
      </c>
      <c r="AI16" s="191">
        <v>22.9</v>
      </c>
      <c r="AJ16" s="191">
        <v>26.8</v>
      </c>
      <c r="AK16" s="191">
        <v>15.7</v>
      </c>
      <c r="AL16" s="191">
        <v>19.7</v>
      </c>
      <c r="AM16" s="191">
        <v>4.5</v>
      </c>
      <c r="AN16" s="191">
        <v>2.25</v>
      </c>
    </row>
    <row r="17" spans="1:40" x14ac:dyDescent="0.25">
      <c r="A17" s="195" t="s">
        <v>291</v>
      </c>
      <c r="B17" s="191">
        <v>8.5</v>
      </c>
      <c r="C17" s="191">
        <v>2.52</v>
      </c>
      <c r="D17" s="191">
        <v>5.83</v>
      </c>
      <c r="E17" s="191">
        <v>5.875</v>
      </c>
      <c r="F17" s="191">
        <v>3.94</v>
      </c>
      <c r="G17" s="191">
        <v>4</v>
      </c>
      <c r="H17" s="191">
        <v>0.17</v>
      </c>
      <c r="I17" s="191">
        <v>0.1875</v>
      </c>
      <c r="J17" s="194">
        <v>0.125</v>
      </c>
      <c r="K17" s="191">
        <v>0.19500000000000001</v>
      </c>
      <c r="L17" s="194">
        <v>0.1875</v>
      </c>
      <c r="M17" s="193">
        <v>0.44500000000000001</v>
      </c>
      <c r="N17" s="192">
        <v>0.6875</v>
      </c>
      <c r="O17" s="192">
        <v>0.5</v>
      </c>
      <c r="P17" s="191">
        <v>10.1</v>
      </c>
      <c r="Q17" s="191">
        <v>29.1</v>
      </c>
      <c r="R17" s="191">
        <v>14.9</v>
      </c>
      <c r="S17" s="191">
        <v>5.73</v>
      </c>
      <c r="T17" s="191">
        <v>5.0999999999999996</v>
      </c>
      <c r="U17" s="191">
        <v>2.4300000000000002</v>
      </c>
      <c r="V17" s="191">
        <v>1.99</v>
      </c>
      <c r="W17" s="191">
        <v>1.56</v>
      </c>
      <c r="X17" s="191">
        <v>1.01</v>
      </c>
      <c r="Y17" s="191">
        <v>0.89</v>
      </c>
      <c r="Z17" s="191">
        <v>3.3300000000000003E-2</v>
      </c>
      <c r="AA17" s="191">
        <v>15.8</v>
      </c>
      <c r="AB17" s="191" t="s">
        <v>290</v>
      </c>
      <c r="AC17" s="191">
        <v>5.55</v>
      </c>
      <c r="AD17" s="191">
        <v>1.06</v>
      </c>
      <c r="AE17" s="191">
        <v>1.03</v>
      </c>
      <c r="AF17" s="191">
        <v>2.78</v>
      </c>
      <c r="AG17" s="191">
        <v>1.05</v>
      </c>
      <c r="AH17" s="191">
        <v>5.64</v>
      </c>
      <c r="AI17" s="191">
        <v>22.8</v>
      </c>
      <c r="AJ17" s="191">
        <v>26.7</v>
      </c>
      <c r="AK17" s="191">
        <v>15.6</v>
      </c>
      <c r="AL17" s="191">
        <v>19.5</v>
      </c>
      <c r="AM17" s="191">
        <v>4.5</v>
      </c>
      <c r="AN17" s="191">
        <v>2.25</v>
      </c>
    </row>
    <row r="18" spans="1:40" x14ac:dyDescent="0.25">
      <c r="B18" s="187"/>
      <c r="C18" s="190"/>
      <c r="D18" s="187"/>
      <c r="E18" s="190"/>
      <c r="F18" s="187"/>
      <c r="G18" s="186"/>
      <c r="H18" s="187"/>
      <c r="I18" s="189"/>
      <c r="J18" s="188"/>
      <c r="K18" s="187"/>
      <c r="L18" s="188"/>
      <c r="M18" s="187"/>
      <c r="N18" s="188"/>
      <c r="O18" s="188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7"/>
      <c r="AJ18" s="187"/>
      <c r="AK18" s="187"/>
      <c r="AL18" s="187"/>
      <c r="AM18" s="186"/>
      <c r="AN18" s="186"/>
    </row>
    <row r="19" spans="1:40" x14ac:dyDescent="0.25">
      <c r="B19" s="187"/>
      <c r="C19" s="190"/>
      <c r="D19" s="187"/>
      <c r="E19" s="190"/>
      <c r="F19" s="187"/>
      <c r="G19" s="186"/>
      <c r="H19" s="187"/>
      <c r="I19" s="189"/>
      <c r="J19" s="188"/>
      <c r="K19" s="187"/>
      <c r="L19" s="188"/>
      <c r="M19" s="187"/>
      <c r="N19" s="188"/>
      <c r="O19" s="188"/>
      <c r="P19" s="187"/>
      <c r="Q19" s="187"/>
      <c r="R19" s="187"/>
      <c r="S19" s="187"/>
      <c r="T19" s="187"/>
      <c r="U19" s="187"/>
      <c r="V19" s="187"/>
      <c r="W19" s="187"/>
      <c r="X19" s="187"/>
      <c r="Y19" s="187"/>
      <c r="Z19" s="187"/>
      <c r="AA19" s="187"/>
      <c r="AB19" s="187"/>
      <c r="AC19" s="187"/>
      <c r="AD19" s="187"/>
      <c r="AE19" s="187"/>
      <c r="AF19" s="187"/>
      <c r="AG19" s="187"/>
      <c r="AH19" s="187"/>
      <c r="AI19" s="187"/>
      <c r="AJ19" s="187"/>
      <c r="AK19" s="187"/>
      <c r="AL19" s="187"/>
      <c r="AM19" s="186"/>
      <c r="AN19" s="186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E6CEF-3E7B-467C-B475-1130A875068A}">
  <dimension ref="A1:H25"/>
  <sheetViews>
    <sheetView workbookViewId="0">
      <selection activeCell="E6" sqref="E6"/>
    </sheetView>
  </sheetViews>
  <sheetFormatPr defaultRowHeight="15" x14ac:dyDescent="0.25"/>
  <cols>
    <col min="1" max="1" width="12" bestFit="1" customWidth="1"/>
    <col min="8" max="8" width="29" bestFit="1" customWidth="1"/>
    <col min="10" max="10" width="38.28515625" bestFit="1" customWidth="1"/>
  </cols>
  <sheetData>
    <row r="1" spans="1:8" ht="15.75" thickBot="1" x14ac:dyDescent="0.3"/>
    <row r="2" spans="1:8" x14ac:dyDescent="0.25">
      <c r="A2" t="s">
        <v>129</v>
      </c>
      <c r="D2" t="s">
        <v>194</v>
      </c>
      <c r="H2" s="28"/>
    </row>
    <row r="3" spans="1:8" x14ac:dyDescent="0.25">
      <c r="A3" t="s">
        <v>130</v>
      </c>
      <c r="D3" t="s">
        <v>197</v>
      </c>
      <c r="H3" s="14"/>
    </row>
    <row r="4" spans="1:8" x14ac:dyDescent="0.25">
      <c r="A4" t="s">
        <v>131</v>
      </c>
      <c r="D4" t="s">
        <v>640</v>
      </c>
      <c r="H4" s="14"/>
    </row>
    <row r="5" spans="1:8" x14ac:dyDescent="0.25">
      <c r="A5" t="s">
        <v>132</v>
      </c>
      <c r="D5" t="s">
        <v>641</v>
      </c>
      <c r="H5" s="14"/>
    </row>
    <row r="6" spans="1:8" x14ac:dyDescent="0.25">
      <c r="A6" t="s">
        <v>133</v>
      </c>
      <c r="H6" s="14"/>
    </row>
    <row r="7" spans="1:8" x14ac:dyDescent="0.25">
      <c r="A7" t="s">
        <v>134</v>
      </c>
      <c r="H7" s="14"/>
    </row>
    <row r="8" spans="1:8" x14ac:dyDescent="0.25">
      <c r="H8" s="14"/>
    </row>
    <row r="9" spans="1:8" x14ac:dyDescent="0.25">
      <c r="H9" s="14"/>
    </row>
    <row r="10" spans="1:8" x14ac:dyDescent="0.25">
      <c r="A10" t="s">
        <v>384</v>
      </c>
      <c r="H10" s="14"/>
    </row>
    <row r="11" spans="1:8" x14ac:dyDescent="0.25">
      <c r="A11" t="s">
        <v>165</v>
      </c>
      <c r="H11" s="14"/>
    </row>
    <row r="12" spans="1:8" x14ac:dyDescent="0.25">
      <c r="A12" t="s">
        <v>385</v>
      </c>
      <c r="H12" s="14"/>
    </row>
    <row r="13" spans="1:8" x14ac:dyDescent="0.25">
      <c r="H13" s="14"/>
    </row>
    <row r="14" spans="1:8" x14ac:dyDescent="0.25">
      <c r="H14" s="14"/>
    </row>
    <row r="15" spans="1:8" x14ac:dyDescent="0.25">
      <c r="A15" s="226" t="s">
        <v>428</v>
      </c>
      <c r="B15" s="226">
        <v>1.325</v>
      </c>
      <c r="C15" s="225">
        <v>2.25</v>
      </c>
      <c r="H15" s="14"/>
    </row>
    <row r="16" spans="1:8" x14ac:dyDescent="0.25">
      <c r="A16" s="226" t="s">
        <v>429</v>
      </c>
      <c r="B16" s="226">
        <v>1.6279999999999999</v>
      </c>
      <c r="C16" s="225">
        <v>2.25</v>
      </c>
      <c r="H16" s="14"/>
    </row>
    <row r="17" spans="1:8" x14ac:dyDescent="0.25">
      <c r="A17" s="226" t="s">
        <v>430</v>
      </c>
      <c r="B17" s="226">
        <v>2.0419999999999998</v>
      </c>
      <c r="C17" s="225">
        <v>2.25</v>
      </c>
      <c r="H17" s="14"/>
    </row>
    <row r="18" spans="1:8" x14ac:dyDescent="0.25">
      <c r="A18" s="226" t="s">
        <v>431</v>
      </c>
      <c r="B18" s="226">
        <v>2.2200000000000002</v>
      </c>
      <c r="C18" s="225">
        <v>2.25</v>
      </c>
      <c r="H18" s="14"/>
    </row>
    <row r="19" spans="1:8" x14ac:dyDescent="0.25">
      <c r="A19" s="226" t="s">
        <v>432</v>
      </c>
      <c r="B19" s="226">
        <v>2.1419999999999999</v>
      </c>
      <c r="C19" s="225">
        <v>3.5</v>
      </c>
      <c r="H19" s="14"/>
    </row>
    <row r="20" spans="1:8" x14ac:dyDescent="0.25">
      <c r="H20" s="14"/>
    </row>
    <row r="21" spans="1:8" x14ac:dyDescent="0.25">
      <c r="H21" s="14"/>
    </row>
    <row r="22" spans="1:8" x14ac:dyDescent="0.25">
      <c r="A22" t="s">
        <v>59</v>
      </c>
      <c r="H22" s="14"/>
    </row>
    <row r="23" spans="1:8" ht="15.75" thickBot="1" x14ac:dyDescent="0.3">
      <c r="A23" t="s">
        <v>19</v>
      </c>
      <c r="H23" s="15"/>
    </row>
    <row r="24" spans="1:8" x14ac:dyDescent="0.25">
      <c r="A24" t="s">
        <v>60</v>
      </c>
    </row>
    <row r="25" spans="1:8" x14ac:dyDescent="0.25">
      <c r="A25" t="s">
        <v>491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1"/>
  <dimension ref="A1:D23"/>
  <sheetViews>
    <sheetView workbookViewId="0">
      <selection activeCell="G12" sqref="G12"/>
    </sheetView>
  </sheetViews>
  <sheetFormatPr defaultRowHeight="15" x14ac:dyDescent="0.25"/>
  <cols>
    <col min="1" max="1" width="32.28515625" bestFit="1" customWidth="1"/>
    <col min="2" max="2" width="32.28515625" customWidth="1"/>
    <col min="3" max="3" width="32.28515625" bestFit="1" customWidth="1"/>
    <col min="4" max="4" width="38.28515625" bestFit="1" customWidth="1"/>
  </cols>
  <sheetData>
    <row r="1" spans="1:4" x14ac:dyDescent="0.25">
      <c r="A1" s="20" t="s">
        <v>19</v>
      </c>
      <c r="B1" s="20" t="s">
        <v>60</v>
      </c>
      <c r="C1" s="20" t="s">
        <v>59</v>
      </c>
      <c r="D1" s="20" t="s">
        <v>491</v>
      </c>
    </row>
    <row r="2" spans="1:4" x14ac:dyDescent="0.25">
      <c r="A2" s="19" t="s">
        <v>0</v>
      </c>
      <c r="B2" s="19" t="s">
        <v>0</v>
      </c>
      <c r="C2" s="19" t="s">
        <v>0</v>
      </c>
      <c r="D2" t="s">
        <v>0</v>
      </c>
    </row>
    <row r="3" spans="1:4" x14ac:dyDescent="0.25">
      <c r="A3" s="19" t="s">
        <v>20</v>
      </c>
      <c r="B3" s="19" t="s">
        <v>20</v>
      </c>
      <c r="C3" s="19" t="s">
        <v>20</v>
      </c>
      <c r="D3" t="s">
        <v>495</v>
      </c>
    </row>
    <row r="4" spans="1:4" x14ac:dyDescent="0.25">
      <c r="A4" s="19" t="s">
        <v>21</v>
      </c>
      <c r="B4" s="19" t="s">
        <v>21</v>
      </c>
      <c r="C4" s="19" t="s">
        <v>51</v>
      </c>
      <c r="D4" t="s">
        <v>480</v>
      </c>
    </row>
    <row r="5" spans="1:4" x14ac:dyDescent="0.25">
      <c r="A5" s="19" t="s">
        <v>22</v>
      </c>
      <c r="B5" s="19" t="s">
        <v>22</v>
      </c>
      <c r="C5" s="19" t="s">
        <v>52</v>
      </c>
      <c r="D5" t="s">
        <v>496</v>
      </c>
    </row>
    <row r="6" spans="1:4" x14ac:dyDescent="0.25">
      <c r="A6" s="19" t="s">
        <v>35</v>
      </c>
      <c r="B6" s="19" t="s">
        <v>35</v>
      </c>
      <c r="C6" s="19" t="s">
        <v>53</v>
      </c>
      <c r="D6" t="s">
        <v>21</v>
      </c>
    </row>
    <row r="7" spans="1:4" x14ac:dyDescent="0.25">
      <c r="A7" s="19" t="s">
        <v>36</v>
      </c>
      <c r="B7" s="19" t="s">
        <v>36</v>
      </c>
      <c r="C7" s="19" t="s">
        <v>54</v>
      </c>
      <c r="D7" t="s">
        <v>22</v>
      </c>
    </row>
    <row r="8" spans="1:4" x14ac:dyDescent="0.25">
      <c r="A8" s="19" t="s">
        <v>33</v>
      </c>
      <c r="B8" s="19" t="s">
        <v>33</v>
      </c>
      <c r="C8" s="19" t="s">
        <v>55</v>
      </c>
      <c r="D8" t="s">
        <v>497</v>
      </c>
    </row>
    <row r="9" spans="1:4" x14ac:dyDescent="0.25">
      <c r="A9" s="19" t="s">
        <v>34</v>
      </c>
      <c r="B9" s="19" t="s">
        <v>34</v>
      </c>
      <c r="C9" s="19" t="s">
        <v>56</v>
      </c>
      <c r="D9" t="s">
        <v>498</v>
      </c>
    </row>
    <row r="10" spans="1:4" x14ac:dyDescent="0.25">
      <c r="A10" s="19" t="s">
        <v>23</v>
      </c>
      <c r="B10" s="19" t="s">
        <v>23</v>
      </c>
      <c r="C10" s="19" t="s">
        <v>57</v>
      </c>
      <c r="D10" t="s">
        <v>23</v>
      </c>
    </row>
    <row r="11" spans="1:4" x14ac:dyDescent="0.25">
      <c r="A11" s="19" t="s">
        <v>24</v>
      </c>
      <c r="B11" s="19" t="s">
        <v>24</v>
      </c>
      <c r="C11" s="19" t="s">
        <v>58</v>
      </c>
      <c r="D11" t="s">
        <v>24</v>
      </c>
    </row>
    <row r="12" spans="1:4" x14ac:dyDescent="0.25">
      <c r="A12" s="19" t="s">
        <v>25</v>
      </c>
      <c r="B12" s="19" t="s">
        <v>25</v>
      </c>
      <c r="C12" s="19" t="s">
        <v>25</v>
      </c>
      <c r="D12" t="s">
        <v>483</v>
      </c>
    </row>
    <row r="13" spans="1:4" x14ac:dyDescent="0.25">
      <c r="A13" s="19" t="s">
        <v>26</v>
      </c>
      <c r="B13" s="19" t="s">
        <v>26</v>
      </c>
      <c r="C13" s="19" t="s">
        <v>26</v>
      </c>
      <c r="D13" t="s">
        <v>484</v>
      </c>
    </row>
    <row r="14" spans="1:4" x14ac:dyDescent="0.25">
      <c r="A14" s="19" t="s">
        <v>27</v>
      </c>
      <c r="B14" s="19" t="s">
        <v>27</v>
      </c>
      <c r="C14" s="19" t="s">
        <v>27</v>
      </c>
      <c r="D14" t="s">
        <v>485</v>
      </c>
    </row>
    <row r="15" spans="1:4" x14ac:dyDescent="0.25">
      <c r="A15" s="19" t="s">
        <v>28</v>
      </c>
      <c r="B15" s="19" t="s">
        <v>28</v>
      </c>
      <c r="C15" s="19" t="s">
        <v>28</v>
      </c>
      <c r="D15" t="s">
        <v>486</v>
      </c>
    </row>
    <row r="16" spans="1:4" x14ac:dyDescent="0.25">
      <c r="A16" s="19" t="s">
        <v>29</v>
      </c>
      <c r="B16" s="19" t="s">
        <v>29</v>
      </c>
      <c r="C16" s="19" t="s">
        <v>29</v>
      </c>
      <c r="D16" t="s">
        <v>499</v>
      </c>
    </row>
    <row r="17" spans="1:4" x14ac:dyDescent="0.25">
      <c r="A17" s="19" t="s">
        <v>30</v>
      </c>
      <c r="B17" s="19" t="s">
        <v>30</v>
      </c>
      <c r="C17" s="19" t="s">
        <v>30</v>
      </c>
      <c r="D17" t="s">
        <v>500</v>
      </c>
    </row>
    <row r="18" spans="1:4" x14ac:dyDescent="0.25">
      <c r="A18" s="19" t="s">
        <v>31</v>
      </c>
      <c r="B18" s="19" t="s">
        <v>31</v>
      </c>
      <c r="C18" s="19" t="s">
        <v>31</v>
      </c>
      <c r="D18" t="s">
        <v>501</v>
      </c>
    </row>
    <row r="19" spans="1:4" x14ac:dyDescent="0.25">
      <c r="A19" s="19" t="s">
        <v>32</v>
      </c>
      <c r="B19" s="19" t="s">
        <v>32</v>
      </c>
      <c r="C19" s="19" t="s">
        <v>32</v>
      </c>
      <c r="D19" t="s">
        <v>502</v>
      </c>
    </row>
    <row r="20" spans="1:4" x14ac:dyDescent="0.25">
      <c r="A20" s="19" t="s">
        <v>37</v>
      </c>
      <c r="B20" s="19" t="s">
        <v>37</v>
      </c>
      <c r="C20" s="19" t="s">
        <v>37</v>
      </c>
      <c r="D20" t="s">
        <v>487</v>
      </c>
    </row>
    <row r="21" spans="1:4" x14ac:dyDescent="0.25">
      <c r="A21" s="19" t="s">
        <v>38</v>
      </c>
      <c r="B21" s="19" t="s">
        <v>38</v>
      </c>
      <c r="C21" s="19" t="s">
        <v>38</v>
      </c>
      <c r="D21" t="s">
        <v>488</v>
      </c>
    </row>
    <row r="22" spans="1:4" x14ac:dyDescent="0.25">
      <c r="A22" s="19" t="s">
        <v>39</v>
      </c>
      <c r="B22" s="19" t="s">
        <v>39</v>
      </c>
      <c r="C22" s="19" t="s">
        <v>39</v>
      </c>
      <c r="D22" t="s">
        <v>489</v>
      </c>
    </row>
    <row r="23" spans="1:4" x14ac:dyDescent="0.25">
      <c r="A23" s="19" t="s">
        <v>40</v>
      </c>
      <c r="B23" s="19" t="s">
        <v>40</v>
      </c>
      <c r="C23" s="19" t="s">
        <v>40</v>
      </c>
      <c r="D23" t="s">
        <v>490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2BB6-5123-4AE7-9CC5-2B7ABFA407D2}">
  <sheetPr codeName="Sheet35">
    <pageSetUpPr fitToPage="1"/>
  </sheetPr>
  <dimension ref="B2:BF284"/>
  <sheetViews>
    <sheetView showGridLines="0" view="pageBreakPreview" zoomScale="70" zoomScaleNormal="100" zoomScaleSheetLayoutView="70" workbookViewId="0">
      <selection activeCell="B5" sqref="B5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5" t="s">
        <v>103</v>
      </c>
      <c r="D3" s="376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77"/>
      <c r="D4" s="378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W6x10.4</v>
      </c>
      <c r="U4" s="155"/>
      <c r="V4" s="156"/>
      <c r="AD4" s="153" t="s">
        <v>383</v>
      </c>
      <c r="AE4" s="154" t="str">
        <f>C151</f>
        <v>W6X12</v>
      </c>
      <c r="AF4" s="155"/>
      <c r="AG4" s="156"/>
      <c r="AN4" s="153" t="s">
        <v>383</v>
      </c>
      <c r="AO4" s="154" t="str">
        <f>C200</f>
        <v>W6X15</v>
      </c>
      <c r="AP4" s="155"/>
      <c r="AQ4" s="156"/>
      <c r="AX4" s="153" t="s">
        <v>383</v>
      </c>
      <c r="AY4" s="154" t="str">
        <f>C249</f>
        <v>W6X15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2.7316169599999998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2.2909283673310634</v>
      </c>
      <c r="Z11" s="166" t="s">
        <v>173</v>
      </c>
      <c r="AC11" s="341" t="s">
        <v>171</v>
      </c>
      <c r="AD11" s="340"/>
      <c r="AE11" s="164">
        <f>2*(AE15*AE14)+((AE12-(2*AE14))*AE13)</f>
        <v>3.1729769600000002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2.6908354220257831</v>
      </c>
      <c r="AK11" s="166" t="s">
        <v>173</v>
      </c>
      <c r="AM11" s="341" t="s">
        <v>171</v>
      </c>
      <c r="AN11" s="340"/>
      <c r="AO11" s="164">
        <f>2*(AO15*AO14)+((AO12-(2*AO14))*AO13)</f>
        <v>3.9547929600000002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8.3722498051719185</v>
      </c>
      <c r="AU11" s="166" t="s">
        <v>173</v>
      </c>
      <c r="AW11" s="341" t="s">
        <v>171</v>
      </c>
      <c r="AX11" s="340"/>
      <c r="AY11" s="164">
        <f>2*(AY15*AY14)+((AY12-(2*AY14))*AY13)</f>
        <v>3.9547929600000002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8.3722498051719185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Loads'!P111</f>
        <v>0</v>
      </c>
      <c r="F12" s="21">
        <f>'0 Degree Loads'!Q111</f>
        <v>0</v>
      </c>
      <c r="G12" s="21">
        <f>'0 Degree Loads'!R111</f>
        <v>0</v>
      </c>
      <c r="H12" s="21">
        <f>'0 Degree Loads'!S111</f>
        <v>0</v>
      </c>
      <c r="I12" s="22">
        <f>'0 Degree Loads'!T111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INDEX(Shapes!$D$2:$D$17,MATCH(PROFILE_ZONE_5_STD,Shapes!$A$2:$A$17,0))-T9</f>
        <v>5.9363999999999999</v>
      </c>
      <c r="U12" t="s">
        <v>170</v>
      </c>
      <c r="V12" s="168"/>
      <c r="W12" s="342" t="s">
        <v>405</v>
      </c>
      <c r="X12" s="342"/>
      <c r="Y12" s="8">
        <f>(2*Y11)/T15</f>
        <v>1.1610218768148506</v>
      </c>
      <c r="Z12" s="159" t="s">
        <v>175</v>
      </c>
      <c r="AC12" s="343" t="s">
        <v>174</v>
      </c>
      <c r="AD12" s="342"/>
      <c r="AE12" s="167">
        <f>INDEX(Shapes!$D$2:$D$17,MATCH(PROFILE_ZONE_5_1,Shapes!$A$2:$A$17,0))-AE9</f>
        <v>6.0064000000000002</v>
      </c>
      <c r="AF12" t="s">
        <v>170</v>
      </c>
      <c r="AG12" s="168"/>
      <c r="AH12" s="342" t="s">
        <v>405</v>
      </c>
      <c r="AI12" s="342"/>
      <c r="AJ12" s="8">
        <f>(2*AJ11)/AE15</f>
        <v>1.353402787458899</v>
      </c>
      <c r="AK12" s="159" t="s">
        <v>175</v>
      </c>
      <c r="AM12" s="343" t="s">
        <v>174</v>
      </c>
      <c r="AN12" s="342"/>
      <c r="AO12" s="167">
        <f>INDEX(Shapes!$D$2:$D$17,MATCH(PROFILE_ZONE_5_2,Shapes!$A$2:$A$17,0))-AO9</f>
        <v>5.9664000000000001</v>
      </c>
      <c r="AP12" t="s">
        <v>170</v>
      </c>
      <c r="AQ12" s="168"/>
      <c r="AR12" s="342" t="s">
        <v>405</v>
      </c>
      <c r="AS12" s="342"/>
      <c r="AT12" s="8">
        <f>(2*AT11)/AO15</f>
        <v>2.8064661454719491</v>
      </c>
      <c r="AU12" s="159" t="s">
        <v>175</v>
      </c>
      <c r="AW12" s="343" t="s">
        <v>174</v>
      </c>
      <c r="AX12" s="342"/>
      <c r="AY12" s="167">
        <f>INDEX(Shapes!$D$2:$D$17,MATCH(PROFILE_ZONE_5_3,Shapes!$A$2:$A$17,0))-AY9</f>
        <v>5.9664000000000001</v>
      </c>
      <c r="AZ12" t="s">
        <v>170</v>
      </c>
      <c r="BA12" s="168"/>
      <c r="BB12" s="342" t="s">
        <v>405</v>
      </c>
      <c r="BC12" s="342"/>
      <c r="BD12" s="8">
        <f>(2*BD11)/AY15</f>
        <v>2.8064661454719491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Loads'!P112</f>
        <v>0</v>
      </c>
      <c r="F13" s="23">
        <f>'0 Degree Loads'!Q112</f>
        <v>0</v>
      </c>
      <c r="G13" s="23">
        <f>'0 Degree Loads'!R112</f>
        <v>0</v>
      </c>
      <c r="H13" s="23">
        <f>'0 Degree Loads'!S112</f>
        <v>0</v>
      </c>
      <c r="I13" s="24">
        <f>'0 Degree Loads'!T112</f>
        <v>0</v>
      </c>
      <c r="R13" s="343" t="s">
        <v>176</v>
      </c>
      <c r="S13" s="342"/>
      <c r="T13" s="167">
        <f>INDEX(Shapes!$H$2:$H$17,MATCH(PROFILE_ZONE_5_STD,Shapes!$A$2:$A$17,0))-T9</f>
        <v>0.1764</v>
      </c>
      <c r="U13" t="s">
        <v>170</v>
      </c>
      <c r="V13" s="168"/>
      <c r="W13" s="342" t="s">
        <v>177</v>
      </c>
      <c r="X13" s="342"/>
      <c r="Y13" s="8">
        <f>INDEX(Shapes!$Y$2:$Y$17,MATCH(PROFILE_ZONE_5_STD,Shapes!$A$2:$A$17,0))</f>
        <v>0.90800000000000003</v>
      </c>
      <c r="Z13" s="159" t="s">
        <v>175</v>
      </c>
      <c r="AC13" s="343" t="s">
        <v>176</v>
      </c>
      <c r="AD13" s="342"/>
      <c r="AE13" s="167">
        <f>INDEX(Shapes!$H$2:$H$17,MATCH(PROFILE_ZONE_5_1,Shapes!$A$2:$A$17,0))-AE9</f>
        <v>0.2064</v>
      </c>
      <c r="AF13" t="s">
        <v>170</v>
      </c>
      <c r="AG13" s="168"/>
      <c r="AH13" s="342" t="s">
        <v>177</v>
      </c>
      <c r="AI13" s="342"/>
      <c r="AJ13" s="8">
        <f>INDEX(Shapes!$Y$2:$Y$17,MATCH(PROFILE_ZONE_5_1,Shapes!$A$2:$A$17,0))</f>
        <v>0.91800000000000004</v>
      </c>
      <c r="AK13" s="159" t="s">
        <v>175</v>
      </c>
      <c r="AM13" s="343" t="s">
        <v>176</v>
      </c>
      <c r="AN13" s="342"/>
      <c r="AO13" s="167">
        <f>INDEX(Shapes!$H$2:$H$17,MATCH(PROFILE_ZONE_5_2,Shapes!$A$2:$A$17,0))-AO9</f>
        <v>0.2064</v>
      </c>
      <c r="AP13" t="s">
        <v>170</v>
      </c>
      <c r="AQ13" s="168"/>
      <c r="AR13" s="342" t="s">
        <v>177</v>
      </c>
      <c r="AS13" s="342"/>
      <c r="AT13" s="8">
        <f>INDEX(Shapes!$Y$2:$Y$17,MATCH(PROFILE_ZONE_5_2,Shapes!$A$2:$A$17,0))</f>
        <v>1.45</v>
      </c>
      <c r="AU13" s="159" t="s">
        <v>175</v>
      </c>
      <c r="AW13" s="343" t="s">
        <v>176</v>
      </c>
      <c r="AX13" s="342"/>
      <c r="AY13" s="167">
        <f>INDEX(Shapes!$H$2:$H$17,MATCH(PROFILE_ZONE_5_3,Shapes!$A$2:$A$17,0))-AY9</f>
        <v>0.2064</v>
      </c>
      <c r="AZ13" t="s">
        <v>170</v>
      </c>
      <c r="BA13" s="168"/>
      <c r="BB13" s="342" t="s">
        <v>177</v>
      </c>
      <c r="BC13" s="342"/>
      <c r="BD13" s="8">
        <f>INDEX(Shapes!$Y$2:$Y$17,MATCH(PROFILE_ZONE_5_3,Shapes!$A$2:$A$17,0))</f>
        <v>1.45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Loads'!P113</f>
        <v>0</v>
      </c>
      <c r="F14" s="23">
        <f>'0 Degree Loads'!Q113</f>
        <v>0</v>
      </c>
      <c r="G14" s="23">
        <f>'0 Degree Loads'!R113</f>
        <v>0</v>
      </c>
      <c r="H14" s="23">
        <f>'0 Degree Loads'!S113</f>
        <v>0</v>
      </c>
      <c r="I14" s="24">
        <f>'0 Degree Loads'!T113</f>
        <v>0</v>
      </c>
      <c r="R14" s="343" t="s">
        <v>178</v>
      </c>
      <c r="S14" s="342"/>
      <c r="T14" s="167">
        <f>INDEX(Shapes!$K$2:$K$17,MATCH(PROFILE_ZONE_5_STD,Shapes!$A$2:$A$17,0))-T9</f>
        <v>0.22339999999999999</v>
      </c>
      <c r="U14" t="s">
        <v>170</v>
      </c>
      <c r="V14" s="168"/>
      <c r="W14" s="342" t="s">
        <v>406</v>
      </c>
      <c r="X14" s="342"/>
      <c r="Y14" s="8">
        <f>((T15^2*T14)/2)+((T13^2)*(T20))/4</f>
        <v>1.7823288655360001</v>
      </c>
      <c r="Z14" s="159" t="s">
        <v>175</v>
      </c>
      <c r="AC14" s="343" t="s">
        <v>178</v>
      </c>
      <c r="AD14" s="342"/>
      <c r="AE14" s="167">
        <f>INDEX(Shapes!$K$2:$K$17,MATCH(PROFILE_ZONE_5_1,Shapes!$A$2:$A$17,0))-AE9</f>
        <v>0.25640000000000002</v>
      </c>
      <c r="AF14" t="s">
        <v>170</v>
      </c>
      <c r="AG14" s="168"/>
      <c r="AH14" s="342" t="s">
        <v>406</v>
      </c>
      <c r="AI14" s="342"/>
      <c r="AJ14" s="8">
        <f>((AE15^2*AE14)/2)+((AE13^2)*(AE20))/4</f>
        <v>2.0855754007359999</v>
      </c>
      <c r="AK14" s="159" t="s">
        <v>175</v>
      </c>
      <c r="AM14" s="343" t="s">
        <v>178</v>
      </c>
      <c r="AN14" s="342"/>
      <c r="AO14" s="167">
        <f>INDEX(Shapes!$K$2:$K$17,MATCH(PROFILE_ZONE_5_2,Shapes!$A$2:$A$17,0))-AO9</f>
        <v>0.2364</v>
      </c>
      <c r="AP14" t="s">
        <v>170</v>
      </c>
      <c r="AQ14" s="168"/>
      <c r="AR14" s="342" t="s">
        <v>406</v>
      </c>
      <c r="AS14" s="342"/>
      <c r="AT14" s="8">
        <f>((AO15^2*AO14)/2)+((AO13^2)*(AO20))/4</f>
        <v>4.2661833615360001</v>
      </c>
      <c r="AU14" s="159" t="s">
        <v>175</v>
      </c>
      <c r="AW14" s="343" t="s">
        <v>178</v>
      </c>
      <c r="AX14" s="342"/>
      <c r="AY14" s="167">
        <f>INDEX(Shapes!$K$2:$K$17,MATCH(PROFILE_ZONE_5_3,Shapes!$A$2:$A$17,0))-AY9</f>
        <v>0.2364</v>
      </c>
      <c r="AZ14" t="s">
        <v>170</v>
      </c>
      <c r="BA14" s="168"/>
      <c r="BB14" s="342" t="s">
        <v>406</v>
      </c>
      <c r="BC14" s="342"/>
      <c r="BD14" s="8">
        <f>((AY15^2*AY14)/2)+((AY13^2)*(AY20))/4</f>
        <v>4.2661833615360001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Loads'!P114</f>
        <v>0</v>
      </c>
      <c r="F15" s="23">
        <f>'0 Degree Loads'!Q114</f>
        <v>0</v>
      </c>
      <c r="G15" s="23">
        <f>'0 Degree Loads'!R114</f>
        <v>0</v>
      </c>
      <c r="H15" s="23">
        <f>'0 Degree Loads'!S114</f>
        <v>0</v>
      </c>
      <c r="I15" s="24">
        <f>'0 Degree Loads'!T114</f>
        <v>0</v>
      </c>
      <c r="R15" s="343" t="s">
        <v>179</v>
      </c>
      <c r="S15" s="342"/>
      <c r="T15" s="167">
        <f>INDEX(Shapes!$F$2:$F$17,MATCH(PROFILE_ZONE_5_STD,Shapes!$A$2:$A$17,0))-T9</f>
        <v>3.9464000000000001</v>
      </c>
      <c r="U15" t="s">
        <v>170</v>
      </c>
      <c r="V15" s="168"/>
      <c r="W15" s="342" t="s">
        <v>180</v>
      </c>
      <c r="X15" s="342"/>
      <c r="Y15" s="167">
        <f>T12-(T14)</f>
        <v>5.7130000000000001</v>
      </c>
      <c r="Z15" s="159"/>
      <c r="AC15" s="343" t="s">
        <v>179</v>
      </c>
      <c r="AD15" s="342"/>
      <c r="AE15" s="167">
        <f>INDEX(Shapes!$F$2:$F$17,MATCH(PROFILE_ZONE_5_1,Shapes!$A$2:$A$17,0))-AE9</f>
        <v>3.9763999999999999</v>
      </c>
      <c r="AF15" t="s">
        <v>170</v>
      </c>
      <c r="AG15" s="168"/>
      <c r="AH15" s="342" t="s">
        <v>180</v>
      </c>
      <c r="AI15" s="342"/>
      <c r="AJ15" s="167">
        <f>AE12-(AE14)</f>
        <v>5.75</v>
      </c>
      <c r="AK15" s="159"/>
      <c r="AM15" s="343" t="s">
        <v>179</v>
      </c>
      <c r="AN15" s="342"/>
      <c r="AO15" s="167">
        <f>INDEX(Shapes!$F$2:$F$17,MATCH(PROFILE_ZONE_5_2,Shapes!$A$2:$A$17,0))-AO9</f>
        <v>5.9664000000000001</v>
      </c>
      <c r="AP15" t="s">
        <v>170</v>
      </c>
      <c r="AQ15" s="168"/>
      <c r="AR15" s="342" t="s">
        <v>180</v>
      </c>
      <c r="AS15" s="342"/>
      <c r="AT15" s="167">
        <f>AO12-(AO14)</f>
        <v>5.73</v>
      </c>
      <c r="AU15" s="159"/>
      <c r="AW15" s="343" t="s">
        <v>179</v>
      </c>
      <c r="AX15" s="342"/>
      <c r="AY15" s="167">
        <f>INDEX(Shapes!$F$2:$F$17,MATCH(PROFILE_ZONE_5_3,Shapes!$A$2:$A$17,0))-AY9</f>
        <v>5.9664000000000001</v>
      </c>
      <c r="AZ15" t="s">
        <v>170</v>
      </c>
      <c r="BA15" s="168"/>
      <c r="BB15" s="342" t="s">
        <v>180</v>
      </c>
      <c r="BC15" s="342"/>
      <c r="BD15" s="167">
        <f>AY12-(AY14)</f>
        <v>5.73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Loads'!P115</f>
        <v>0</v>
      </c>
      <c r="F16" s="23">
        <f>'0 Degree Loads'!Q115</f>
        <v>0</v>
      </c>
      <c r="G16" s="23">
        <f>'0 Degree Loads'!R115</f>
        <v>0</v>
      </c>
      <c r="H16" s="23">
        <f>'0 Degree Loads'!S115</f>
        <v>0</v>
      </c>
      <c r="I16" s="24">
        <f>'0 Degree Loads'!T115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16.826611593484348</v>
      </c>
      <c r="U16" t="s">
        <v>173</v>
      </c>
      <c r="V16" s="168"/>
      <c r="W16" s="342" t="s">
        <v>182</v>
      </c>
      <c r="X16" s="342"/>
      <c r="Y16" s="8">
        <f>SQRT((Y11*Y15)/(2*T17))</f>
        <v>1.0744126536130976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19.717261626172025</v>
      </c>
      <c r="AF16" t="s">
        <v>173</v>
      </c>
      <c r="AG16" s="168"/>
      <c r="AH16" s="342" t="s">
        <v>182</v>
      </c>
      <c r="AI16" s="342"/>
      <c r="AJ16" s="8">
        <f>SQRT((AJ11*AJ15)/(2*AE17))</f>
        <v>1.0855037313432085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26.019505242729679</v>
      </c>
      <c r="AP16" t="s">
        <v>173</v>
      </c>
      <c r="AQ16" s="168"/>
      <c r="AR16" s="342" t="s">
        <v>182</v>
      </c>
      <c r="AS16" s="342"/>
      <c r="AT16" s="8">
        <f>SQRT((AT11*AT15)/(2*AO17))</f>
        <v>1.6583457046042405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26.019505242729679</v>
      </c>
      <c r="AZ16" t="s">
        <v>173</v>
      </c>
      <c r="BA16" s="168"/>
      <c r="BB16" s="342" t="s">
        <v>182</v>
      </c>
      <c r="BC16" s="342"/>
      <c r="BD16" s="8">
        <f>SQRT((BD11*BD15)/(2*AY17))</f>
        <v>1.6583457046042405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Loads'!P116</f>
        <v>0</v>
      </c>
      <c r="F17" s="23">
        <f>'0 Degree Loads'!Q116</f>
        <v>0</v>
      </c>
      <c r="G17" s="23">
        <f>'0 Degree Loads'!R116</f>
        <v>0</v>
      </c>
      <c r="H17" s="23">
        <f>'0 Degree Loads'!S116</f>
        <v>0</v>
      </c>
      <c r="I17" s="24">
        <f>'0 Degree Loads'!T116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5.6689615233085195</v>
      </c>
      <c r="U17" t="s">
        <v>175</v>
      </c>
      <c r="V17" s="168"/>
      <c r="W17" s="342" t="s">
        <v>184</v>
      </c>
      <c r="X17" s="342"/>
      <c r="Y17" s="8">
        <f>((2*T15*T14^3)+(Y15*T13^3))/3</f>
        <v>3.9786139794321058E-2</v>
      </c>
      <c r="Z17" s="159" t="s">
        <v>173</v>
      </c>
      <c r="AC17" s="343" t="s">
        <v>183</v>
      </c>
      <c r="AD17" s="342"/>
      <c r="AE17" s="8">
        <f>(2*AE16)/((AE20+2*AE14))</f>
        <v>6.5654174301318671</v>
      </c>
      <c r="AF17" t="s">
        <v>175</v>
      </c>
      <c r="AG17" s="168"/>
      <c r="AH17" s="342" t="s">
        <v>184</v>
      </c>
      <c r="AI17" s="342"/>
      <c r="AJ17" s="8">
        <f>((2*AE15*AE14^3)+(AJ15*AE13^3))/3</f>
        <v>6.1537024707601078E-2</v>
      </c>
      <c r="AK17" s="159" t="s">
        <v>173</v>
      </c>
      <c r="AM17" s="343" t="s">
        <v>183</v>
      </c>
      <c r="AN17" s="342"/>
      <c r="AO17" s="8">
        <f>(2*AO16)/((AO20+2*AO14))</f>
        <v>8.7220116796492615</v>
      </c>
      <c r="AP17" t="s">
        <v>175</v>
      </c>
      <c r="AQ17" s="168"/>
      <c r="AR17" s="342" t="s">
        <v>184</v>
      </c>
      <c r="AS17" s="342"/>
      <c r="AT17" s="8">
        <f>((2*AO15*AO14^3)+(AT15*AO13^3))/3</f>
        <v>6.9343208049254396E-2</v>
      </c>
      <c r="AU17" s="159" t="s">
        <v>173</v>
      </c>
      <c r="AW17" s="343" t="s">
        <v>183</v>
      </c>
      <c r="AX17" s="342"/>
      <c r="AY17" s="8">
        <f>(2*AY16)/((AY20+2*AY14))</f>
        <v>8.7220116796492615</v>
      </c>
      <c r="AZ17" t="s">
        <v>175</v>
      </c>
      <c r="BA17" s="168"/>
      <c r="BB17" s="342" t="s">
        <v>184</v>
      </c>
      <c r="BC17" s="342"/>
      <c r="BD17" s="8">
        <f>((2*AY15*AY14^3)+(BD15*AY13^3))/3</f>
        <v>6.9343208049254396E-2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Loads'!P117</f>
        <v>0</v>
      </c>
      <c r="F18" s="23">
        <f>'0 Degree Loads'!Q117</f>
        <v>0</v>
      </c>
      <c r="G18" s="23">
        <f>'0 Degree Loads'!R117</f>
        <v>0</v>
      </c>
      <c r="H18" s="23">
        <f>'0 Degree Loads'!S117</f>
        <v>0</v>
      </c>
      <c r="I18" s="24">
        <f>'0 Degree Loads'!T117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2.4819237493203912</v>
      </c>
      <c r="U18" t="s">
        <v>170</v>
      </c>
      <c r="V18" s="168"/>
      <c r="W18" s="342" t="s">
        <v>186</v>
      </c>
      <c r="X18" s="342"/>
      <c r="Y18" s="8">
        <f>T20/T13</f>
        <v>31.120181405895693</v>
      </c>
      <c r="Z18" s="159"/>
      <c r="AC18" s="343" t="s">
        <v>185</v>
      </c>
      <c r="AD18" s="342"/>
      <c r="AE18" s="8">
        <f>(AE16/AE11)^0.5</f>
        <v>2.4928138002608144</v>
      </c>
      <c r="AF18" t="s">
        <v>170</v>
      </c>
      <c r="AG18" s="168"/>
      <c r="AH18" s="342" t="s">
        <v>186</v>
      </c>
      <c r="AI18" s="342"/>
      <c r="AJ18" s="8">
        <f>AE20/AE13</f>
        <v>26.61627906976744</v>
      </c>
      <c r="AK18" s="159"/>
      <c r="AM18" s="343" t="s">
        <v>185</v>
      </c>
      <c r="AN18" s="342"/>
      <c r="AO18" s="8">
        <f>(AO16/AO11)^0.5</f>
        <v>2.5650016034267842</v>
      </c>
      <c r="AP18" t="s">
        <v>170</v>
      </c>
      <c r="AQ18" s="168"/>
      <c r="AR18" s="342" t="s">
        <v>186</v>
      </c>
      <c r="AS18" s="342"/>
      <c r="AT18" s="8">
        <f>AO20/AO13</f>
        <v>26.61627906976744</v>
      </c>
      <c r="AU18" s="159"/>
      <c r="AW18" s="343" t="s">
        <v>185</v>
      </c>
      <c r="AX18" s="342"/>
      <c r="AY18" s="8">
        <f>(AY16/AY11)^0.5</f>
        <v>2.5650016034267842</v>
      </c>
      <c r="AZ18" t="s">
        <v>170</v>
      </c>
      <c r="BA18" s="168"/>
      <c r="BB18" s="342" t="s">
        <v>186</v>
      </c>
      <c r="BC18" s="342"/>
      <c r="BD18" s="8">
        <f>AY20/AY13</f>
        <v>26.61627906976744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Loads'!P118</f>
        <v>0</v>
      </c>
      <c r="F19" s="23">
        <f>'0 Degree Loads'!Q118</f>
        <v>0</v>
      </c>
      <c r="G19" s="23">
        <f>'0 Degree Loads'!R118</f>
        <v>0</v>
      </c>
      <c r="H19" s="23">
        <f>'0 Degree Loads'!S118</f>
        <v>0</v>
      </c>
      <c r="I19" s="24">
        <f>'0 Degree Loads'!T118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6.3657126967360007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7.4196759935359999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9.6391878543360008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9.6391878543360008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Loads'!P119</f>
        <v>0</v>
      </c>
      <c r="F20" s="23">
        <f>'0 Degree Loads'!Q119</f>
        <v>0</v>
      </c>
      <c r="G20" s="23">
        <f>'0 Degree Loads'!R119</f>
        <v>0</v>
      </c>
      <c r="H20" s="23">
        <f>'0 Degree Loads'!S119</f>
        <v>0</v>
      </c>
      <c r="I20" s="24">
        <f>'0 Degree Loads'!T119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5.4896000000000003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Loads'!P120</f>
        <v>0</v>
      </c>
      <c r="F21" s="23">
        <f>'0 Degree Loads'!Q120</f>
        <v>0</v>
      </c>
      <c r="G21" s="23">
        <f>'0 Degree Loads'!R120</f>
        <v>0</v>
      </c>
      <c r="H21" s="23">
        <f>'0 Degree Loads'!S120</f>
        <v>0</v>
      </c>
      <c r="I21" s="24">
        <f>'0 Degree Loads'!T120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Loads'!P121</f>
        <v>0</v>
      </c>
      <c r="F22" s="23">
        <f>'0 Degree Loads'!Q121</f>
        <v>0</v>
      </c>
      <c r="G22" s="23">
        <f>'0 Degree Loads'!R121</f>
        <v>0</v>
      </c>
      <c r="H22" s="23">
        <f>'0 Degree Loads'!S121</f>
        <v>0</v>
      </c>
      <c r="I22" s="24">
        <f>'0 Degree Loads'!T121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Loads'!P122</f>
        <v>0</v>
      </c>
      <c r="F23" s="23">
        <f>'0 Degree Loads'!Q122</f>
        <v>0</v>
      </c>
      <c r="G23" s="23">
        <f>'0 Degree Loads'!R122</f>
        <v>0</v>
      </c>
      <c r="H23" s="23">
        <f>'0 Degree Loads'!S122</f>
        <v>0</v>
      </c>
      <c r="I23" s="24">
        <f>'0 Degree Loads'!T122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Loads'!P123</f>
        <v>0</v>
      </c>
      <c r="F24" s="23">
        <f>'0 Degree Loads'!Q123</f>
        <v>0</v>
      </c>
      <c r="G24" s="23">
        <f>'0 Degree Loads'!R123</f>
        <v>0</v>
      </c>
      <c r="H24" s="23">
        <f>'0 Degree Loads'!S123</f>
        <v>0</v>
      </c>
      <c r="I24" s="24">
        <f>'0 Degree Loads'!T123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Loads'!P124</f>
        <v>0</v>
      </c>
      <c r="F25" s="23">
        <f>'0 Degree Loads'!Q124</f>
        <v>0</v>
      </c>
      <c r="G25" s="23">
        <f>'0 Degree Loads'!R124</f>
        <v>0</v>
      </c>
      <c r="H25" s="23">
        <f>'0 Degree Loads'!S124</f>
        <v>0</v>
      </c>
      <c r="I25" s="24">
        <f>'0 Degree Loads'!T124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Loads'!P125</f>
        <v>0</v>
      </c>
      <c r="F26" s="23">
        <f>'0 Degree Loads'!Q125</f>
        <v>0</v>
      </c>
      <c r="G26" s="23">
        <f>'0 Degree Loads'!R125</f>
        <v>0</v>
      </c>
      <c r="H26" s="23">
        <f>'0 Degree Loads'!S125</f>
        <v>0</v>
      </c>
      <c r="I26" s="24">
        <f>'0 Degree Loads'!T125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Loads'!P126</f>
        <v>0</v>
      </c>
      <c r="F27" s="23">
        <f>'0 Degree Loads'!Q126</f>
        <v>0</v>
      </c>
      <c r="G27" s="23">
        <f>'0 Degree Loads'!R126</f>
        <v>0</v>
      </c>
      <c r="H27" s="23">
        <f>'0 Degree Loads'!S126</f>
        <v>0</v>
      </c>
      <c r="I27" s="24">
        <f>'0 Degree Loads'!T126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Loads'!P127</f>
        <v>0</v>
      </c>
      <c r="F28" s="23">
        <f>'0 Degree Loads'!Q127</f>
        <v>0</v>
      </c>
      <c r="G28" s="23">
        <f>'0 Degree Loads'!R127</f>
        <v>0</v>
      </c>
      <c r="H28" s="23">
        <f>'0 Degree Loads'!S127</f>
        <v>0</v>
      </c>
      <c r="I28" s="24">
        <f>'0 Degree Loads'!T127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Loads'!P128</f>
        <v>0</v>
      </c>
      <c r="F29" s="23">
        <f>'0 Degree Loads'!Q128</f>
        <v>0</v>
      </c>
      <c r="G29" s="23">
        <f>'0 Degree Loads'!R128</f>
        <v>0</v>
      </c>
      <c r="H29" s="23">
        <f>'0 Degree Loads'!S128</f>
        <v>0</v>
      </c>
      <c r="I29" s="24">
        <f>'0 Degree Loads'!T128</f>
        <v>0</v>
      </c>
      <c r="R29" t="s">
        <v>195</v>
      </c>
      <c r="S29">
        <f>(T15/2)/T14</f>
        <v>8.8325872873769029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7.754290171606864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12.619289340101524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12.619289340101524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Loads'!P129</f>
        <v>0</v>
      </c>
      <c r="F30" s="23">
        <f>'0 Degree Loads'!Q129</f>
        <v>0</v>
      </c>
      <c r="G30" s="23">
        <f>'0 Degree Loads'!R129</f>
        <v>0</v>
      </c>
      <c r="H30" s="23">
        <f>'0 Degree Loads'!S129</f>
        <v>0</v>
      </c>
      <c r="I30" s="24">
        <f>'0 Degree Loads'!T129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Loads'!P130</f>
        <v>0</v>
      </c>
      <c r="F31" s="23">
        <f>'0 Degree Loads'!Q130</f>
        <v>0</v>
      </c>
      <c r="G31" s="23">
        <f>'0 Degree Loads'!R130</f>
        <v>0</v>
      </c>
      <c r="H31" s="23">
        <f>'0 Degree Loads'!S130</f>
        <v>0</v>
      </c>
      <c r="I31" s="24">
        <f>'0 Degree Loads'!T130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Loads'!P131</f>
        <v>0</v>
      </c>
      <c r="F32" s="23">
        <f>'0 Degree Loads'!Q131</f>
        <v>0</v>
      </c>
      <c r="G32" s="23">
        <f>'0 Degree Loads'!R131</f>
        <v>0</v>
      </c>
      <c r="H32" s="23">
        <f>'0 Degree Loads'!S131</f>
        <v>0</v>
      </c>
      <c r="I32" s="24">
        <f>'0 Degree Loads'!T131</f>
        <v>0</v>
      </c>
      <c r="R32" t="s">
        <v>186</v>
      </c>
      <c r="S32">
        <f>Y18</f>
        <v>31.120181405895693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26.61627906976744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26.61627906976744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26.61627906976744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Loads'!P132</f>
        <v>0</v>
      </c>
      <c r="F33" s="31">
        <f>'0 Degree Loads'!Q132</f>
        <v>0</v>
      </c>
      <c r="G33" s="31">
        <f>'0 Degree Loads'!R132</f>
        <v>0</v>
      </c>
      <c r="H33" s="31">
        <f>'0 Degree Loads'!S132</f>
        <v>0</v>
      </c>
      <c r="I33" s="32">
        <f>'0 Degree Loads'!T132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8.8325872873769029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7.754290171606864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12.619289340101524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12.619289340101524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Non-Compact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Non-Compact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Loads'!P111</f>
        <v>0</v>
      </c>
      <c r="F38" s="21">
        <f>'55 Degree Loads'!Q111</f>
        <v>0</v>
      </c>
      <c r="G38" s="21">
        <f>'55 Degree Loads'!R111</f>
        <v>0</v>
      </c>
      <c r="H38" s="21">
        <f>'55 Degree Loads'!S111</f>
        <v>0</v>
      </c>
      <c r="I38" s="22">
        <f>'55 Degree Loads'!T111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Loads'!P112</f>
        <v>0</v>
      </c>
      <c r="F39" s="23">
        <f>'55 Degree Loads'!Q112</f>
        <v>0</v>
      </c>
      <c r="G39" s="23">
        <f>'55 Degree Loads'!R112</f>
        <v>0</v>
      </c>
      <c r="H39" s="23">
        <f>'55 Degree Loads'!S112</f>
        <v>0</v>
      </c>
      <c r="I39" s="24">
        <f>'55 Degree Loads'!T112</f>
        <v>0</v>
      </c>
      <c r="R39" t="s">
        <v>186</v>
      </c>
      <c r="S39">
        <f>S32</f>
        <v>31.120181405895693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26.61627906976744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26.61627906976744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26.61627906976744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Loads'!P113</f>
        <v>0</v>
      </c>
      <c r="F40" s="23">
        <f>'55 Degree Loads'!Q113</f>
        <v>0</v>
      </c>
      <c r="G40" s="23">
        <f>'55 Degree Loads'!R113</f>
        <v>0</v>
      </c>
      <c r="H40" s="23">
        <f>'55 Degree Loads'!S113</f>
        <v>0</v>
      </c>
      <c r="I40" s="24">
        <f>'55 Degree Loads'!T113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Loads'!P114</f>
        <v>0</v>
      </c>
      <c r="F41" s="23">
        <f>'55 Degree Loads'!Q114</f>
        <v>0</v>
      </c>
      <c r="G41" s="23">
        <f>'55 Degree Loads'!R114</f>
        <v>0</v>
      </c>
      <c r="H41" s="23">
        <f>'55 Degree Loads'!S114</f>
        <v>0</v>
      </c>
      <c r="I41" s="24">
        <f>'55 Degree Loads'!T114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Loads'!P115</f>
        <v>0</v>
      </c>
      <c r="F42" s="23">
        <f>'55 Degree Loads'!Q115</f>
        <v>0</v>
      </c>
      <c r="G42" s="23">
        <f>'55 Degree Loads'!R115</f>
        <v>0</v>
      </c>
      <c r="H42" s="23">
        <f>'55 Degree Loads'!S115</f>
        <v>0</v>
      </c>
      <c r="I42" s="24">
        <f>'55 Degree Loads'!T115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Loads'!P116</f>
        <v>0</v>
      </c>
      <c r="F43" s="23">
        <f>'55 Degree Loads'!Q116</f>
        <v>0</v>
      </c>
      <c r="G43" s="23">
        <f>'55 Degree Loads'!R116</f>
        <v>0</v>
      </c>
      <c r="H43" s="23">
        <f>'55 Degree Loads'!S116</f>
        <v>0</v>
      </c>
      <c r="I43" s="24">
        <f>'55 Degree Loads'!T116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Loads'!P117</f>
        <v>0</v>
      </c>
      <c r="F44" s="23">
        <f>'55 Degree Loads'!Q117</f>
        <v>0</v>
      </c>
      <c r="G44" s="23">
        <f>'55 Degree Loads'!R117</f>
        <v>0</v>
      </c>
      <c r="H44" s="23">
        <f>'55 Degree Loads'!S117</f>
        <v>0</v>
      </c>
      <c r="I44" s="24">
        <f>'55 Degree Loads'!T117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Loads'!P118</f>
        <v>0</v>
      </c>
      <c r="F45" s="23">
        <f>'55 Degree Loads'!Q118</f>
        <v>0</v>
      </c>
      <c r="G45" s="23">
        <f>'55 Degree Loads'!R118</f>
        <v>0</v>
      </c>
      <c r="H45" s="23">
        <f>'55 Degree Loads'!S118</f>
        <v>0</v>
      </c>
      <c r="I45" s="24">
        <f>'55 Degree Loads'!T118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Loads'!P119</f>
        <v>0</v>
      </c>
      <c r="F46" s="23">
        <f>'55 Degree Loads'!Q119</f>
        <v>0</v>
      </c>
      <c r="G46" s="23">
        <f>'55 Degree Loads'!R119</f>
        <v>0</v>
      </c>
      <c r="H46" s="23">
        <f>'55 Degree Loads'!S119</f>
        <v>0</v>
      </c>
      <c r="I46" s="24">
        <f>'55 Degree Loads'!T119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10.109058284803869</v>
      </c>
      <c r="AM46" t="s">
        <v>209</v>
      </c>
      <c r="AN46" s="173">
        <f>(AN44*AP25)/AO18</f>
        <v>19.649110524011661</v>
      </c>
      <c r="AW46" t="s">
        <v>209</v>
      </c>
      <c r="AX46" s="173">
        <f>(AX44*AZ25)/AY18</f>
        <v>29.473665786017488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Loads'!P120</f>
        <v>0</v>
      </c>
      <c r="F47" s="23">
        <f>'55 Degree Loads'!Q120</f>
        <v>0</v>
      </c>
      <c r="G47" s="23">
        <f>'55 Degree Loads'!R120</f>
        <v>0</v>
      </c>
      <c r="H47" s="23">
        <f>'55 Degree Loads'!S120</f>
        <v>0</v>
      </c>
      <c r="I47" s="24">
        <f>'55 Degree Loads'!T120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Loads'!P121</f>
        <v>0</v>
      </c>
      <c r="F48" s="23">
        <f>'55 Degree Loads'!Q121</f>
        <v>0</v>
      </c>
      <c r="G48" s="23">
        <f>'55 Degree Loads'!R121</f>
        <v>0</v>
      </c>
      <c r="H48" s="23">
        <f>'55 Degree Loads'!S121</f>
        <v>0</v>
      </c>
      <c r="I48" s="24">
        <f>'55 Degree Loads'!T121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27.450980392156865</v>
      </c>
      <c r="AM48" t="s">
        <v>210</v>
      </c>
      <c r="AN48" s="173">
        <f>(AN44*AS25)/AT13</f>
        <v>34.758620689655174</v>
      </c>
      <c r="AW48" t="s">
        <v>210</v>
      </c>
      <c r="AX48" s="173">
        <f>(AX44*BC25)/BD13</f>
        <v>52.137931034482769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Loads'!P122</f>
        <v>0</v>
      </c>
      <c r="F49" s="23">
        <f>'55 Degree Loads'!Q122</f>
        <v>0</v>
      </c>
      <c r="G49" s="23">
        <f>'55 Degree Loads'!R122</f>
        <v>0</v>
      </c>
      <c r="H49" s="23">
        <f>'55 Degree Loads'!S122</f>
        <v>0</v>
      </c>
      <c r="I49" s="24">
        <f>'55 Degree Loads'!T122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Loads'!P123</f>
        <v>0</v>
      </c>
      <c r="F50" s="23">
        <f>'55 Degree Loads'!Q123</f>
        <v>0</v>
      </c>
      <c r="G50" s="23">
        <f>'55 Degree Loads'!R123</f>
        <v>0</v>
      </c>
      <c r="H50" s="23">
        <f>'55 Degree Loads'!S123</f>
        <v>0</v>
      </c>
      <c r="I50" s="24">
        <f>'55 Degree Loads'!T123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27.450980392156865</v>
      </c>
      <c r="AM50" t="s">
        <v>211</v>
      </c>
      <c r="AN50" s="173">
        <f>MAX(AN46,AN48)</f>
        <v>34.758620689655174</v>
      </c>
      <c r="AW50" t="s">
        <v>211</v>
      </c>
      <c r="AX50" s="173">
        <f>MAX(AX46,AX48)</f>
        <v>52.137931034482769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Loads'!P124</f>
        <v>0</v>
      </c>
      <c r="F51" s="23">
        <f>'55 Degree Loads'!Q124</f>
        <v>0</v>
      </c>
      <c r="G51" s="23">
        <f>'55 Degree Loads'!R124</f>
        <v>0</v>
      </c>
      <c r="H51" s="23">
        <f>'55 Degree Loads'!S124</f>
        <v>0</v>
      </c>
      <c r="I51" s="24">
        <f>'55 Degree Loads'!T124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Loads'!P125</f>
        <v>0</v>
      </c>
      <c r="F52" s="23">
        <f>'55 Degree Loads'!Q125</f>
        <v>0</v>
      </c>
      <c r="G52" s="23">
        <f>'55 Degree Loads'!R125</f>
        <v>0</v>
      </c>
      <c r="H52" s="23">
        <f>'55 Degree Loads'!S125</f>
        <v>0</v>
      </c>
      <c r="I52" s="24">
        <f>'55 Degree Loads'!T125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379.43865734693873</v>
      </c>
      <c r="AM52" t="s">
        <v>212</v>
      </c>
      <c r="AN52">
        <f>((3.14^2)*E)/(AN50^2)</f>
        <v>236.66401368417738</v>
      </c>
      <c r="AW52" t="s">
        <v>212</v>
      </c>
      <c r="AX52">
        <f>((3.14^2)*E)/(AX50^2)</f>
        <v>105.18400608185658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Loads'!P126</f>
        <v>0</v>
      </c>
      <c r="F53" s="23">
        <f>'55 Degree Loads'!Q126</f>
        <v>0</v>
      </c>
      <c r="G53" s="23">
        <f>'55 Degree Loads'!R126</f>
        <v>0</v>
      </c>
      <c r="H53" s="23">
        <f>'55 Degree Loads'!S126</f>
        <v>0</v>
      </c>
      <c r="I53" s="24">
        <f>'55 Degree Loads'!T126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Loads'!P127</f>
        <v>0</v>
      </c>
      <c r="F54" s="23">
        <f>'55 Degree Loads'!Q127</f>
        <v>0</v>
      </c>
      <c r="G54" s="23">
        <f>'55 Degree Loads'!R127</f>
        <v>0</v>
      </c>
      <c r="H54" s="23">
        <f>'55 Degree Loads'!S127</f>
        <v>0</v>
      </c>
      <c r="I54" s="24">
        <f>'55 Degree Loads'!T127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Loads'!P128</f>
        <v>0</v>
      </c>
      <c r="F55" s="23">
        <f>'55 Degree Loads'!Q128</f>
        <v>0</v>
      </c>
      <c r="G55" s="23">
        <f>'55 Degree Loads'!R128</f>
        <v>0</v>
      </c>
      <c r="H55" s="23">
        <f>'55 Degree Loads'!S128</f>
        <v>0</v>
      </c>
      <c r="I55" s="24">
        <f>'55 Degree Loads'!T128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Loads'!P129</f>
        <v>0</v>
      </c>
      <c r="F56" s="23">
        <f>'55 Degree Loads'!Q129</f>
        <v>0</v>
      </c>
      <c r="G56" s="23">
        <f>'55 Degree Loads'!R129</f>
        <v>0</v>
      </c>
      <c r="H56" s="23">
        <f>'55 Degree Loads'!S129</f>
        <v>0</v>
      </c>
      <c r="I56" s="24">
        <f>'55 Degree Loads'!T129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47.316975301147288</v>
      </c>
      <c r="AE56" t="s">
        <v>215</v>
      </c>
      <c r="AM56" t="s">
        <v>214</v>
      </c>
      <c r="AN56">
        <f>IF(AN50&lt;=AN54,(0.658^(Fy/AN52))*Fy,(0.877*AN52))</f>
        <v>45.768490975477448</v>
      </c>
      <c r="AO56" t="s">
        <v>215</v>
      </c>
      <c r="AW56" t="s">
        <v>214</v>
      </c>
      <c r="AX56">
        <f>IF(AX50&lt;=AX54,(0.658^(Fy/AX52))*Fy,(0.877*AX52))</f>
        <v>40.979091905027303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Loads'!P130</f>
        <v>0</v>
      </c>
      <c r="F57" s="23">
        <f>'55 Degree Loads'!Q130</f>
        <v>0</v>
      </c>
      <c r="G57" s="23">
        <f>'55 Degree Loads'!R130</f>
        <v>0</v>
      </c>
      <c r="H57" s="23">
        <f>'55 Degree Loads'!S130</f>
        <v>0</v>
      </c>
      <c r="I57" s="24">
        <f>'55 Degree Loads'!T130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Loads'!P131</f>
        <v>0</v>
      </c>
      <c r="F58" s="23">
        <f>'55 Degree Loads'!Q131</f>
        <v>0</v>
      </c>
      <c r="G58" s="23">
        <f>'55 Degree Loads'!R131</f>
        <v>0</v>
      </c>
      <c r="H58" s="23">
        <f>'55 Degree Loads'!S131</f>
        <v>0</v>
      </c>
      <c r="I58" s="24">
        <f>'55 Degree Loads'!T131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150.13567244742941</v>
      </c>
      <c r="AE58" t="s">
        <v>217</v>
      </c>
      <c r="AM58" t="s">
        <v>216</v>
      </c>
      <c r="AN58">
        <f>IF(AN56&gt;Fy,(Fy*AO11)/1.67,(AN56*AO11))</f>
        <v>181.00490589964176</v>
      </c>
      <c r="AO58" t="s">
        <v>217</v>
      </c>
      <c r="AW58" t="s">
        <v>216</v>
      </c>
      <c r="AX58">
        <f>IF(AX56&gt;Fy,(Fy*AY11)/1.67,(AX56*AY11))</f>
        <v>162.06382417319497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Loads'!P132</f>
        <v>0</v>
      </c>
      <c r="F59" s="31">
        <f>'55 Degree Loads'!Q132</f>
        <v>0</v>
      </c>
      <c r="G59" s="31">
        <f>'55 Degree Loads'!R132</f>
        <v>0</v>
      </c>
      <c r="H59" s="31">
        <f>'55 Degree Loads'!S132</f>
        <v>0</v>
      </c>
      <c r="I59" s="32">
        <f>'55 Degree Loads'!T132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14.251318731187331</v>
      </c>
      <c r="AM63" s="174" t="s">
        <v>219</v>
      </c>
      <c r="AN63">
        <f>AN30*(Fy/AN56)</f>
        <v>14.733483277254461</v>
      </c>
      <c r="AW63" s="174" t="s">
        <v>219</v>
      </c>
      <c r="AX63">
        <f>AX30*(Fy/AX56)</f>
        <v>16.455447523707623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258.80383811055327</v>
      </c>
      <c r="AC66" s="174" t="s">
        <v>222</v>
      </c>
      <c r="AD66">
        <f>(AD65*(AD30/AD29))^2*Fy</f>
        <v>335.78592767946071</v>
      </c>
      <c r="AM66" s="174" t="s">
        <v>222</v>
      </c>
      <c r="AN66">
        <f>(AN65*(AN30/AN29))^2*Fy</f>
        <v>126.78760333312403</v>
      </c>
      <c r="AW66" s="174" t="s">
        <v>222</v>
      </c>
      <c r="AX66">
        <f>(AX65*(AX30/AX29))^2*Fy</f>
        <v>126.78760333312403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3.9763999999999999</v>
      </c>
      <c r="AE67" t="s">
        <v>170</v>
      </c>
      <c r="AM67" s="174" t="s">
        <v>223</v>
      </c>
      <c r="AN67">
        <f>IF(AN29&lt;=AN63,AO15,AO15*(1-(AN64*SQRT(AN66/AN56)))*SQRT(AN66/AN56))</f>
        <v>5.9664000000000001</v>
      </c>
      <c r="AO67" t="s">
        <v>170</v>
      </c>
      <c r="AW67" s="174" t="s">
        <v>223</v>
      </c>
      <c r="AX67">
        <f>IF(AX29&lt;=AX63,AY15,AY15*(1-(AX64*SQRT(AX66/AX56)))*SQRT(AX66/AX56))</f>
        <v>5.9664000000000001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36.887292533702954</v>
      </c>
      <c r="AM70" s="174" t="s">
        <v>219</v>
      </c>
      <c r="AN70">
        <f>AN33*SQRT(Fy/AN56)</f>
        <v>37.506105469559856</v>
      </c>
      <c r="AW70" s="174" t="s">
        <v>219</v>
      </c>
      <c r="AX70">
        <f>AX33*SQRT(Fy/AX56)</f>
        <v>39.637303518520284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147.59064534479745</v>
      </c>
      <c r="AC71" s="174" t="s">
        <v>222</v>
      </c>
      <c r="AD71">
        <f>(AD65*(AD33/AD32))^2*Fy</f>
        <v>201.7661879093223</v>
      </c>
      <c r="AM71" s="174" t="s">
        <v>222</v>
      </c>
      <c r="AN71">
        <f>(AN65*(AN33/AN32))^2*Fy</f>
        <v>201.7661879093223</v>
      </c>
      <c r="AW71" s="174" t="s">
        <v>222</v>
      </c>
      <c r="AX71">
        <f>(AX65*(AX33/AX32))^2*Fy</f>
        <v>201.7661879093223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6.0064000000000002</v>
      </c>
      <c r="AE72" t="s">
        <v>225</v>
      </c>
      <c r="AM72" s="174" t="s">
        <v>224</v>
      </c>
      <c r="AN72">
        <f>IF(AN32&lt;=AN70,AO12,AO12*(1-(AN64*SQRT(AN71/AN56)))*SQRT(AN71/AN56))</f>
        <v>5.9664000000000001</v>
      </c>
      <c r="AO72" t="s">
        <v>225</v>
      </c>
      <c r="AW72" s="174" t="s">
        <v>224</v>
      </c>
      <c r="AX72">
        <f>IF(AX32&lt;=AX70,AY12,AY12*(1-(AX64*SQRT(AX71/AX56)))*SQRT(AX71/AX56))</f>
        <v>5.9664000000000001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3.1729769600000002</v>
      </c>
      <c r="AE73" t="s">
        <v>225</v>
      </c>
      <c r="AM73" t="s">
        <v>226</v>
      </c>
      <c r="AN73">
        <f>2*(AN67*AO14)+((AN72-(2*AO14))*AO13)</f>
        <v>3.9547929600000002</v>
      </c>
      <c r="AO73" t="s">
        <v>225</v>
      </c>
      <c r="AW73" t="s">
        <v>226</v>
      </c>
      <c r="AX73">
        <f>2*(AX67*AY14)+((AX72-(2*AY14))*AY13)</f>
        <v>3.9547929600000002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150.13567244742941</v>
      </c>
      <c r="AE75" t="s">
        <v>217</v>
      </c>
      <c r="AM75" t="s">
        <v>216</v>
      </c>
      <c r="AN75">
        <f>(AN56*AN73)</f>
        <v>181.00490589964176</v>
      </c>
      <c r="AO75" t="s">
        <v>217</v>
      </c>
      <c r="AW75" t="s">
        <v>216</v>
      </c>
      <c r="AX75">
        <f>(AX56*AX73)</f>
        <v>162.06382417319497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100.09044829828628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120.66993726642784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108.04254944879665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318.28563483680006</v>
      </c>
      <c r="T82" t="s">
        <v>234</v>
      </c>
      <c r="AC82" t="s">
        <v>233</v>
      </c>
      <c r="AD82">
        <f>Fy*AE19</f>
        <v>370.9837996768</v>
      </c>
      <c r="AE82" t="s">
        <v>234</v>
      </c>
      <c r="AM82" t="s">
        <v>233</v>
      </c>
      <c r="AN82">
        <f>Fy*AO19</f>
        <v>481.95939271680004</v>
      </c>
      <c r="AO82" t="s">
        <v>234</v>
      </c>
      <c r="AW82" t="s">
        <v>233</v>
      </c>
      <c r="AX82">
        <f>Fy*AY19</f>
        <v>481.95939271680004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38.486862928952789</v>
      </c>
      <c r="AC86" t="s">
        <v>238</v>
      </c>
      <c r="AD86">
        <f>1.76*AJ13*SQRT(E/Fy)</f>
        <v>38.91072705812627</v>
      </c>
      <c r="AM86" t="s">
        <v>238</v>
      </c>
      <c r="AN86">
        <f>1.76*AT13*SQRT(E/Fy)</f>
        <v>61.460298730155877</v>
      </c>
      <c r="AW86" t="s">
        <v>238</v>
      </c>
      <c r="AX86">
        <f>1.76*BD13*SQRT(E/Fy)</f>
        <v>61.460298730155877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117.71565146360214</v>
      </c>
      <c r="AC87" t="s">
        <v>239</v>
      </c>
      <c r="AD87">
        <f>(1.95*AJ16*(E/(0.7*Fy)))*SQRT((AJ17/(AE17*AJ15))+SQRT((AJ17/(AE17*AJ15))^2+6.76*((0.7*Fy)/E)^2))</f>
        <v>126.06039856758781</v>
      </c>
      <c r="AM87" t="s">
        <v>239</v>
      </c>
      <c r="AN87">
        <f>(1.95*AT16*(E/(0.7*Fy)))*SQRT((AT17/(AO17*AT15))+SQRT((AT17/(AO17*AT15))^2+6.76*((0.7*Fy)/E)^2))</f>
        <v>185.99254567288165</v>
      </c>
      <c r="AW87" t="s">
        <v>239</v>
      </c>
      <c r="AX87">
        <f>(1.95*BD16*(E/(0.7*Fy)))*SQRT((BD17/(AY17*BD15))+SQRT((BD17/(AY17*BD15))^2+6.76*((0.7*Fy)/E)^2))</f>
        <v>185.99254567288165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2360.279488733619</v>
      </c>
      <c r="AM89" t="s">
        <v>241</v>
      </c>
      <c r="AN89">
        <f>(AN88*9.87*E)/((AN85/AT16)^2)*SQRT(1+0.078*((AT17/(AO17*AT15))*((AN85/AT16)^2)))</f>
        <v>1382.0061958400811</v>
      </c>
      <c r="AW89" t="s">
        <v>241</v>
      </c>
      <c r="AX89">
        <f>(AX88*9.87*E)/((AX85/BD16)^2)*SQRT(1+0.078*((BD17/(AY17*BD15))*((AX85/BD16)^2)))</f>
        <v>622.67572769560275</v>
      </c>
    </row>
    <row r="90" spans="2:51" x14ac:dyDescent="0.25">
      <c r="B90" s="375" t="s">
        <v>398</v>
      </c>
      <c r="C90" s="376"/>
    </row>
    <row r="91" spans="2:51" ht="15.75" thickBot="1" x14ac:dyDescent="0.3">
      <c r="B91" s="377"/>
      <c r="C91" s="378"/>
      <c r="R91" t="s">
        <v>242</v>
      </c>
      <c r="S91">
        <f>IF(S85&lt;=S86,Fy*T19,IF(S85&lt;S87,S88*(S82-(S82-0.7*Fy*T17)*((S85-S86)/(S87-S86))),S89*T17))</f>
        <v>318.28563483680006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370.9837996768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481.95939271680004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481.95939271680004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0.71703264950803114</v>
      </c>
      <c r="AC96" t="s">
        <v>245</v>
      </c>
      <c r="AD96">
        <f>4/(SQRT(AD39))</f>
        <v>0.77532952168153202</v>
      </c>
      <c r="AM96" t="s">
        <v>245</v>
      </c>
      <c r="AN96">
        <f>4/(SQRT(AN39))</f>
        <v>0.77532952168153202</v>
      </c>
      <c r="AW96" t="s">
        <v>245</v>
      </c>
      <c r="AX96">
        <f>4/(SQRT(AX39))</f>
        <v>0.77532952168153202</v>
      </c>
    </row>
    <row r="97" spans="2:51" ht="15.75" thickBot="1" x14ac:dyDescent="0.3">
      <c r="B97" s="206" t="s">
        <v>350</v>
      </c>
      <c r="C97" s="230" t="str">
        <f>'IDLER REACTIONS Zone 5'!C97</f>
        <v>W6x10.4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>
        <f>IF(AO38="Slender",(0.9*E*AN96*AO17)/(AN36^2),IF(AO37="Non-Compact",(AN82-(AN82-(0.7*Fy*AO17))*((AN36-AN37)/(AN38-AN37)))," "))</f>
        <v>440.92552230614518</v>
      </c>
      <c r="AO97" t="s">
        <v>234</v>
      </c>
      <c r="AW97" t="s">
        <v>242</v>
      </c>
      <c r="AX97">
        <f>IF(AY38="Slender",(0.9*E*AX96*AY17)/(AX36^2),IF(AY37="Non-Compact",(AX82-(AX82-(0.7*Fy*AY17))*((AX36-AX37)/(AX38-AX37)))," "))</f>
        <v>440.92552230614518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2.7316169599999998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2.2909283673310634</v>
      </c>
      <c r="H100" s="166" t="str">
        <f t="shared" si="3"/>
        <v>in^4</v>
      </c>
      <c r="R100" s="19" t="s">
        <v>248</v>
      </c>
      <c r="S100" s="8">
        <f>S39*T13</f>
        <v>5.4896000000000003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5.9363999999999999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1.1610218768148506</v>
      </c>
      <c r="H101" s="159" t="str">
        <f t="shared" si="3"/>
        <v>in^3</v>
      </c>
      <c r="R101" s="19" t="s">
        <v>249</v>
      </c>
      <c r="S101" s="8">
        <f>(S100*T13)/(T15*T14)</f>
        <v>1.0983860544183737</v>
      </c>
      <c r="AC101" s="19" t="s">
        <v>249</v>
      </c>
      <c r="AD101" s="8">
        <f>(AD100*AE13)/(AE15*AE14)</f>
        <v>1.112137900665408</v>
      </c>
      <c r="AM101" s="19" t="s">
        <v>249</v>
      </c>
      <c r="AN101" s="8">
        <f>(AN100*AO13)/(AO15*AO14)</f>
        <v>0.8039089969820844</v>
      </c>
      <c r="AW101" s="19" t="s">
        <v>249</v>
      </c>
      <c r="AX101" s="8">
        <f>(AX100*AY13)/(AY15*AY14)</f>
        <v>0.8039089969820844</v>
      </c>
    </row>
    <row r="102" spans="2:51" x14ac:dyDescent="0.25">
      <c r="B102" s="209" t="str">
        <f t="shared" si="0"/>
        <v>Web Thickness (tw)</v>
      </c>
      <c r="C102" s="211">
        <f t="shared" si="1"/>
        <v>0.1764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0.90800000000000003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1.0762320130677621</v>
      </c>
      <c r="AC102" s="19" t="s">
        <v>250</v>
      </c>
      <c r="AD102" s="8">
        <f>1-((AD101/(1200+300*AD101))*((AD100/AE13)-5.7*SQRT(E/Fy)))</f>
        <v>1.0802448642949405</v>
      </c>
      <c r="AM102" s="19" t="s">
        <v>250</v>
      </c>
      <c r="AN102" s="8">
        <f>1-((AN101/(1200+300*AN101))*((AN100/AO13)-5.7*SQRT(E/Fy)))</f>
        <v>1.0617267318152741</v>
      </c>
      <c r="AW102" s="19" t="s">
        <v>250</v>
      </c>
      <c r="AX102" s="8">
        <f>1-((AX101/(1200+300*AX101))*((AX100/AY13)-5.7*SQRT(E/Fy)))</f>
        <v>1.0617267318152741</v>
      </c>
    </row>
    <row r="103" spans="2:51" x14ac:dyDescent="0.25">
      <c r="B103" s="209" t="str">
        <f t="shared" si="0"/>
        <v>Flange Thickness (tf)</v>
      </c>
      <c r="C103" s="211">
        <f t="shared" si="1"/>
        <v>0.22339999999999999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1.7823288655360001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3.9464000000000001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5.7130000000000001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16.826611593484348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1.0744126536130976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5.6689615233085195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3.9786139794321058E-2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2.4819237493203912</v>
      </c>
      <c r="D107" t="str">
        <f t="shared" si="1"/>
        <v>in</v>
      </c>
      <c r="E107" s="19" t="str">
        <f t="shared" si="2"/>
        <v>h/tw</v>
      </c>
      <c r="G107" s="211">
        <f t="shared" si="3"/>
        <v>31.120181405895693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6.3657126967360007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1.0473686657444627</v>
      </c>
      <c r="AC108" s="19" t="s">
        <v>254</v>
      </c>
      <c r="AD108" s="8">
        <f>AE15/SQRT(12*(1+0.1667*AD101))</f>
        <v>1.0543096749314607</v>
      </c>
      <c r="AM108" s="19" t="s">
        <v>254</v>
      </c>
      <c r="AN108" s="8">
        <f>AO15/SQRT(12*(1+0.1667*AN101))</f>
        <v>1.6173834273407037</v>
      </c>
      <c r="AW108" s="19" t="s">
        <v>254</v>
      </c>
      <c r="AX108" s="8">
        <f>AY15/SQRT(12*(1+0.1667*AX101))</f>
        <v>1.6173834273407037</v>
      </c>
    </row>
    <row r="109" spans="2:51" ht="15.75" thickBot="1" x14ac:dyDescent="0.3">
      <c r="B109" s="213" t="str">
        <f t="shared" si="0"/>
        <v>Wh</v>
      </c>
      <c r="C109" s="212">
        <f t="shared" si="1"/>
        <v>5.4896000000000003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212.19042322453336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247.32253311786667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293.95034820409677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293.95034820409677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256.49045774086318</v>
      </c>
      <c r="AC119" t="s">
        <v>255</v>
      </c>
      <c r="AD119">
        <f>(0.69*E)/(AD36^2)</f>
        <v>332.78442438189364</v>
      </c>
      <c r="AM119" t="s">
        <v>255</v>
      </c>
      <c r="AN119">
        <f>(0.69*E)/(AN36^2)</f>
        <v>125.65428183831061</v>
      </c>
      <c r="AW119" t="s">
        <v>255</v>
      </c>
      <c r="AX119">
        <f>(0.69*E)/(AX36^2)</f>
        <v>125.65428183831061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212.19042322453336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89.116443276800013</v>
      </c>
      <c r="T120" t="s">
        <v>234</v>
      </c>
      <c r="AC120" t="s">
        <v>263</v>
      </c>
      <c r="AD120">
        <f>Fy*AJ14</f>
        <v>104.2787700368</v>
      </c>
      <c r="AE120" t="s">
        <v>234</v>
      </c>
      <c r="AM120" t="s">
        <v>263</v>
      </c>
      <c r="AN120">
        <f>Fy*AT14</f>
        <v>213.30916807680001</v>
      </c>
      <c r="AO120" t="s">
        <v>234</v>
      </c>
      <c r="AW120" t="s">
        <v>263</v>
      </c>
      <c r="AX120">
        <f>Fy*BD14</f>
        <v>213.30916807680001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92.88175014518805</v>
      </c>
      <c r="T121" t="s">
        <v>265</v>
      </c>
      <c r="AC121" t="s">
        <v>264</v>
      </c>
      <c r="AD121">
        <f>1.6*Fy*AJ12</f>
        <v>108.27222299671192</v>
      </c>
      <c r="AE121" t="s">
        <v>265</v>
      </c>
      <c r="AM121" t="s">
        <v>264</v>
      </c>
      <c r="AN121">
        <f>1.6*Fy*AT12</f>
        <v>224.51729163775593</v>
      </c>
      <c r="AO121" t="s">
        <v>265</v>
      </c>
      <c r="AW121" t="s">
        <v>264</v>
      </c>
      <c r="AX121">
        <f>1.6*Fy*BD12</f>
        <v>224.51729163775593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59.410962184533339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89.116443276800013</v>
      </c>
      <c r="T122" t="s">
        <v>234</v>
      </c>
      <c r="AC122" t="s">
        <v>266</v>
      </c>
      <c r="AD122">
        <f>MIN(AD120:AD121)</f>
        <v>104.2787700368</v>
      </c>
      <c r="AE122" t="s">
        <v>234</v>
      </c>
      <c r="AM122" t="s">
        <v>266</v>
      </c>
      <c r="AN122">
        <f>MIN(AN120:AN121)</f>
        <v>213.30916807680001</v>
      </c>
      <c r="AO122" t="s">
        <v>234</v>
      </c>
      <c r="AW122" t="s">
        <v>266</v>
      </c>
      <c r="AX122">
        <f>MIN(AX120:AX121)</f>
        <v>213.30916807680001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89.116443276800013</v>
      </c>
      <c r="T123" t="s">
        <v>234</v>
      </c>
      <c r="AC123" t="s">
        <v>242</v>
      </c>
      <c r="AD123">
        <f>IF(AE37="Compact",AD122,IF(AE37="Non-Compact",AD122-(0.7*Fy*AJ12)*((AD36-AD37)/(AD38-AD37)),AD119*AJ12))</f>
        <v>104.2787700368</v>
      </c>
      <c r="AE123" t="s">
        <v>234</v>
      </c>
      <c r="AM123" t="s">
        <v>242</v>
      </c>
      <c r="AN123">
        <f>IF(AO37="Compact",AN122,IF(AO37="Non-Compact",AN122-(0.7*Fy*AT12)*((AN36-AN37)/(AN38-AN37)),AN119*AT12))</f>
        <v>190.4972994772306</v>
      </c>
      <c r="AO123" t="s">
        <v>234</v>
      </c>
      <c r="AW123" t="s">
        <v>242</v>
      </c>
      <c r="AX123">
        <f>IF(AY37="Compact",AX122,IF(AY37="Non-Compact",AX122-(0.7*Fy*BD12)*((AX36-AX37)/(AX38-AX37)),AX119*BD12))</f>
        <v>190.4972994772306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20.943619199999997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59.410962184533339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69.519180024533327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126.99819965148707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126.99819965148707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35.265030400000001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190.59020050107787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1.0471809599999999</v>
      </c>
      <c r="AC134" t="s">
        <v>270</v>
      </c>
      <c r="AD134">
        <f>AE12*AE13</f>
        <v>1.2397209600000001</v>
      </c>
      <c r="AM134" t="s">
        <v>270</v>
      </c>
      <c r="AN134">
        <f>AO12*AO13</f>
        <v>1.2314649600000001</v>
      </c>
      <c r="AW134" t="s">
        <v>270</v>
      </c>
      <c r="AX134">
        <f>AY12*AY13</f>
        <v>1.2314649600000001</v>
      </c>
    </row>
    <row r="135" spans="2:56" x14ac:dyDescent="0.25">
      <c r="R135" t="s">
        <v>186</v>
      </c>
      <c r="S135">
        <f>S32</f>
        <v>31.120181405895693</v>
      </c>
      <c r="AC135" t="s">
        <v>186</v>
      </c>
      <c r="AD135">
        <f>AD32</f>
        <v>26.61627906976744</v>
      </c>
      <c r="AM135" t="s">
        <v>186</v>
      </c>
      <c r="AN135">
        <f>AN32</f>
        <v>26.61627906976744</v>
      </c>
      <c r="AW135" t="s">
        <v>186</v>
      </c>
      <c r="AX135">
        <f>AX32</f>
        <v>26.61627906976744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20.943619199999997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24.794419200000004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24.629299200000002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24.629299200000002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5" t="s">
        <v>399</v>
      </c>
      <c r="C145" s="37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7"/>
      <c r="C146" s="37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35.265030400000001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40.781958400000001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56.418278400000013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56.418278400000013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5'!C151</f>
        <v>W6X12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3.1729769600000002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2.6908354220257831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6.0064000000000002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1.353402787458899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0.2064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0.91800000000000004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0.25640000000000002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2.0855754007359999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3.9763999999999999</v>
      </c>
      <c r="D158" t="str">
        <f t="shared" si="5"/>
        <v>in</v>
      </c>
      <c r="E158" s="19" t="str">
        <f t="shared" si="6"/>
        <v>ho</v>
      </c>
      <c r="G158" s="211">
        <f t="shared" si="7"/>
        <v>5.75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19.717261626172025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1.0855037313432085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6.5654174301318671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6.1537024707601078E-2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2.4928138002608144</v>
      </c>
      <c r="D161" t="str">
        <f t="shared" si="5"/>
        <v>in</v>
      </c>
      <c r="E161" s="19" t="str">
        <f t="shared" si="6"/>
        <v>h/tw</v>
      </c>
      <c r="G161" s="211">
        <f t="shared" si="7"/>
        <v>26.61627906976744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7.4196759935359999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100.09044829828628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247.32253311786667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69.519180024533327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24.794419200000004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40.781958400000001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222.14598783041919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5" t="s">
        <v>400</v>
      </c>
      <c r="C194" s="376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7"/>
      <c r="C195" s="378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5'!C200</f>
        <v>W6X15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3.9547929600000002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8.3722498051719185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5.9664000000000001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2.8064661454719491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0.2064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1.45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0.2364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4.2661833615360001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5.9664000000000001</v>
      </c>
      <c r="D207" t="str">
        <f t="shared" si="59"/>
        <v>in</v>
      </c>
      <c r="E207" s="19" t="str">
        <f t="shared" si="56"/>
        <v>ho</v>
      </c>
      <c r="G207" s="211">
        <f>AT15</f>
        <v>5.73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26.019505242729679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1.6583457046042405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8.7220116796492615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6.9343208049254396E-2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2.5650016034267842</v>
      </c>
      <c r="D210" t="str">
        <f t="shared" si="59"/>
        <v>in</v>
      </c>
      <c r="E210" s="19" t="str">
        <f t="shared" si="56"/>
        <v>h/tw</v>
      </c>
      <c r="G210" s="211">
        <f>AT18</f>
        <v>26.61627906976744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9.6391878543360008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120.66993726642784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293.95034820409677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126.99819965148707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24.629299200000002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56.418278400000013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288.59843875257491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75" t="s">
        <v>401</v>
      </c>
      <c r="C243" s="376"/>
    </row>
    <row r="244" spans="2:8" ht="15.75" thickBot="1" x14ac:dyDescent="0.3">
      <c r="B244" s="377"/>
      <c r="C244" s="378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5'!C249</f>
        <v>W6X15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3.9547929600000002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8.3722498051719185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5.9664000000000001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2.8064661454719491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0.2064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1.45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0.2364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4.2661833615360001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5.9664000000000001</v>
      </c>
      <c r="D256" t="str">
        <f t="shared" si="63"/>
        <v>in</v>
      </c>
      <c r="E256" s="19" t="str">
        <f t="shared" si="60"/>
        <v>ho</v>
      </c>
      <c r="G256" s="211">
        <f>BD15</f>
        <v>5.73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26.019505242729679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1.6583457046042405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8.7220116796492615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6.9343208049254396E-2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2.5650016034267842</v>
      </c>
      <c r="D259" t="str">
        <f t="shared" si="63"/>
        <v>in</v>
      </c>
      <c r="E259" s="19" t="str">
        <f t="shared" si="60"/>
        <v>h/tw</v>
      </c>
      <c r="G259" s="211">
        <f>BD18</f>
        <v>26.61627906976744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9.6391878543360008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108.04254944879665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293.95034820409677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126.99819965148707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24.629299200000002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56.418278400000013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288.59843875257491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</mergeCells>
  <conditionalFormatting sqref="I34:I35">
    <cfRule type="expression" dxfId="45" priority="49">
      <formula>ABS(I34)=MAX(ABS($I$12:$I$33),ABS($I$38:$I$59))</formula>
    </cfRule>
  </conditionalFormatting>
  <conditionalFormatting sqref="E34:I35">
    <cfRule type="expression" priority="48" stopIfTrue="1">
      <formula>E34=""</formula>
    </cfRule>
  </conditionalFormatting>
  <conditionalFormatting sqref="C132 C186 C235 C284">
    <cfRule type="cellIs" dxfId="44" priority="47" operator="greaterThan">
      <formula>1</formula>
    </cfRule>
  </conditionalFormatting>
  <conditionalFormatting sqref="E12:I33">
    <cfRule type="expression" dxfId="43" priority="46">
      <formula>ABS(E12)=MAX(ABS($E$12:$E$33),ABS($E$38:$E$59))</formula>
    </cfRule>
  </conditionalFormatting>
  <conditionalFormatting sqref="F12:F33">
    <cfRule type="expression" dxfId="42" priority="45">
      <formula>ABS(F12)=MAX(ABS($F$12:$F$33),ABS($F$38:$F$59))</formula>
    </cfRule>
  </conditionalFormatting>
  <conditionalFormatting sqref="G12:G33">
    <cfRule type="expression" dxfId="41" priority="44">
      <formula>ABS(G12)=MAX(ABS($G$12:$G$33),ABS($G$38:$G$59))</formula>
    </cfRule>
  </conditionalFormatting>
  <conditionalFormatting sqref="H12:H33">
    <cfRule type="expression" dxfId="40" priority="43">
      <formula>ABS(H12)=MAX(ABS($H$12:$H$33),ABS($H$38:$H$59))</formula>
    </cfRule>
  </conditionalFormatting>
  <conditionalFormatting sqref="I12:I33">
    <cfRule type="expression" dxfId="39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8" priority="40">
      <formula>ABS(E38)=MAX(ABS($E$12:$E$33),ABS($E$38:$E$59))</formula>
    </cfRule>
  </conditionalFormatting>
  <conditionalFormatting sqref="F38:F59">
    <cfRule type="expression" dxfId="37" priority="39">
      <formula>ABS(F38)=MAX(ABS($F$12:$F$33),ABS($F$38:$F$59))</formula>
    </cfRule>
  </conditionalFormatting>
  <conditionalFormatting sqref="G38:G59">
    <cfRule type="expression" dxfId="36" priority="38">
      <formula>ABS(G38)=MAX(ABS($G$12:$G$33),ABS($G$38:$G$59))</formula>
    </cfRule>
  </conditionalFormatting>
  <conditionalFormatting sqref="H38:H59">
    <cfRule type="expression" dxfId="35" priority="37">
      <formula>ABS(H38)=MAX(ABS($H$12:$H$33),ABS($H$38:$H$59))</formula>
    </cfRule>
  </conditionalFormatting>
  <conditionalFormatting sqref="I38:I59">
    <cfRule type="expression" dxfId="34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33" priority="29">
      <formula>$F$9="Zone 5"</formula>
    </cfRule>
    <cfRule type="expression" dxfId="32" priority="30">
      <formula>$F$9="Zone 4"</formula>
    </cfRule>
    <cfRule type="expression" dxfId="31" priority="31">
      <formula>$F$9="Zone 3"</formula>
    </cfRule>
    <cfRule type="expression" dxfId="30" priority="32">
      <formula>$F$9="Zone 2"</formula>
    </cfRule>
    <cfRule type="expression" dxfId="29" priority="33">
      <formula>$F$9="Zone 1"</formula>
    </cfRule>
    <cfRule type="expression" dxfId="28" priority="34">
      <formula>$F$9="Zone 1 - Drive"</formula>
    </cfRule>
  </conditionalFormatting>
  <conditionalFormatting sqref="Y41:Y150 AJ41:AJ150 AT41:AT150 BD41:BD150">
    <cfRule type="expression" dxfId="27" priority="28">
      <formula>Y41="Satisfactory"</formula>
    </cfRule>
  </conditionalFormatting>
  <conditionalFormatting sqref="AG4">
    <cfRule type="expression" dxfId="26" priority="22">
      <formula>$F$9="Zone 5"</formula>
    </cfRule>
    <cfRule type="expression" dxfId="25" priority="23">
      <formula>$F$9="Zone 4"</formula>
    </cfRule>
    <cfRule type="expression" dxfId="24" priority="24">
      <formula>$F$9="Zone 3"</formula>
    </cfRule>
    <cfRule type="expression" dxfId="23" priority="25">
      <formula>$F$9="Zone 2"</formula>
    </cfRule>
    <cfRule type="expression" dxfId="22" priority="26">
      <formula>$F$9="Zone 1"</formula>
    </cfRule>
    <cfRule type="expression" dxfId="21" priority="27">
      <formula>$F$9="Zone 1 - Drive"</formula>
    </cfRule>
  </conditionalFormatting>
  <conditionalFormatting sqref="AQ4">
    <cfRule type="expression" dxfId="20" priority="16">
      <formula>$F$9="Zone 5"</formula>
    </cfRule>
    <cfRule type="expression" dxfId="19" priority="17">
      <formula>$F$9="Zone 4"</formula>
    </cfRule>
    <cfRule type="expression" dxfId="18" priority="18">
      <formula>$F$9="Zone 3"</formula>
    </cfRule>
    <cfRule type="expression" dxfId="17" priority="19">
      <formula>$F$9="Zone 2"</formula>
    </cfRule>
    <cfRule type="expression" dxfId="16" priority="20">
      <formula>$F$9="Zone 1"</formula>
    </cfRule>
    <cfRule type="expression" dxfId="15" priority="21">
      <formula>$F$9="Zone 1 - Drive"</formula>
    </cfRule>
  </conditionalFormatting>
  <conditionalFormatting sqref="BA4">
    <cfRule type="expression" dxfId="14" priority="10">
      <formula>$F$9="Zone 5"</formula>
    </cfRule>
    <cfRule type="expression" dxfId="13" priority="11">
      <formula>$F$9="Zone 4"</formula>
    </cfRule>
    <cfRule type="expression" dxfId="12" priority="12">
      <formula>$F$9="Zone 3"</formula>
    </cfRule>
    <cfRule type="expression" dxfId="11" priority="13">
      <formula>$F$9="Zone 2"</formula>
    </cfRule>
    <cfRule type="expression" dxfId="10" priority="14">
      <formula>$F$9="Zone 1"</formula>
    </cfRule>
    <cfRule type="expression" dxfId="9" priority="15">
      <formula>$F$9="Zone 1 - Drive"</formula>
    </cfRule>
  </conditionalFormatting>
  <conditionalFormatting sqref="Y31:Y40 AJ31:AJ40 AT31:AT40 BD31:BD40">
    <cfRule type="expression" dxfId="8" priority="9">
      <formula>Y31="Satisfactory"</formula>
    </cfRule>
  </conditionalFormatting>
  <conditionalFormatting sqref="Y158:Y179">
    <cfRule type="top10" dxfId="7" priority="8" rank="1"/>
  </conditionalFormatting>
  <conditionalFormatting sqref="Y184:Y205">
    <cfRule type="top10" dxfId="6" priority="7" rank="1"/>
  </conditionalFormatting>
  <conditionalFormatting sqref="AJ158:AJ179">
    <cfRule type="top10" dxfId="5" priority="6" rank="1"/>
  </conditionalFormatting>
  <conditionalFormatting sqref="AJ184:AJ205">
    <cfRule type="top10" dxfId="4" priority="5" rank="1"/>
  </conditionalFormatting>
  <conditionalFormatting sqref="AT158:AT179">
    <cfRule type="top10" dxfId="3" priority="4" rank="1"/>
  </conditionalFormatting>
  <conditionalFormatting sqref="AT184:AT205">
    <cfRule type="top10" dxfId="2" priority="3" rank="1"/>
  </conditionalFormatting>
  <conditionalFormatting sqref="BD158:BD179">
    <cfRule type="top10" dxfId="1" priority="2" rank="1"/>
  </conditionalFormatting>
  <conditionalFormatting sqref="BD184:BD205">
    <cfRule type="top10" dxfId="0" priority="1" rank="1"/>
  </conditionalFormatting>
  <dataValidations count="1">
    <dataValidation type="list" allowBlank="1" showInputMessage="1" showErrorMessage="1" sqref="P17" xr:uid="{0148FE34-D968-4736-9D0C-E132DFE0D1FF}">
      <formula1>"No,Yes"</formula1>
    </dataValidation>
  </dataValidations>
  <pageMargins left="0.7" right="0.7" top="0.75" bottom="0.75" header="0.3" footer="0.3"/>
  <pageSetup scale="41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F1AD46-5422-4F9F-A72B-DC26A2A0E116}">
          <x14:formula1>
            <xm:f>List!$D$2:$D$5</xm:f>
          </x14:formula1>
          <xm:sqref>P21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705B7-83B2-4DC7-A14B-5698534B8C44}">
  <dimension ref="A1"/>
  <sheetViews>
    <sheetView workbookViewId="0">
      <selection sqref="A1:XFD1048576"/>
    </sheetView>
  </sheetViews>
  <sheetFormatPr defaultRowHeight="15" x14ac:dyDescent="0.25"/>
  <cols>
    <col min="3" max="3" width="35.5703125" customWidth="1"/>
    <col min="4" max="4" width="19.85546875" customWidth="1"/>
    <col min="5" max="5" width="26.28515625" customWidth="1"/>
    <col min="6" max="6" width="26.85546875" customWidth="1"/>
    <col min="7" max="7" width="24.42578125" customWidth="1"/>
    <col min="8" max="8" width="32.85546875" customWidth="1"/>
    <col min="9" max="9" width="33.85546875" bestFit="1" customWidth="1"/>
    <col min="14" max="14" width="31.28515625" customWidth="1"/>
    <col min="15" max="15" width="23.42578125" customWidth="1"/>
    <col min="16" max="16" width="23" bestFit="1" customWidth="1"/>
    <col min="17" max="17" width="12" bestFit="1" customWidth="1"/>
    <col min="18" max="18" width="22.140625" bestFit="1" customWidth="1"/>
    <col min="19" max="19" width="34.140625" bestFit="1" customWidth="1"/>
    <col min="20" max="20" width="33.85546875" bestFit="1" customWidth="1"/>
  </cols>
  <sheetData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A65FE-49D5-4F89-A053-5B01B6049F05}">
  <dimension ref="A1"/>
  <sheetViews>
    <sheetView workbookViewId="0">
      <selection sqref="A1:XFD1048576"/>
    </sheetView>
  </sheetViews>
  <sheetFormatPr defaultRowHeight="15" x14ac:dyDescent="0.25"/>
  <cols>
    <col min="2" max="2" width="16.42578125" customWidth="1"/>
    <col min="3" max="3" width="32" customWidth="1"/>
    <col min="4" max="4" width="19.5703125" customWidth="1"/>
    <col min="5" max="5" width="23" bestFit="1" customWidth="1"/>
    <col min="6" max="6" width="12.7109375" bestFit="1" customWidth="1"/>
    <col min="7" max="7" width="22.28515625" bestFit="1" customWidth="1"/>
    <col min="8" max="8" width="34.28515625" bestFit="1" customWidth="1"/>
    <col min="9" max="9" width="33.7109375" bestFit="1" customWidth="1"/>
    <col min="13" max="13" width="20.28515625" customWidth="1"/>
    <col min="14" max="14" width="35.5703125" customWidth="1"/>
    <col min="15" max="15" width="13.28515625" bestFit="1" customWidth="1"/>
    <col min="16" max="16" width="23" bestFit="1" customWidth="1"/>
    <col min="17" max="17" width="12.7109375" bestFit="1" customWidth="1"/>
    <col min="18" max="18" width="22.28515625" bestFit="1" customWidth="1"/>
    <col min="19" max="19" width="34.28515625" bestFit="1" customWidth="1"/>
    <col min="20" max="20" width="33.7109375" bestFit="1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215</vt:i4>
      </vt:variant>
    </vt:vector>
  </HeadingPairs>
  <TitlesOfParts>
    <vt:vector size="241" baseType="lpstr">
      <vt:lpstr>Cover Sheet</vt:lpstr>
      <vt:lpstr>REV History</vt:lpstr>
      <vt:lpstr>APA Cover Sheet</vt:lpstr>
      <vt:lpstr>DRIVE REACTIONS Zone 1</vt:lpstr>
      <vt:lpstr>DRIVE REACTIONS Zone 1 DL</vt:lpstr>
      <vt:lpstr>IDLER REACTIONS Zone 1</vt:lpstr>
      <vt:lpstr>IDLER REACTIONS Zone 1 DL</vt:lpstr>
      <vt:lpstr>IDLER REACTIONS Zone 2</vt:lpstr>
      <vt:lpstr>IDLER REACTIONS Zone 2 DL</vt:lpstr>
      <vt:lpstr>IDLER REACTIONS Zone 3</vt:lpstr>
      <vt:lpstr>IDLER REACTIONS Zone 3 DL</vt:lpstr>
      <vt:lpstr>DRIVE REACTIONS Zone 4</vt:lpstr>
      <vt:lpstr>DRIVE REACTIONS Zone 4 DL</vt:lpstr>
      <vt:lpstr>IDLER REACTIONS Zone 5</vt:lpstr>
      <vt:lpstr>Vertical Rail - Canadian</vt:lpstr>
      <vt:lpstr>Vertical Rail 7-22</vt:lpstr>
      <vt:lpstr>Vertical Rail 7-16</vt:lpstr>
      <vt:lpstr>Purlin</vt:lpstr>
      <vt:lpstr>Post Reactions </vt:lpstr>
      <vt:lpstr>Collar</vt:lpstr>
      <vt:lpstr>Shapes</vt:lpstr>
      <vt:lpstr>List</vt:lpstr>
      <vt:lpstr>Load Combinations</vt:lpstr>
      <vt:lpstr>IDLER REACTIONS Zone 5 DL</vt:lpstr>
      <vt:lpstr>0 Degree Loads</vt:lpstr>
      <vt:lpstr>55 Degree Loads</vt:lpstr>
      <vt:lpstr>Corr</vt:lpstr>
      <vt:lpstr>'Vertical Rail - Canadian'!D_Z1_M_0</vt:lpstr>
      <vt:lpstr>'Vertical Rail 7-22'!D_Z1_M_0</vt:lpstr>
      <vt:lpstr>D_Z1_M_0</vt:lpstr>
      <vt:lpstr>'Vertical Rail - Canadian'!D_Z1_M_55</vt:lpstr>
      <vt:lpstr>'Vertical Rail 7-22'!D_Z1_M_55</vt:lpstr>
      <vt:lpstr>D_Z1_M_55</vt:lpstr>
      <vt:lpstr>'Vertical Rail - Canadian'!D_Z1_S_0</vt:lpstr>
      <vt:lpstr>'Vertical Rail 7-22'!D_Z1_S_0</vt:lpstr>
      <vt:lpstr>D_Z1_S_0</vt:lpstr>
      <vt:lpstr>'Vertical Rail - Canadian'!D_Z1_S_55</vt:lpstr>
      <vt:lpstr>'Vertical Rail 7-22'!D_Z1_S_55</vt:lpstr>
      <vt:lpstr>D_Z1_S_55</vt:lpstr>
      <vt:lpstr>'Vertical Rail - Canadian'!D_Z2_M_0</vt:lpstr>
      <vt:lpstr>'Vertical Rail 7-22'!D_Z2_M_0</vt:lpstr>
      <vt:lpstr>D_Z2_M_0</vt:lpstr>
      <vt:lpstr>'Vertical Rail - Canadian'!D_Z2_M_55</vt:lpstr>
      <vt:lpstr>'Vertical Rail 7-22'!D_Z2_M_55</vt:lpstr>
      <vt:lpstr>D_Z2_M_55</vt:lpstr>
      <vt:lpstr>'Vertical Rail - Canadian'!D_Z2_S_0</vt:lpstr>
      <vt:lpstr>'Vertical Rail 7-22'!D_Z2_S_0</vt:lpstr>
      <vt:lpstr>D_Z2_S_0</vt:lpstr>
      <vt:lpstr>'Vertical Rail - Canadian'!D_Z2_S_55</vt:lpstr>
      <vt:lpstr>'Vertical Rail 7-22'!D_Z2_S_55</vt:lpstr>
      <vt:lpstr>D_Z2_S_55</vt:lpstr>
      <vt:lpstr>'Vertical Rail - Canadian'!D_Z3_M_0</vt:lpstr>
      <vt:lpstr>'Vertical Rail 7-22'!D_Z3_M_0</vt:lpstr>
      <vt:lpstr>D_Z3_M_0</vt:lpstr>
      <vt:lpstr>'Vertical Rail - Canadian'!D_Z3_M_55</vt:lpstr>
      <vt:lpstr>'Vertical Rail 7-22'!D_Z3_M_55</vt:lpstr>
      <vt:lpstr>D_Z3_M_55</vt:lpstr>
      <vt:lpstr>'Vertical Rail - Canadian'!D_Z3_S_0</vt:lpstr>
      <vt:lpstr>'Vertical Rail 7-22'!D_Z3_S_0</vt:lpstr>
      <vt:lpstr>D_Z3_S_0</vt:lpstr>
      <vt:lpstr>'Vertical Rail - Canadian'!D_Z3_S_55</vt:lpstr>
      <vt:lpstr>'Vertical Rail 7-22'!D_Z3_S_55</vt:lpstr>
      <vt:lpstr>D_Z3_S_55</vt:lpstr>
      <vt:lpstr>'Vertical Rail - Canadian'!D_Z4_M_0</vt:lpstr>
      <vt:lpstr>'Vertical Rail 7-22'!D_Z4_M_0</vt:lpstr>
      <vt:lpstr>D_Z4_M_0</vt:lpstr>
      <vt:lpstr>'Vertical Rail - Canadian'!D_Z4_M_55</vt:lpstr>
      <vt:lpstr>'Vertical Rail 7-22'!D_Z4_M_55</vt:lpstr>
      <vt:lpstr>D_Z4_M_55</vt:lpstr>
      <vt:lpstr>'Vertical Rail - Canadian'!D_Z4_S_0</vt:lpstr>
      <vt:lpstr>'Vertical Rail 7-22'!D_Z4_S_0</vt:lpstr>
      <vt:lpstr>D_Z4_S_0</vt:lpstr>
      <vt:lpstr>'Vertical Rail - Canadian'!D_Z4_S_55</vt:lpstr>
      <vt:lpstr>'Vertical Rail 7-22'!D_Z4_S_55</vt:lpstr>
      <vt:lpstr>D_Z4_S_55</vt:lpstr>
      <vt:lpstr>'Vertical Rail - Canadian'!D_Z5_M_0</vt:lpstr>
      <vt:lpstr>'Vertical Rail 7-22'!D_Z5_M_0</vt:lpstr>
      <vt:lpstr>D_Z5_M_0</vt:lpstr>
      <vt:lpstr>'Vertical Rail - Canadian'!D_Z5_M_55</vt:lpstr>
      <vt:lpstr>'Vertical Rail 7-22'!D_Z5_M_55</vt:lpstr>
      <vt:lpstr>D_Z5_M_55</vt:lpstr>
      <vt:lpstr>'Vertical Rail - Canadian'!D_Z5_S_0</vt:lpstr>
      <vt:lpstr>'Vertical Rail 7-22'!D_Z5_S_0</vt:lpstr>
      <vt:lpstr>D_Z5_S_0</vt:lpstr>
      <vt:lpstr>'Vertical Rail - Canadian'!D_Z5_S_55</vt:lpstr>
      <vt:lpstr>'Vertical Rail 7-22'!D_Z5_S_55</vt:lpstr>
      <vt:lpstr>D_Z5_S_55</vt:lpstr>
      <vt:lpstr>DL</vt:lpstr>
      <vt:lpstr>'Vertical Rail - Canadian'!DLMoment_0</vt:lpstr>
      <vt:lpstr>'Vertical Rail 7-22'!DLMoment_0</vt:lpstr>
      <vt:lpstr>DLMoment_0</vt:lpstr>
      <vt:lpstr>'Vertical Rail - Canadian'!DLMoment_55</vt:lpstr>
      <vt:lpstr>'Vertical Rail 7-22'!DLMoment_55</vt:lpstr>
      <vt:lpstr>DLMoment_55</vt:lpstr>
      <vt:lpstr>'Vertical Rail - Canadian'!DLShear_0</vt:lpstr>
      <vt:lpstr>'Vertical Rail 7-22'!DLShear_0</vt:lpstr>
      <vt:lpstr>DLShear_0</vt:lpstr>
      <vt:lpstr>'Vertical Rail - Canadian'!DLShear_55</vt:lpstr>
      <vt:lpstr>'Vertical Rail 7-22'!DLShear_55</vt:lpstr>
      <vt:lpstr>DLShear_55</vt:lpstr>
      <vt:lpstr>DN</vt:lpstr>
      <vt:lpstr>E</vt:lpstr>
      <vt:lpstr>Fy</vt:lpstr>
      <vt:lpstr>mil</vt:lpstr>
      <vt:lpstr>'APA Cover Sheet'!Print_Area</vt:lpstr>
      <vt:lpstr>Collar!Print_Area</vt:lpstr>
      <vt:lpstr>'Cover Sheet'!Print_Area</vt:lpstr>
      <vt:lpstr>'DRIVE REACTIONS Zone 1'!Print_Area</vt:lpstr>
      <vt:lpstr>'DRIVE REACTIONS Zone 1 DL'!Print_Area</vt:lpstr>
      <vt:lpstr>'DRIVE REACTIONS Zone 4'!Print_Area</vt:lpstr>
      <vt:lpstr>'DRIVE REACTIONS Zone 4 DL'!Print_Area</vt:lpstr>
      <vt:lpstr>'IDLER REACTIONS Zone 1'!Print_Area</vt:lpstr>
      <vt:lpstr>'IDLER REACTIONS Zone 1 DL'!Print_Area</vt:lpstr>
      <vt:lpstr>'IDLER REACTIONS Zone 2'!Print_Area</vt:lpstr>
      <vt:lpstr>'IDLER REACTIONS Zone 2 DL'!Print_Area</vt:lpstr>
      <vt:lpstr>'IDLER REACTIONS Zone 3'!Print_Area</vt:lpstr>
      <vt:lpstr>'IDLER REACTIONS Zone 3 DL'!Print_Area</vt:lpstr>
      <vt:lpstr>'IDLER REACTIONS Zone 5'!Print_Area</vt:lpstr>
      <vt:lpstr>'IDLER REACTIONS Zone 5 DL'!Print_Area</vt:lpstr>
      <vt:lpstr>'IDLER REACTIONS Zone 1 DL'!Profile_Zone_1_1</vt:lpstr>
      <vt:lpstr>Profile_Zone_1_1</vt:lpstr>
      <vt:lpstr>'DRIVE REACTIONS Zone 1 DL'!Profile_Zone_1_1_D</vt:lpstr>
      <vt:lpstr>Profile_Zone_1_1_D</vt:lpstr>
      <vt:lpstr>'IDLER REACTIONS Zone 1 DL'!Profile_Zone_1_2</vt:lpstr>
      <vt:lpstr>Profile_Zone_1_2</vt:lpstr>
      <vt:lpstr>'DRIVE REACTIONS Zone 1 DL'!Profile_Zone_1_2_D</vt:lpstr>
      <vt:lpstr>Profile_Zone_1_2_D</vt:lpstr>
      <vt:lpstr>'IDLER REACTIONS Zone 1 DL'!Profile_Zone_1_3</vt:lpstr>
      <vt:lpstr>Profile_Zone_1_3</vt:lpstr>
      <vt:lpstr>'DRIVE REACTIONS Zone 1 DL'!Profile_Zone_1_3_D</vt:lpstr>
      <vt:lpstr>Profile_Zone_1_3_D</vt:lpstr>
      <vt:lpstr>'IDLER REACTIONS Zone 1 DL'!Profile_Zone_1_STD</vt:lpstr>
      <vt:lpstr>Profile_Zone_1_STD</vt:lpstr>
      <vt:lpstr>'DRIVE REACTIONS Zone 1 DL'!Profile_Zone_1_STD_D</vt:lpstr>
      <vt:lpstr>Profile_Zone_1_STD_D</vt:lpstr>
      <vt:lpstr>'IDLER REACTIONS Zone 2 DL'!PROFILE_ZONE_2_1</vt:lpstr>
      <vt:lpstr>PROFILE_ZONE_2_1</vt:lpstr>
      <vt:lpstr>'IDLER REACTIONS Zone 2 DL'!PROFILE_ZONE_2_2</vt:lpstr>
      <vt:lpstr>PROFILE_ZONE_2_2</vt:lpstr>
      <vt:lpstr>'IDLER REACTIONS Zone 2 DL'!PROFILE_ZONE_2_3</vt:lpstr>
      <vt:lpstr>PROFILE_ZONE_2_3</vt:lpstr>
      <vt:lpstr>'IDLER REACTIONS Zone 2 DL'!PROFILE_ZONE_2_STD</vt:lpstr>
      <vt:lpstr>PROFILE_ZONE_2_STD</vt:lpstr>
      <vt:lpstr>'IDLER REACTIONS Zone 3 DL'!PROFILE_ZONE_3_1</vt:lpstr>
      <vt:lpstr>PROFILE_ZONE_3_1</vt:lpstr>
      <vt:lpstr>'IDLER REACTIONS Zone 3 DL'!PROFILE_ZONE_3_2</vt:lpstr>
      <vt:lpstr>PROFILE_ZONE_3_2</vt:lpstr>
      <vt:lpstr>'IDLER REACTIONS Zone 3 DL'!PROFILE_ZONE_3_3</vt:lpstr>
      <vt:lpstr>PROFILE_ZONE_3_3</vt:lpstr>
      <vt:lpstr>'IDLER REACTIONS Zone 3 DL'!PROFILE_ZONE_3_STD</vt:lpstr>
      <vt:lpstr>PROFILE_ZONE_3_STD</vt:lpstr>
      <vt:lpstr>'DRIVE REACTIONS Zone 4 DL'!PROFILE_ZONE_4_1</vt:lpstr>
      <vt:lpstr>PROFILE_ZONE_4_1</vt:lpstr>
      <vt:lpstr>'DRIVE REACTIONS Zone 4 DL'!PROFILE_ZONE_4_2</vt:lpstr>
      <vt:lpstr>PROFILE_ZONE_4_2</vt:lpstr>
      <vt:lpstr>'DRIVE REACTIONS Zone 4 DL'!PROFILE_ZONE_4_3</vt:lpstr>
      <vt:lpstr>PROFILE_ZONE_4_3</vt:lpstr>
      <vt:lpstr>'DRIVE REACTIONS Zone 4 DL'!PROFILE_ZONE_4_STD</vt:lpstr>
      <vt:lpstr>PROFILE_ZONE_4_STD</vt:lpstr>
      <vt:lpstr>'IDLER REACTIONS Zone 5 DL'!PROFILE_ZONE_5_1</vt:lpstr>
      <vt:lpstr>PROFILE_ZONE_5_1</vt:lpstr>
      <vt:lpstr>'IDLER REACTIONS Zone 5 DL'!PROFILE_ZONE_5_2</vt:lpstr>
      <vt:lpstr>PROFILE_ZONE_5_2</vt:lpstr>
      <vt:lpstr>'IDLER REACTIONS Zone 5 DL'!PROFILE_ZONE_5_3</vt:lpstr>
      <vt:lpstr>PROFILE_ZONE_5_3</vt:lpstr>
      <vt:lpstr>'IDLER REACTIONS Zone 5 DL'!PROFILE_ZONE_5_STD</vt:lpstr>
      <vt:lpstr>PROFILE_ZONE_5_STD</vt:lpstr>
      <vt:lpstr>Scour</vt:lpstr>
      <vt:lpstr>Service</vt:lpstr>
      <vt:lpstr>'Vertical Rail - Canadian'!SLMoment_0</vt:lpstr>
      <vt:lpstr>'Vertical Rail 7-22'!SLMoment_0</vt:lpstr>
      <vt:lpstr>SLMoment_0</vt:lpstr>
      <vt:lpstr>'Vertical Rail - Canadian'!SLMoment_55</vt:lpstr>
      <vt:lpstr>'Vertical Rail 7-22'!SLMoment_55</vt:lpstr>
      <vt:lpstr>SLMoment_55</vt:lpstr>
      <vt:lpstr>'Vertical Rail - Canadian'!SLShear_0</vt:lpstr>
      <vt:lpstr>'Vertical Rail 7-22'!SLShear_0</vt:lpstr>
      <vt:lpstr>SLShear_0</vt:lpstr>
      <vt:lpstr>'Vertical Rail - Canadian'!SLShear_55</vt:lpstr>
      <vt:lpstr>'Vertical Rail 7-22'!SLShear_55</vt:lpstr>
      <vt:lpstr>SLShear_55</vt:lpstr>
      <vt:lpstr>'Vertical Rail - Canadian'!U_Z1_M_0</vt:lpstr>
      <vt:lpstr>'Vertical Rail 7-22'!U_Z1_M_0</vt:lpstr>
      <vt:lpstr>U_Z1_M_0</vt:lpstr>
      <vt:lpstr>'Vertical Rail - Canadian'!U_Z1_M_55</vt:lpstr>
      <vt:lpstr>'Vertical Rail 7-22'!U_Z1_M_55</vt:lpstr>
      <vt:lpstr>U_Z1_M_55</vt:lpstr>
      <vt:lpstr>'Vertical Rail - Canadian'!U_Z1_S_0</vt:lpstr>
      <vt:lpstr>'Vertical Rail 7-22'!U_Z1_S_0</vt:lpstr>
      <vt:lpstr>U_Z1_S_0</vt:lpstr>
      <vt:lpstr>'Vertical Rail - Canadian'!U_Z1_S_55</vt:lpstr>
      <vt:lpstr>'Vertical Rail 7-22'!U_Z1_S_55</vt:lpstr>
      <vt:lpstr>U_Z1_S_55</vt:lpstr>
      <vt:lpstr>'Vertical Rail - Canadian'!U_Z2_M_0</vt:lpstr>
      <vt:lpstr>'Vertical Rail 7-22'!U_Z2_M_0</vt:lpstr>
      <vt:lpstr>U_Z2_M_0</vt:lpstr>
      <vt:lpstr>'Vertical Rail - Canadian'!U_Z2_M_55</vt:lpstr>
      <vt:lpstr>'Vertical Rail 7-22'!U_Z2_M_55</vt:lpstr>
      <vt:lpstr>U_Z2_M_55</vt:lpstr>
      <vt:lpstr>'Vertical Rail - Canadian'!U_Z2_S_0</vt:lpstr>
      <vt:lpstr>'Vertical Rail 7-22'!U_Z2_S_0</vt:lpstr>
      <vt:lpstr>U_Z2_S_0</vt:lpstr>
      <vt:lpstr>'Vertical Rail - Canadian'!U_Z2_S_55</vt:lpstr>
      <vt:lpstr>'Vertical Rail 7-22'!U_Z2_S_55</vt:lpstr>
      <vt:lpstr>U_Z2_S_55</vt:lpstr>
      <vt:lpstr>'Vertical Rail - Canadian'!U_Z3_M_0</vt:lpstr>
      <vt:lpstr>'Vertical Rail 7-22'!U_Z3_M_0</vt:lpstr>
      <vt:lpstr>U_Z3_M_0</vt:lpstr>
      <vt:lpstr>'Vertical Rail - Canadian'!U_Z3_M_55</vt:lpstr>
      <vt:lpstr>'Vertical Rail 7-22'!U_Z3_M_55</vt:lpstr>
      <vt:lpstr>U_Z3_M_55</vt:lpstr>
      <vt:lpstr>'Vertical Rail - Canadian'!U_Z3_S_0</vt:lpstr>
      <vt:lpstr>'Vertical Rail 7-22'!U_Z3_S_0</vt:lpstr>
      <vt:lpstr>U_Z3_S_0</vt:lpstr>
      <vt:lpstr>'Vertical Rail - Canadian'!U_Z3_S_55</vt:lpstr>
      <vt:lpstr>'Vertical Rail 7-22'!U_Z3_S_55</vt:lpstr>
      <vt:lpstr>U_Z3_S_55</vt:lpstr>
      <vt:lpstr>'Vertical Rail - Canadian'!U_Z4_M_0</vt:lpstr>
      <vt:lpstr>'Vertical Rail 7-22'!U_Z4_M_0</vt:lpstr>
      <vt:lpstr>U_Z4_M_0</vt:lpstr>
      <vt:lpstr>'Vertical Rail - Canadian'!U_Z4_M_55</vt:lpstr>
      <vt:lpstr>'Vertical Rail 7-22'!U_Z4_M_55</vt:lpstr>
      <vt:lpstr>U_Z4_M_55</vt:lpstr>
      <vt:lpstr>'Vertical Rail - Canadian'!U_Z4_S_0</vt:lpstr>
      <vt:lpstr>'Vertical Rail 7-22'!U_Z4_S_0</vt:lpstr>
      <vt:lpstr>U_Z4_S_0</vt:lpstr>
      <vt:lpstr>'Vertical Rail - Canadian'!U_Z4_S_55</vt:lpstr>
      <vt:lpstr>'Vertical Rail 7-22'!U_Z4_S_55</vt:lpstr>
      <vt:lpstr>U_Z4_S_55</vt:lpstr>
      <vt:lpstr>'Vertical Rail - Canadian'!U_Z5_M_0</vt:lpstr>
      <vt:lpstr>'Vertical Rail 7-22'!U_Z5_M_0</vt:lpstr>
      <vt:lpstr>U_Z5_M_0</vt:lpstr>
      <vt:lpstr>'Vertical Rail - Canadian'!U_Z5_M_55</vt:lpstr>
      <vt:lpstr>'Vertical Rail 7-22'!U_Z5_M_55</vt:lpstr>
      <vt:lpstr>U_Z5_M_55</vt:lpstr>
      <vt:lpstr>'Vertical Rail - Canadian'!U_Z5_S_0</vt:lpstr>
      <vt:lpstr>'Vertical Rail 7-22'!U_Z5_S_0</vt:lpstr>
      <vt:lpstr>U_Z5_S_0</vt:lpstr>
      <vt:lpstr>'Vertical Rail - Canadian'!U_Z5_S_55</vt:lpstr>
      <vt:lpstr>'Vertical Rail 7-22'!U_Z5_S_55</vt:lpstr>
      <vt:lpstr>U_Z5_S_55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Bonaquist</dc:creator>
  <cp:lastModifiedBy>Alaina DeFranco</cp:lastModifiedBy>
  <cp:lastPrinted>2026-05-14T15:06:35Z</cp:lastPrinted>
  <dcterms:created xsi:type="dcterms:W3CDTF">2015-07-21T13:29:15Z</dcterms:created>
  <dcterms:modified xsi:type="dcterms:W3CDTF">2026-08-26T11:06:02Z</dcterms:modified>
</cp:coreProperties>
</file>