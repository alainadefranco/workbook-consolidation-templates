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river3651001394-my.sharepoint.com/personal/alaina_defranco_us_q-cells_com/Documents/Desktop/"/>
    </mc:Choice>
  </mc:AlternateContent>
  <xr:revisionPtr revIDLastSave="124" documentId="8_{A9410A73-9117-4A39-950D-6C9CF83691C4}" xr6:coauthVersionLast="47" xr6:coauthVersionMax="47" xr10:uidLastSave="{5886A484-A38F-46E2-98DD-1AE3319DF471}"/>
  <bookViews>
    <workbookView xWindow="-120" yWindow="-120" windowWidth="29040" windowHeight="15720" activeTab="1" xr2:uid="{C553B2AE-5A13-4E4D-A89F-62275D00D177}"/>
  </bookViews>
  <sheets>
    <sheet name="Select" sheetId="3" r:id="rId1"/>
    <sheet name="Ref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" l="1" a="1"/>
  <c r="B9" i="3" s="1"/>
  <c r="B5" i="3" a="1"/>
  <c r="B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<sst xmlns="http://schemas.openxmlformats.org/spreadsheetml/2006/main" count="86" uniqueCount="21">
  <si>
    <t xml:space="preserve">Exterior Post Locations along row (in) - Left Side </t>
  </si>
  <si>
    <t>Exterior Post Locations along row (in) - Right Side</t>
  </si>
  <si>
    <t>Interior Post Locations along row (in) - Left Side</t>
  </si>
  <si>
    <t>Interior Post Locations along row (in) - Right Side</t>
  </si>
  <si>
    <t># of panels on left side of drive:</t>
  </si>
  <si>
    <t># of panels on right side of drive:</t>
  </si>
  <si>
    <t>RISA Post lenth (in)</t>
  </si>
  <si>
    <t>SUMMIT RIDGE ENERGY</t>
  </si>
  <si>
    <t>1x84</t>
  </si>
  <si>
    <t>Configuration 1</t>
  </si>
  <si>
    <t>1x56</t>
  </si>
  <si>
    <t>Module Name</t>
  </si>
  <si>
    <t>Q. PEAK DUO ML-G12S</t>
  </si>
  <si>
    <t>RISA Model</t>
  </si>
  <si>
    <t>1x84 Q.Track - G12S</t>
  </si>
  <si>
    <t>1x56 Q.Track - G12S</t>
  </si>
  <si>
    <t>Q. PEAK DUO XL-G11S.3</t>
  </si>
  <si>
    <t>Q. PEAK DUO XL-G11.3</t>
  </si>
  <si>
    <t>1x72</t>
  </si>
  <si>
    <t>1x72 Q.Track - G11S</t>
  </si>
  <si>
    <t>Q. PEAK DUO XL-G11S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</si>
</sst>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1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3" borderId="2" xfId="0" applyFont="1" applyFill="1" applyBorder="1" applyAlignment="1">
      <alignment horizontal="left"/>
    </xf>
    <xf numFmtId="0" fontId="1" fillId="2" borderId="2" xfId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 wrapText="1"/>
    </xf>
    <xf numFmtId="0" fontId="1" fillId="2" borderId="1" xfId="1" applyAlignment="1" applyProtection="1">
      <alignment horizontal="center"/>
      <protection locked="0"/>
    </xf>
    <xf numFmtId="0" fontId="1" fillId="2" borderId="1" xfId="1" applyAlignment="1">
      <alignment horizontal="center" wrapText="1"/>
    </xf>
    <xf numFmtId="0" fontId="1" fillId="2" borderId="2" xfId="1" applyBorder="1"/>
    <xf numFmtId="0" fontId="2" fillId="5" borderId="4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7FF5-1B70-43F6-9014-43CB1AE52CD3}">
  <dimension ref="A1:K12"/>
  <sheetViews>
    <sheetView workbookViewId="0">
      <selection activeCell="L20" sqref="L20"/>
    </sheetView>
  </sheetViews>
  <sheetFormatPr defaultRowHeight="15" x14ac:dyDescent="0.25"/>
  <cols>
    <col min="1" max="1" width="45.7109375" customWidth="1"/>
  </cols>
  <sheetData>
    <row r="1" spans="1:11" x14ac:dyDescent="0.25">
      <c r="A1" t="s">
        <v>7</v>
      </c>
    </row>
    <row r="3" spans="1:11" x14ac:dyDescent="0.25">
      <c r="A3" t="s">
        <v>11</v>
      </c>
      <c r="B3" s="9" t="s">
        <v>16</v>
      </c>
      <c r="C3" s="9"/>
      <c r="D3" s="9"/>
      <c r="E3" s="9"/>
      <c r="F3" s="9"/>
      <c r="G3" s="9"/>
      <c r="H3" s="9"/>
      <c r="I3" s="9"/>
      <c r="J3" s="9"/>
      <c r="K3" s="9"/>
    </row>
    <row r="4" spans="1:11" x14ac:dyDescent="0.25">
      <c r="A4" t="s">
        <v>9</v>
      </c>
      <c r="B4" s="10" t="s">
        <v>18</v>
      </c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1" t="s">
        <v>0</v>
      </c>
      <c r="B5" s="2" cm="1">
        <f t="array" ref="B5:G8">_xlfn.IFS(
    AND(Select!$B$4=Ref!T2, B3=Ref!P2), Ref!B5:J8,
    AND(Select!$B$4=Ref!T3, B3=Ref!P2), Ref!B16:G19,
    AND(Select!$B$4=Ref!T4, B3=Ref!P3), Ref!B27:G30,
    AND(Select!$B$4=Ref!T4, B3=Ref!P4), Ref!B38:G41,
    AND(Select!$B$4=Ref!T4, B3=Ref!P5), Ref!B49:G52,
    TRUE, ""
)</f>
        <v>77.253</v>
      </c>
      <c r="C5" s="2">
        <v>248</v>
      </c>
      <c r="D5" s="2">
        <v>248</v>
      </c>
      <c r="E5" s="2">
        <v>269</v>
      </c>
      <c r="F5" s="2">
        <v>269</v>
      </c>
      <c r="G5" s="2">
        <v>269</v>
      </c>
      <c r="H5" s="2"/>
      <c r="I5" s="2"/>
      <c r="J5" s="2"/>
      <c r="K5" s="2"/>
    </row>
    <row r="6" spans="1:11" x14ac:dyDescent="0.25">
      <c r="A6" s="1" t="s">
        <v>1</v>
      </c>
      <c r="B6" s="2">
        <v>77.253</v>
      </c>
      <c r="C6" s="2">
        <v>248</v>
      </c>
      <c r="D6" s="2">
        <v>248</v>
      </c>
      <c r="E6" s="2">
        <v>269</v>
      </c>
      <c r="F6" s="2">
        <v>269</v>
      </c>
      <c r="G6" s="2">
        <v>269</v>
      </c>
      <c r="H6" s="2"/>
      <c r="I6" s="2"/>
      <c r="J6" s="2"/>
      <c r="K6" s="2"/>
    </row>
    <row r="7" spans="1:11" x14ac:dyDescent="0.25">
      <c r="A7" s="3" t="s">
        <v>2</v>
      </c>
      <c r="B7" s="2">
        <v>77.253</v>
      </c>
      <c r="C7" s="2">
        <v>248</v>
      </c>
      <c r="D7" s="2">
        <v>248</v>
      </c>
      <c r="E7" s="2">
        <v>269</v>
      </c>
      <c r="F7" s="2">
        <v>269</v>
      </c>
      <c r="G7" s="2">
        <v>269</v>
      </c>
      <c r="H7" s="2"/>
      <c r="I7" s="2"/>
      <c r="J7" s="2"/>
      <c r="K7" s="2"/>
    </row>
    <row r="8" spans="1:11" x14ac:dyDescent="0.25">
      <c r="A8" s="3" t="s">
        <v>3</v>
      </c>
      <c r="B8" s="2">
        <v>77.253</v>
      </c>
      <c r="C8" s="2">
        <v>248</v>
      </c>
      <c r="D8" s="2">
        <v>248</v>
      </c>
      <c r="E8" s="2">
        <v>269</v>
      </c>
      <c r="F8" s="2">
        <v>269</v>
      </c>
      <c r="G8" s="2">
        <v>269</v>
      </c>
      <c r="H8" s="2"/>
      <c r="I8" s="2"/>
      <c r="J8" s="2"/>
      <c r="K8" s="2"/>
    </row>
    <row r="9" spans="1:11" ht="17.25" customHeight="1" x14ac:dyDescent="0.25">
      <c r="A9" s="4" t="s">
        <v>4</v>
      </c>
      <c r="B9" s="5" cm="1">
        <f t="array" ref="B9:B12">IF(AND(Select!$B$4=Ref!T2,B3=Ref!P2),Ref!B9:B12,
IF(AND(Select!$B$4=Ref!T3,B3=Ref!P2),Ref!B20:B23,
IF(AND(Select!$B$4=Ref!T4,B3=Ref!P3),Ref!B31:B34,
IF(AND(Select!$B$4=Ref!T4,B3=Ref!P4),Ref!B42:B45,
IF(AND(Select!$B$4=Ref!T4,B3=Ref!P5),Ref!B53:B56,
"")))))</f>
        <v>36</v>
      </c>
    </row>
    <row r="10" spans="1:11" ht="16.5" customHeight="1" x14ac:dyDescent="0.25">
      <c r="A10" s="4" t="s">
        <v>5</v>
      </c>
      <c r="B10" s="5">
        <v>36</v>
      </c>
    </row>
    <row r="11" spans="1:11" x14ac:dyDescent="0.25">
      <c r="A11" s="4" t="s">
        <v>6</v>
      </c>
      <c r="B11" s="6">
        <v>72</v>
      </c>
    </row>
    <row r="12" spans="1:11" x14ac:dyDescent="0.25">
      <c r="A12" s="8" t="s">
        <v>13</v>
      </c>
      <c r="B12" t="str">
        <v>1x72 Q.Track - G11S</v>
      </c>
    </row>
  </sheetData>
  <mergeCells count="2">
    <mergeCell ref="B3:K3"/>
    <mergeCell ref="B4:K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E6494E7-3FD9-42D0-B521-40030F0AF2EA}">
          <x14:formula1>
            <xm:f>Ref!$P$2:$P$5</xm:f>
          </x14:formula1>
          <xm:sqref>B3:K3</xm:sqref>
        </x14:dataValidation>
        <x14:dataValidation type="list" allowBlank="1" showInputMessage="1" showErrorMessage="1" xr:uid="{E20986F4-3413-4CC5-B43F-688E0E6214C4}">
          <x14:formula1>
            <xm:f>Ref!$T$2:$T$4</xm:f>
          </x14:formula1>
          <xm:sqref>B4:K4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BD3D-7CA9-4D22-91A6-B4F46E6183D8}">
  <dimension ref="A1:T56"/>
  <sheetViews>
    <sheetView tabSelected="1" workbookViewId="0">
      <selection activeCell="B10" sqref="B10"/>
    </sheetView>
  </sheetViews>
  <sheetFormatPr defaultRowHeight="15" x14ac:dyDescent="0.25"/>
  <cols>
    <col min="1" max="1" width="49.42578125" customWidth="1"/>
  </cols>
  <sheetData>
    <row r="1" spans="1:20" x14ac:dyDescent="0.25">
      <c r="A1" t="s">
        <v>7</v>
      </c>
    </row>
    <row r="2" spans="1:20" x14ac:dyDescent="0.25">
      <c r="P2" t="s">
        <v>12</v>
      </c>
      <c r="T2" t="s">
        <v>8</v>
      </c>
    </row>
    <row r="3" spans="1:20" x14ac:dyDescent="0.25">
      <c r="A3" t="s">
        <v>11</v>
      </c>
      <c r="B3" s="9" t="s">
        <v>12</v>
      </c>
      <c r="C3" s="9"/>
      <c r="D3" s="9"/>
      <c r="E3" s="9"/>
      <c r="F3" s="9"/>
      <c r="G3" s="9"/>
      <c r="H3" s="9"/>
      <c r="I3" s="9"/>
      <c r="J3" s="9"/>
      <c r="K3" s="9"/>
      <c r="P3" t="s">
        <v>16</v>
      </c>
      <c r="T3" t="s">
        <v>10</v>
      </c>
    </row>
    <row r="4" spans="1:20" x14ac:dyDescent="0.25">
      <c r="A4" t="s">
        <v>9</v>
      </c>
      <c r="B4" s="10" t="s">
        <v>8</v>
      </c>
      <c r="C4" s="10"/>
      <c r="D4" s="10"/>
      <c r="E4" s="10"/>
      <c r="F4" s="10"/>
      <c r="G4" s="10"/>
      <c r="H4" s="10"/>
      <c r="I4" s="10"/>
      <c r="J4" s="10"/>
      <c r="K4" s="10"/>
      <c r="P4" t="s">
        <v>20</v>
      </c>
      <c r="T4" t="s">
        <v>18</v>
      </c>
    </row>
    <row r="5" spans="1:20" x14ac:dyDescent="0.25">
      <c r="A5" s="1" t="s">
        <v>0</v>
      </c>
      <c r="B5" s="2">
        <v>64.539000000000001</v>
      </c>
      <c r="C5" s="2">
        <v>262</v>
      </c>
      <c r="D5" s="2">
        <v>282</v>
      </c>
      <c r="E5" s="2">
        <v>262</v>
      </c>
      <c r="F5" s="2">
        <v>282</v>
      </c>
      <c r="G5" s="2">
        <v>238</v>
      </c>
      <c r="H5" s="2">
        <v>282</v>
      </c>
      <c r="I5" s="2">
        <v>264</v>
      </c>
      <c r="J5" s="2">
        <v>264</v>
      </c>
      <c r="K5" s="2"/>
      <c r="P5" t="s">
        <v>17</v>
      </c>
    </row>
    <row r="6" spans="1:20" ht="16.5" customHeight="1" x14ac:dyDescent="0.25">
      <c r="A6" s="1" t="s">
        <v>1</v>
      </c>
      <c r="B6" s="2">
        <v>64.539000000000001</v>
      </c>
      <c r="C6" s="2">
        <v>262</v>
      </c>
      <c r="D6" s="2">
        <v>282</v>
      </c>
      <c r="E6" s="2">
        <v>262</v>
      </c>
      <c r="F6" s="2">
        <v>282</v>
      </c>
      <c r="G6" s="2">
        <v>238</v>
      </c>
      <c r="H6" s="2">
        <v>282</v>
      </c>
      <c r="I6" s="2">
        <v>264</v>
      </c>
      <c r="J6" s="2">
        <v>264</v>
      </c>
      <c r="K6" s="2"/>
    </row>
    <row r="7" spans="1:20" ht="15.75" customHeight="1" x14ac:dyDescent="0.25">
      <c r="A7" s="3" t="s">
        <v>2</v>
      </c>
      <c r="B7" s="2">
        <v>64.539000000000001</v>
      </c>
      <c r="C7" s="2">
        <v>262</v>
      </c>
      <c r="D7" s="2">
        <v>282</v>
      </c>
      <c r="E7" s="2">
        <v>262</v>
      </c>
      <c r="F7" s="2">
        <v>282</v>
      </c>
      <c r="G7" s="2">
        <v>238</v>
      </c>
      <c r="H7" s="2">
        <v>282</v>
      </c>
      <c r="I7" s="2">
        <v>264</v>
      </c>
      <c r="J7" s="2">
        <v>264</v>
      </c>
      <c r="K7" s="2"/>
    </row>
    <row r="8" spans="1:20" ht="15" customHeight="1" x14ac:dyDescent="0.25">
      <c r="A8" s="3" t="s">
        <v>3</v>
      </c>
      <c r="B8" s="2">
        <v>64.539000000000001</v>
      </c>
      <c r="C8" s="2">
        <v>262</v>
      </c>
      <c r="D8" s="2">
        <v>282</v>
      </c>
      <c r="E8" s="2">
        <v>262</v>
      </c>
      <c r="F8" s="2">
        <v>282</v>
      </c>
      <c r="G8" s="2">
        <v>238</v>
      </c>
      <c r="H8" s="2">
        <v>282</v>
      </c>
      <c r="I8" s="2">
        <v>264</v>
      </c>
      <c r="J8" s="2">
        <v>264</v>
      </c>
      <c r="K8" s="2"/>
    </row>
    <row r="9" spans="1:20" x14ac:dyDescent="0.25">
      <c r="A9" s="4" t="s">
        <v>4</v>
      </c>
      <c r="B9" s="5">
        <v>67</v>
      </c>
    </row>
    <row r="10" spans="1:20" x14ac:dyDescent="0.25">
      <c r="A10" s="4" t="s">
        <v>5</v>
      </c>
      <c r="B10" s="5">
        <v>67</v>
      </c>
    </row>
    <row r="11" spans="1:20" x14ac:dyDescent="0.25">
      <c r="A11" s="4" t="s">
        <v>6</v>
      </c>
      <c r="B11" s="6">
        <v>72</v>
      </c>
    </row>
    <row r="12" spans="1:20" x14ac:dyDescent="0.25">
      <c r="A12" s="8" t="s">
        <v>13</v>
      </c>
      <c r="B12" t="s">
        <v>14</v>
      </c>
    </row>
    <row r="14" spans="1:20" x14ac:dyDescent="0.25">
      <c r="A14" t="s">
        <v>11</v>
      </c>
      <c r="B14" s="9" t="s">
        <v>12</v>
      </c>
      <c r="C14" s="9"/>
      <c r="D14" s="9"/>
      <c r="E14" s="9"/>
      <c r="F14" s="9"/>
      <c r="G14" s="9"/>
      <c r="H14" s="9"/>
      <c r="I14" s="9"/>
      <c r="J14" s="9"/>
      <c r="K14" s="9"/>
    </row>
    <row r="15" spans="1:20" x14ac:dyDescent="0.25">
      <c r="A15" t="s">
        <v>9</v>
      </c>
      <c r="B15" s="10" t="s">
        <v>10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20" x14ac:dyDescent="0.25">
      <c r="A16" s="1" t="s">
        <v>0</v>
      </c>
      <c r="B16" s="2">
        <v>87.141000000000005</v>
      </c>
      <c r="C16" s="7">
        <v>282</v>
      </c>
      <c r="D16" s="7">
        <v>270</v>
      </c>
      <c r="E16" s="7">
        <v>282</v>
      </c>
      <c r="F16" s="7">
        <v>282</v>
      </c>
      <c r="G16" s="7">
        <v>270</v>
      </c>
      <c r="H16" s="2"/>
      <c r="I16" s="2"/>
      <c r="J16" s="2"/>
      <c r="K16" s="2"/>
    </row>
    <row r="17" spans="1:11" x14ac:dyDescent="0.25">
      <c r="A17" s="1" t="s">
        <v>1</v>
      </c>
      <c r="B17" s="2">
        <v>87.141000000000005</v>
      </c>
      <c r="C17" s="7">
        <v>282</v>
      </c>
      <c r="D17" s="7">
        <v>270</v>
      </c>
      <c r="E17" s="7">
        <v>282</v>
      </c>
      <c r="F17" s="7">
        <v>282</v>
      </c>
      <c r="G17" s="7">
        <v>270</v>
      </c>
      <c r="H17" s="2"/>
      <c r="I17" s="2"/>
      <c r="J17" s="2"/>
      <c r="K17" s="2"/>
    </row>
    <row r="18" spans="1:11" x14ac:dyDescent="0.25">
      <c r="A18" s="3" t="s">
        <v>2</v>
      </c>
      <c r="B18" s="2">
        <v>87.141000000000005</v>
      </c>
      <c r="C18" s="7">
        <v>282</v>
      </c>
      <c r="D18" s="7">
        <v>270</v>
      </c>
      <c r="E18" s="7">
        <v>282</v>
      </c>
      <c r="F18" s="7">
        <v>282</v>
      </c>
      <c r="G18" s="7">
        <v>270</v>
      </c>
      <c r="H18" s="2"/>
      <c r="I18" s="2"/>
      <c r="J18" s="2"/>
      <c r="K18" s="2"/>
    </row>
    <row r="19" spans="1:11" x14ac:dyDescent="0.25">
      <c r="A19" s="3" t="s">
        <v>3</v>
      </c>
      <c r="B19" s="2">
        <v>87.141000000000005</v>
      </c>
      <c r="C19" s="7">
        <v>282</v>
      </c>
      <c r="D19" s="7">
        <v>270</v>
      </c>
      <c r="E19" s="7">
        <v>282</v>
      </c>
      <c r="F19" s="7">
        <v>282</v>
      </c>
      <c r="G19" s="7">
        <v>270</v>
      </c>
      <c r="H19" s="2"/>
      <c r="I19" s="2"/>
      <c r="J19" s="2"/>
      <c r="K19" s="2"/>
    </row>
    <row r="20" spans="1:11" x14ac:dyDescent="0.25">
      <c r="A20" s="4" t="s">
        <v>4</v>
      </c>
      <c r="B20" s="5">
        <v>28</v>
      </c>
    </row>
    <row r="21" spans="1:11" x14ac:dyDescent="0.25">
      <c r="A21" s="4" t="s">
        <v>5</v>
      </c>
      <c r="B21" s="5">
        <v>28</v>
      </c>
    </row>
    <row r="22" spans="1:11" x14ac:dyDescent="0.25">
      <c r="A22" s="4" t="s">
        <v>6</v>
      </c>
      <c r="B22" s="6">
        <v>72</v>
      </c>
    </row>
    <row r="23" spans="1:11" x14ac:dyDescent="0.25">
      <c r="A23" s="8" t="s">
        <v>13</v>
      </c>
      <c r="B23" t="s">
        <v>15</v>
      </c>
    </row>
    <row r="25" spans="1:11" x14ac:dyDescent="0.25">
      <c r="A25" t="s">
        <v>11</v>
      </c>
      <c r="B25" s="9" t="s">
        <v>16</v>
      </c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5">
      <c r="A26" t="s">
        <v>9</v>
      </c>
      <c r="B26" s="10" t="s">
        <v>18</v>
      </c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" t="s">
        <v>0</v>
      </c>
      <c r="B27" s="2">
        <v>77.253</v>
      </c>
      <c r="C27" s="7">
        <v>248</v>
      </c>
      <c r="D27" s="7">
        <v>248</v>
      </c>
      <c r="E27" s="7">
        <v>269</v>
      </c>
      <c r="F27" s="7">
        <v>269</v>
      </c>
      <c r="G27" s="7">
        <v>269</v>
      </c>
      <c r="H27" s="2">
        <v>269</v>
      </c>
      <c r="I27" s="2"/>
      <c r="J27" s="2"/>
      <c r="K27" s="2"/>
    </row>
    <row r="28" spans="1:11" x14ac:dyDescent="0.25">
      <c r="A28" s="1" t="s">
        <v>1</v>
      </c>
      <c r="B28" s="2">
        <v>77.253</v>
      </c>
      <c r="C28" s="7">
        <v>248</v>
      </c>
      <c r="D28" s="7">
        <v>248</v>
      </c>
      <c r="E28" s="7">
        <v>269</v>
      </c>
      <c r="F28" s="7">
        <v>269</v>
      </c>
      <c r="G28" s="7">
        <v>269</v>
      </c>
      <c r="H28" s="2">
        <v>269</v>
      </c>
      <c r="I28" s="2"/>
      <c r="J28" s="2"/>
      <c r="K28" s="2"/>
    </row>
    <row r="29" spans="1:11" x14ac:dyDescent="0.25">
      <c r="A29" s="3" t="s">
        <v>2</v>
      </c>
      <c r="B29" s="2">
        <v>77.253</v>
      </c>
      <c r="C29" s="7">
        <v>248</v>
      </c>
      <c r="D29" s="7">
        <v>248</v>
      </c>
      <c r="E29" s="7">
        <v>269</v>
      </c>
      <c r="F29" s="7">
        <v>269</v>
      </c>
      <c r="G29" s="7">
        <v>269</v>
      </c>
      <c r="H29" s="2">
        <v>269</v>
      </c>
      <c r="I29" s="2"/>
      <c r="J29" s="2"/>
      <c r="K29" s="2"/>
    </row>
    <row r="30" spans="1:11" x14ac:dyDescent="0.25">
      <c r="A30" s="3" t="s">
        <v>3</v>
      </c>
      <c r="B30" s="2">
        <v>77.253</v>
      </c>
      <c r="C30" s="7">
        <v>248</v>
      </c>
      <c r="D30" s="7">
        <v>248</v>
      </c>
      <c r="E30" s="7">
        <v>269</v>
      </c>
      <c r="F30" s="7">
        <v>269</v>
      </c>
      <c r="G30" s="7">
        <v>269</v>
      </c>
      <c r="H30" s="2">
        <v>269</v>
      </c>
      <c r="I30" s="2"/>
      <c r="J30" s="2"/>
      <c r="K30" s="2"/>
    </row>
    <row r="31" spans="1:11" x14ac:dyDescent="0.25">
      <c r="A31" s="4" t="s">
        <v>4</v>
      </c>
      <c r="B31" s="5">
        <v>36</v>
      </c>
    </row>
    <row r="32" spans="1:11" x14ac:dyDescent="0.25">
      <c r="A32" s="4" t="s">
        <v>5</v>
      </c>
      <c r="B32" s="5">
        <v>36</v>
      </c>
    </row>
    <row r="33" spans="1:11" x14ac:dyDescent="0.25">
      <c r="A33" s="4" t="s">
        <v>6</v>
      </c>
      <c r="B33" s="6">
        <v>72</v>
      </c>
    </row>
    <row r="34" spans="1:11" x14ac:dyDescent="0.25">
      <c r="A34" s="8" t="s">
        <v>13</v>
      </c>
      <c r="B34" t="s">
        <v>19</v>
      </c>
    </row>
    <row r="36" spans="1:11" x14ac:dyDescent="0.25">
      <c r="A36" t="s">
        <v>11</v>
      </c>
      <c r="B36" s="9" t="s">
        <v>20</v>
      </c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5">
      <c r="A37" t="s">
        <v>9</v>
      </c>
      <c r="B37" s="10" t="s">
        <v>18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" t="s">
        <v>0</v>
      </c>
      <c r="B38" s="2">
        <v>77.253</v>
      </c>
      <c r="C38" s="7">
        <v>248</v>
      </c>
      <c r="D38" s="7">
        <v>248</v>
      </c>
      <c r="E38" s="7">
        <v>269</v>
      </c>
      <c r="F38" s="7">
        <v>269</v>
      </c>
      <c r="G38" s="7">
        <v>269</v>
      </c>
      <c r="H38" s="2">
        <v>269</v>
      </c>
      <c r="I38" s="2"/>
      <c r="J38" s="2"/>
      <c r="K38" s="2"/>
    </row>
    <row r="39" spans="1:11" x14ac:dyDescent="0.25">
      <c r="A39" s="1" t="s">
        <v>1</v>
      </c>
      <c r="B39" s="2">
        <v>77.253</v>
      </c>
      <c r="C39" s="7">
        <v>248</v>
      </c>
      <c r="D39" s="7">
        <v>248</v>
      </c>
      <c r="E39" s="7">
        <v>269</v>
      </c>
      <c r="F39" s="7">
        <v>269</v>
      </c>
      <c r="G39" s="7">
        <v>269</v>
      </c>
      <c r="H39" s="2">
        <v>269</v>
      </c>
      <c r="I39" s="2"/>
      <c r="J39" s="2"/>
      <c r="K39" s="2"/>
    </row>
    <row r="40" spans="1:11" x14ac:dyDescent="0.25">
      <c r="A40" s="3" t="s">
        <v>2</v>
      </c>
      <c r="B40" s="2">
        <v>77.253</v>
      </c>
      <c r="C40" s="7">
        <v>248</v>
      </c>
      <c r="D40" s="7">
        <v>248</v>
      </c>
      <c r="E40" s="7">
        <v>269</v>
      </c>
      <c r="F40" s="7">
        <v>269</v>
      </c>
      <c r="G40" s="7">
        <v>269</v>
      </c>
      <c r="H40" s="2">
        <v>269</v>
      </c>
      <c r="I40" s="2"/>
      <c r="J40" s="2"/>
      <c r="K40" s="2"/>
    </row>
    <row r="41" spans="1:11" x14ac:dyDescent="0.25">
      <c r="A41" s="3" t="s">
        <v>3</v>
      </c>
      <c r="B41" s="2">
        <v>77.253</v>
      </c>
      <c r="C41" s="7">
        <v>248</v>
      </c>
      <c r="D41" s="7">
        <v>248</v>
      </c>
      <c r="E41" s="7">
        <v>269</v>
      </c>
      <c r="F41" s="7">
        <v>269</v>
      </c>
      <c r="G41" s="7">
        <v>269</v>
      </c>
      <c r="H41" s="2">
        <v>269</v>
      </c>
      <c r="I41" s="2"/>
      <c r="J41" s="2"/>
      <c r="K41" s="2"/>
    </row>
    <row r="42" spans="1:11" x14ac:dyDescent="0.25">
      <c r="A42" s="4" t="s">
        <v>4</v>
      </c>
      <c r="B42" s="5">
        <v>36</v>
      </c>
    </row>
    <row r="43" spans="1:11" x14ac:dyDescent="0.25">
      <c r="A43" s="4" t="s">
        <v>5</v>
      </c>
      <c r="B43" s="5">
        <v>36</v>
      </c>
    </row>
    <row r="44" spans="1:11" x14ac:dyDescent="0.25">
      <c r="A44" s="4" t="s">
        <v>6</v>
      </c>
      <c r="B44" s="6">
        <v>72</v>
      </c>
    </row>
    <row r="45" spans="1:11" x14ac:dyDescent="0.25">
      <c r="A45" s="8" t="s">
        <v>13</v>
      </c>
      <c r="B45" t="s">
        <v>19</v>
      </c>
    </row>
    <row r="47" spans="1:11" x14ac:dyDescent="0.25">
      <c r="A47" t="s">
        <v>11</v>
      </c>
      <c r="B47" s="9" t="s">
        <v>17</v>
      </c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5">
      <c r="A48" t="s">
        <v>9</v>
      </c>
      <c r="B48" s="10" t="s">
        <v>18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" t="s">
        <v>0</v>
      </c>
      <c r="B49" s="2">
        <v>77.253</v>
      </c>
      <c r="C49" s="7">
        <v>248</v>
      </c>
      <c r="D49" s="7">
        <v>248</v>
      </c>
      <c r="E49" s="7">
        <v>269</v>
      </c>
      <c r="F49" s="7">
        <v>269</v>
      </c>
      <c r="G49" s="7">
        <v>269</v>
      </c>
      <c r="H49" s="2">
        <v>269</v>
      </c>
      <c r="I49" s="2"/>
      <c r="J49" s="2"/>
      <c r="K49" s="2"/>
    </row>
    <row r="50" spans="1:11" x14ac:dyDescent="0.25">
      <c r="A50" s="1" t="s">
        <v>1</v>
      </c>
      <c r="B50" s="2">
        <v>77.253</v>
      </c>
      <c r="C50" s="7">
        <v>248</v>
      </c>
      <c r="D50" s="7">
        <v>248</v>
      </c>
      <c r="E50" s="7">
        <v>269</v>
      </c>
      <c r="F50" s="7">
        <v>269</v>
      </c>
      <c r="G50" s="7">
        <v>269</v>
      </c>
      <c r="H50" s="2">
        <v>269</v>
      </c>
      <c r="I50" s="2"/>
      <c r="J50" s="2"/>
      <c r="K50" s="2"/>
    </row>
    <row r="51" spans="1:11" x14ac:dyDescent="0.25">
      <c r="A51" s="3" t="s">
        <v>2</v>
      </c>
      <c r="B51" s="2">
        <v>77.253</v>
      </c>
      <c r="C51" s="7">
        <v>248</v>
      </c>
      <c r="D51" s="7">
        <v>248</v>
      </c>
      <c r="E51" s="7">
        <v>269</v>
      </c>
      <c r="F51" s="7">
        <v>269</v>
      </c>
      <c r="G51" s="7">
        <v>269</v>
      </c>
      <c r="H51" s="2">
        <v>269</v>
      </c>
      <c r="I51" s="2"/>
      <c r="J51" s="2"/>
      <c r="K51" s="2"/>
    </row>
    <row r="52" spans="1:11" x14ac:dyDescent="0.25">
      <c r="A52" s="3" t="s">
        <v>3</v>
      </c>
      <c r="B52" s="2">
        <v>77.253</v>
      </c>
      <c r="C52" s="7">
        <v>248</v>
      </c>
      <c r="D52" s="7">
        <v>248</v>
      </c>
      <c r="E52" s="7">
        <v>269</v>
      </c>
      <c r="F52" s="7">
        <v>269</v>
      </c>
      <c r="G52" s="7">
        <v>269</v>
      </c>
      <c r="H52" s="2">
        <v>269</v>
      </c>
      <c r="I52" s="2"/>
      <c r="J52" s="2"/>
      <c r="K52" s="2"/>
    </row>
    <row r="53" spans="1:11" x14ac:dyDescent="0.25">
      <c r="A53" s="4" t="s">
        <v>4</v>
      </c>
      <c r="B53" s="5">
        <v>36</v>
      </c>
    </row>
    <row r="54" spans="1:11" x14ac:dyDescent="0.25">
      <c r="A54" s="4" t="s">
        <v>5</v>
      </c>
      <c r="B54" s="5">
        <v>36</v>
      </c>
    </row>
    <row r="55" spans="1:11" x14ac:dyDescent="0.25">
      <c r="A55" s="4" t="s">
        <v>6</v>
      </c>
      <c r="B55" s="6">
        <v>72</v>
      </c>
    </row>
    <row r="56" spans="1:11" x14ac:dyDescent="0.25">
      <c r="A56" s="8" t="s">
        <v>13</v>
      </c>
      <c r="B56" t="s">
        <v>19</v>
      </c>
    </row>
  </sheetData>
  <mergeCells count="10">
    <mergeCell ref="B3:K3"/>
    <mergeCell ref="B4:K4"/>
    <mergeCell ref="B14:K14"/>
    <mergeCell ref="B15:K15"/>
    <mergeCell ref="B48:K48"/>
    <mergeCell ref="B25:K25"/>
    <mergeCell ref="B26:K26"/>
    <mergeCell ref="B36:K36"/>
    <mergeCell ref="B37:K37"/>
    <mergeCell ref="B47:K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Alaina DeFranco</dc:creator>
  <cp:lastModifiedBy>Alaina DeFranco</cp:lastModifiedBy>
  <dcterms:created xsi:type="dcterms:W3CDTF">2026-08-21T17:19:47Z</dcterms:created>
  <dcterms:modified xsi:type="dcterms:W3CDTF">2026-08-27T13:41:56Z</dcterms:modified>
</cp:coreProperties>
</file>